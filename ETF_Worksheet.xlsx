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AD25A14E-6D7C-4927-B7B3-383FB418660D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9" i="4" l="1"/>
  <c r="W8" i="4"/>
  <c r="W7" i="4"/>
  <c r="W6" i="4"/>
  <c r="W5" i="4"/>
  <c r="V9" i="4"/>
  <c r="V8" i="4"/>
  <c r="V7" i="4"/>
  <c r="V6" i="4"/>
  <c r="V5" i="4"/>
  <c r="U9" i="4"/>
  <c r="U8" i="4"/>
  <c r="U7" i="4"/>
  <c r="U6" i="4"/>
  <c r="U5" i="4"/>
  <c r="N368" i="4"/>
  <c r="M368" i="4"/>
  <c r="O367" i="4"/>
  <c r="N367" i="4"/>
  <c r="M367" i="4"/>
  <c r="N366" i="4"/>
  <c r="M366" i="4"/>
  <c r="N365" i="4"/>
  <c r="M365" i="4"/>
  <c r="N364" i="4"/>
  <c r="O364" i="4" s="1"/>
  <c r="M364" i="4"/>
  <c r="N363" i="4"/>
  <c r="M363" i="4"/>
  <c r="Q363" i="4" s="1"/>
  <c r="N362" i="4"/>
  <c r="O362" i="4" s="1"/>
  <c r="M362" i="4"/>
  <c r="Q362" i="4" s="1"/>
  <c r="Q361" i="4"/>
  <c r="P361" i="4"/>
  <c r="N361" i="4"/>
  <c r="O361" i="4" s="1"/>
  <c r="M361" i="4"/>
  <c r="N360" i="4"/>
  <c r="M360" i="4"/>
  <c r="N359" i="4"/>
  <c r="M359" i="4"/>
  <c r="Q359" i="4" s="1"/>
  <c r="N358" i="4"/>
  <c r="M358" i="4"/>
  <c r="N357" i="4"/>
  <c r="M357" i="4"/>
  <c r="N356" i="4"/>
  <c r="M356" i="4"/>
  <c r="Q356" i="4" s="1"/>
  <c r="N355" i="4"/>
  <c r="M355" i="4"/>
  <c r="Q355" i="4" s="1"/>
  <c r="N354" i="4"/>
  <c r="M354" i="4"/>
  <c r="N353" i="4"/>
  <c r="M353" i="4"/>
  <c r="Q353" i="4" s="1"/>
  <c r="N352" i="4"/>
  <c r="M352" i="4"/>
  <c r="N351" i="4"/>
  <c r="M351" i="4"/>
  <c r="N350" i="4"/>
  <c r="M350" i="4"/>
  <c r="Q350" i="4" s="1"/>
  <c r="N349" i="4"/>
  <c r="P349" i="4" s="1"/>
  <c r="M349" i="4"/>
  <c r="N348" i="4"/>
  <c r="O348" i="4" s="1"/>
  <c r="M348" i="4"/>
  <c r="Q348" i="4" s="1"/>
  <c r="N347" i="4"/>
  <c r="M347" i="4"/>
  <c r="N346" i="4"/>
  <c r="M346" i="4"/>
  <c r="Q345" i="4"/>
  <c r="N345" i="4"/>
  <c r="M345" i="4"/>
  <c r="P345" i="4" s="1"/>
  <c r="N344" i="4"/>
  <c r="M344" i="4"/>
  <c r="N343" i="4"/>
  <c r="M343" i="4"/>
  <c r="Q343" i="4" s="1"/>
  <c r="N342" i="4"/>
  <c r="P342" i="4" s="1"/>
  <c r="M342" i="4"/>
  <c r="N341" i="4"/>
  <c r="M341" i="4"/>
  <c r="Q341" i="4" s="1"/>
  <c r="N340" i="4"/>
  <c r="M340" i="4"/>
  <c r="N339" i="4"/>
  <c r="M339" i="4"/>
  <c r="N338" i="4"/>
  <c r="M338" i="4"/>
  <c r="N337" i="4"/>
  <c r="M337" i="4"/>
  <c r="O336" i="4"/>
  <c r="N336" i="4"/>
  <c r="M336" i="4"/>
  <c r="Q336" i="4" s="1"/>
  <c r="N335" i="4"/>
  <c r="M335" i="4"/>
  <c r="N334" i="4"/>
  <c r="M334" i="4"/>
  <c r="N333" i="4"/>
  <c r="M333" i="4"/>
  <c r="P333" i="4" s="1"/>
  <c r="N332" i="4"/>
  <c r="M332" i="4"/>
  <c r="N331" i="4"/>
  <c r="M331" i="4"/>
  <c r="N330" i="4"/>
  <c r="M330" i="4"/>
  <c r="N329" i="4"/>
  <c r="M329" i="4"/>
  <c r="P329" i="4" s="1"/>
  <c r="N328" i="4"/>
  <c r="O328" i="4" s="1"/>
  <c r="M328" i="4"/>
  <c r="Q328" i="4" s="1"/>
  <c r="N327" i="4"/>
  <c r="M327" i="4"/>
  <c r="Q327" i="4" s="1"/>
  <c r="N326" i="4"/>
  <c r="M326" i="4"/>
  <c r="N325" i="4"/>
  <c r="M325" i="4"/>
  <c r="N324" i="4"/>
  <c r="M324" i="4"/>
  <c r="N323" i="4"/>
  <c r="M323" i="4"/>
  <c r="Q323" i="4" s="1"/>
  <c r="N322" i="4"/>
  <c r="M322" i="4"/>
  <c r="Q321" i="4"/>
  <c r="N321" i="4"/>
  <c r="O321" i="4" s="1"/>
  <c r="M321" i="4"/>
  <c r="P321" i="4" s="1"/>
  <c r="N320" i="4"/>
  <c r="M320" i="4"/>
  <c r="N319" i="4"/>
  <c r="M319" i="4"/>
  <c r="N318" i="4"/>
  <c r="M318" i="4"/>
  <c r="N317" i="4"/>
  <c r="M317" i="4"/>
  <c r="N316" i="4"/>
  <c r="M316" i="4"/>
  <c r="Q316" i="4" s="1"/>
  <c r="N315" i="4"/>
  <c r="M315" i="4"/>
  <c r="N314" i="4"/>
  <c r="P314" i="4" s="1"/>
  <c r="M314" i="4"/>
  <c r="N313" i="4"/>
  <c r="O313" i="4" s="1"/>
  <c r="M313" i="4"/>
  <c r="N312" i="4"/>
  <c r="M312" i="4"/>
  <c r="Q312" i="4" s="1"/>
  <c r="N311" i="4"/>
  <c r="M311" i="4"/>
  <c r="N310" i="4"/>
  <c r="P310" i="4" s="1"/>
  <c r="M310" i="4"/>
  <c r="N309" i="4"/>
  <c r="M309" i="4"/>
  <c r="Q309" i="4" s="1"/>
  <c r="N308" i="4"/>
  <c r="M308" i="4"/>
  <c r="N307" i="4"/>
  <c r="M307" i="4"/>
  <c r="N306" i="4"/>
  <c r="M306" i="4"/>
  <c r="N305" i="4"/>
  <c r="M305" i="4"/>
  <c r="N304" i="4"/>
  <c r="O304" i="4" s="1"/>
  <c r="M304" i="4"/>
  <c r="N303" i="4"/>
  <c r="M303" i="4"/>
  <c r="Q303" i="4" s="1"/>
  <c r="N302" i="4"/>
  <c r="M302" i="4"/>
  <c r="N301" i="4"/>
  <c r="O301" i="4" s="1"/>
  <c r="M301" i="4"/>
  <c r="Q301" i="4" s="1"/>
  <c r="N300" i="4"/>
  <c r="M300" i="4"/>
  <c r="N299" i="4"/>
  <c r="M299" i="4"/>
  <c r="N298" i="4"/>
  <c r="M298" i="4"/>
  <c r="N297" i="4"/>
  <c r="M297" i="4"/>
  <c r="P297" i="4" s="1"/>
  <c r="N296" i="4"/>
  <c r="M296" i="4"/>
  <c r="Q296" i="4" s="1"/>
  <c r="N295" i="4"/>
  <c r="M295" i="4"/>
  <c r="N294" i="4"/>
  <c r="O294" i="4" s="1"/>
  <c r="M294" i="4"/>
  <c r="N293" i="4"/>
  <c r="M293" i="4"/>
  <c r="Q293" i="4" s="1"/>
  <c r="N292" i="4"/>
  <c r="M292" i="4"/>
  <c r="N291" i="4"/>
  <c r="M291" i="4"/>
  <c r="N290" i="4"/>
  <c r="M290" i="4"/>
  <c r="Q290" i="4" s="1"/>
  <c r="N289" i="4"/>
  <c r="M289" i="4"/>
  <c r="Q289" i="4" s="1"/>
  <c r="N288" i="4"/>
  <c r="O288" i="4" s="1"/>
  <c r="M288" i="4"/>
  <c r="O287" i="4"/>
  <c r="N287" i="4"/>
  <c r="M287" i="4"/>
  <c r="N286" i="4"/>
  <c r="M286" i="4"/>
  <c r="N285" i="4"/>
  <c r="M285" i="4"/>
  <c r="N284" i="4"/>
  <c r="M284" i="4"/>
  <c r="P284" i="4" s="1"/>
  <c r="P283" i="4"/>
  <c r="N283" i="4"/>
  <c r="M283" i="4"/>
  <c r="Q283" i="4" s="1"/>
  <c r="N282" i="4"/>
  <c r="O282" i="4" s="1"/>
  <c r="M282" i="4"/>
  <c r="Q282" i="4" s="1"/>
  <c r="N281" i="4"/>
  <c r="M281" i="4"/>
  <c r="N280" i="4"/>
  <c r="M280" i="4"/>
  <c r="N279" i="4"/>
  <c r="M279" i="4"/>
  <c r="P279" i="4" s="1"/>
  <c r="N278" i="4"/>
  <c r="M278" i="4"/>
  <c r="N277" i="4"/>
  <c r="M277" i="4"/>
  <c r="N276" i="4"/>
  <c r="M276" i="4"/>
  <c r="Q276" i="4" s="1"/>
  <c r="N275" i="4"/>
  <c r="M275" i="4"/>
  <c r="Q275" i="4" s="1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O268" i="4" s="1"/>
  <c r="M268" i="4"/>
  <c r="N267" i="4"/>
  <c r="M267" i="4"/>
  <c r="P267" i="4" s="1"/>
  <c r="N266" i="4"/>
  <c r="M266" i="4"/>
  <c r="N265" i="4"/>
  <c r="Q265" i="4" s="1"/>
  <c r="M265" i="4"/>
  <c r="N264" i="4"/>
  <c r="M264" i="4"/>
  <c r="N263" i="4"/>
  <c r="M263" i="4"/>
  <c r="Q263" i="4" s="1"/>
  <c r="N262" i="4"/>
  <c r="M262" i="4"/>
  <c r="N261" i="4"/>
  <c r="O261" i="4" s="1"/>
  <c r="M261" i="4"/>
  <c r="N260" i="4"/>
  <c r="M260" i="4"/>
  <c r="N259" i="4"/>
  <c r="M259" i="4"/>
  <c r="N258" i="4"/>
  <c r="M258" i="4"/>
  <c r="N257" i="4"/>
  <c r="M257" i="4"/>
  <c r="P257" i="4" s="1"/>
  <c r="N256" i="4"/>
  <c r="M256" i="4"/>
  <c r="N255" i="4"/>
  <c r="O255" i="4" s="1"/>
  <c r="M255" i="4"/>
  <c r="Q255" i="4" s="1"/>
  <c r="N254" i="4"/>
  <c r="M254" i="4"/>
  <c r="N253" i="4"/>
  <c r="M253" i="4"/>
  <c r="N252" i="4"/>
  <c r="M252" i="4"/>
  <c r="N251" i="4"/>
  <c r="M251" i="4"/>
  <c r="N250" i="4"/>
  <c r="M250" i="4"/>
  <c r="Q250" i="4" s="1"/>
  <c r="N249" i="4"/>
  <c r="M249" i="4"/>
  <c r="Q249" i="4" s="1"/>
  <c r="N248" i="4"/>
  <c r="O248" i="4" s="1"/>
  <c r="M248" i="4"/>
  <c r="Q248" i="4" s="1"/>
  <c r="N247" i="4"/>
  <c r="M247" i="4"/>
  <c r="N246" i="4"/>
  <c r="M246" i="4"/>
  <c r="Q246" i="4" s="1"/>
  <c r="N245" i="4"/>
  <c r="O245" i="4" s="1"/>
  <c r="M245" i="4"/>
  <c r="N244" i="4"/>
  <c r="M244" i="4"/>
  <c r="N243" i="4"/>
  <c r="M243" i="4"/>
  <c r="N242" i="4"/>
  <c r="M242" i="4"/>
  <c r="Q242" i="4" s="1"/>
  <c r="N241" i="4"/>
  <c r="M241" i="4"/>
  <c r="N240" i="4"/>
  <c r="M240" i="4"/>
  <c r="N239" i="4"/>
  <c r="O239" i="4" s="1"/>
  <c r="M239" i="4"/>
  <c r="N238" i="4"/>
  <c r="M238" i="4"/>
  <c r="N237" i="4"/>
  <c r="M237" i="4"/>
  <c r="N236" i="4"/>
  <c r="M236" i="4"/>
  <c r="Q236" i="4" s="1"/>
  <c r="N235" i="4"/>
  <c r="O235" i="4" s="1"/>
  <c r="M235" i="4"/>
  <c r="Q235" i="4" s="1"/>
  <c r="N234" i="4"/>
  <c r="M234" i="4"/>
  <c r="N233" i="4"/>
  <c r="M233" i="4"/>
  <c r="N232" i="4"/>
  <c r="M232" i="4"/>
  <c r="N231" i="4"/>
  <c r="M231" i="4"/>
  <c r="N230" i="4"/>
  <c r="M230" i="4"/>
  <c r="Q230" i="4" s="1"/>
  <c r="N229" i="4"/>
  <c r="M229" i="4"/>
  <c r="Q229" i="4" s="1"/>
  <c r="N228" i="4"/>
  <c r="P228" i="4" s="1"/>
  <c r="M228" i="4"/>
  <c r="N227" i="4"/>
  <c r="M227" i="4"/>
  <c r="N226" i="4"/>
  <c r="M226" i="4"/>
  <c r="N225" i="4"/>
  <c r="M225" i="4"/>
  <c r="N224" i="4"/>
  <c r="M224" i="4"/>
  <c r="N223" i="4"/>
  <c r="O223" i="4" s="1"/>
  <c r="M223" i="4"/>
  <c r="N222" i="4"/>
  <c r="O222" i="4" s="1"/>
  <c r="M222" i="4"/>
  <c r="Q222" i="4" s="1"/>
  <c r="N221" i="4"/>
  <c r="M221" i="4"/>
  <c r="N220" i="4"/>
  <c r="M220" i="4"/>
  <c r="N219" i="4"/>
  <c r="M219" i="4"/>
  <c r="N218" i="4"/>
  <c r="M218" i="4"/>
  <c r="Q218" i="4" s="1"/>
  <c r="N217" i="4"/>
  <c r="M217" i="4"/>
  <c r="N216" i="4"/>
  <c r="M216" i="4"/>
  <c r="Q216" i="4" s="1"/>
  <c r="N215" i="4"/>
  <c r="O215" i="4" s="1"/>
  <c r="M215" i="4"/>
  <c r="Q215" i="4" s="1"/>
  <c r="N214" i="4"/>
  <c r="M214" i="4"/>
  <c r="N213" i="4"/>
  <c r="M213" i="4"/>
  <c r="N212" i="4"/>
  <c r="M212" i="4"/>
  <c r="N211" i="4"/>
  <c r="M211" i="4"/>
  <c r="N210" i="4"/>
  <c r="M210" i="4"/>
  <c r="N209" i="4"/>
  <c r="O209" i="4" s="1"/>
  <c r="M209" i="4"/>
  <c r="N208" i="4"/>
  <c r="P208" i="4" s="1"/>
  <c r="M208" i="4"/>
  <c r="N207" i="4"/>
  <c r="M207" i="4"/>
  <c r="N206" i="4"/>
  <c r="M206" i="4"/>
  <c r="N205" i="4"/>
  <c r="M205" i="4"/>
  <c r="N204" i="4"/>
  <c r="M204" i="4"/>
  <c r="N203" i="4"/>
  <c r="M203" i="4"/>
  <c r="O202" i="4"/>
  <c r="N202" i="4"/>
  <c r="M202" i="4"/>
  <c r="Q202" i="4" s="1"/>
  <c r="N201" i="4"/>
  <c r="O201" i="4" s="1"/>
  <c r="M201" i="4"/>
  <c r="N200" i="4"/>
  <c r="M200" i="4"/>
  <c r="P200" i="4" s="1"/>
  <c r="N199" i="4"/>
  <c r="M199" i="4"/>
  <c r="N198" i="4"/>
  <c r="M198" i="4"/>
  <c r="N197" i="4"/>
  <c r="O197" i="4" s="1"/>
  <c r="M197" i="4"/>
  <c r="N196" i="4"/>
  <c r="M196" i="4"/>
  <c r="Q196" i="4" s="1"/>
  <c r="N195" i="4"/>
  <c r="M195" i="4"/>
  <c r="N194" i="4"/>
  <c r="M194" i="4"/>
  <c r="P194" i="4" s="1"/>
  <c r="N193" i="4"/>
  <c r="M193" i="4"/>
  <c r="N192" i="4"/>
  <c r="O192" i="4" s="1"/>
  <c r="M192" i="4"/>
  <c r="N191" i="4"/>
  <c r="M191" i="4"/>
  <c r="N190" i="4"/>
  <c r="M190" i="4"/>
  <c r="Q190" i="4" s="1"/>
  <c r="N189" i="4"/>
  <c r="M189" i="4"/>
  <c r="N188" i="4"/>
  <c r="P188" i="4" s="1"/>
  <c r="M188" i="4"/>
  <c r="N187" i="4"/>
  <c r="M187" i="4"/>
  <c r="N186" i="4"/>
  <c r="M186" i="4"/>
  <c r="N185" i="4"/>
  <c r="M185" i="4"/>
  <c r="Q185" i="4" s="1"/>
  <c r="N184" i="4"/>
  <c r="M184" i="4"/>
  <c r="P183" i="4"/>
  <c r="N183" i="4"/>
  <c r="M183" i="4"/>
  <c r="Q183" i="4" s="1"/>
  <c r="N182" i="4"/>
  <c r="O182" i="4" s="1"/>
  <c r="M182" i="4"/>
  <c r="Q182" i="4" s="1"/>
  <c r="N181" i="4"/>
  <c r="M181" i="4"/>
  <c r="Q181" i="4" s="1"/>
  <c r="N180" i="4"/>
  <c r="M180" i="4"/>
  <c r="N179" i="4"/>
  <c r="M179" i="4"/>
  <c r="N178" i="4"/>
  <c r="M178" i="4"/>
  <c r="N177" i="4"/>
  <c r="M177" i="4"/>
  <c r="P177" i="4" s="1"/>
  <c r="N176" i="4"/>
  <c r="O176" i="4" s="1"/>
  <c r="M176" i="4"/>
  <c r="P175" i="4"/>
  <c r="N175" i="4"/>
  <c r="O175" i="4" s="1"/>
  <c r="M175" i="4"/>
  <c r="Q175" i="4" s="1"/>
  <c r="N174" i="4"/>
  <c r="M174" i="4"/>
  <c r="N173" i="4"/>
  <c r="M173" i="4"/>
  <c r="N172" i="4"/>
  <c r="M172" i="4"/>
  <c r="N171" i="4"/>
  <c r="O171" i="4" s="1"/>
  <c r="M171" i="4"/>
  <c r="N170" i="4"/>
  <c r="M170" i="4"/>
  <c r="N169" i="4"/>
  <c r="M169" i="4"/>
  <c r="Q169" i="4" s="1"/>
  <c r="N168" i="4"/>
  <c r="P168" i="4" s="1"/>
  <c r="M168" i="4"/>
  <c r="N167" i="4"/>
  <c r="M167" i="4"/>
  <c r="N166" i="4"/>
  <c r="M166" i="4"/>
  <c r="Q166" i="4" s="1"/>
  <c r="N165" i="4"/>
  <c r="M165" i="4"/>
  <c r="N164" i="4"/>
  <c r="M164" i="4"/>
  <c r="P163" i="4"/>
  <c r="N163" i="4"/>
  <c r="M163" i="4"/>
  <c r="Q163" i="4" s="1"/>
  <c r="N162" i="4"/>
  <c r="O162" i="4" s="1"/>
  <c r="M162" i="4"/>
  <c r="N161" i="4"/>
  <c r="M161" i="4"/>
  <c r="N160" i="4"/>
  <c r="P160" i="4" s="1"/>
  <c r="M160" i="4"/>
  <c r="N159" i="4"/>
  <c r="M159" i="4"/>
  <c r="N158" i="4"/>
  <c r="M158" i="4"/>
  <c r="N157" i="4"/>
  <c r="M157" i="4"/>
  <c r="Q157" i="4" s="1"/>
  <c r="N156" i="4"/>
  <c r="M156" i="4"/>
  <c r="Q156" i="4" s="1"/>
  <c r="P155" i="4"/>
  <c r="N155" i="4"/>
  <c r="O155" i="4" s="1"/>
  <c r="M155" i="4"/>
  <c r="Q155" i="4" s="1"/>
  <c r="N154" i="4"/>
  <c r="M154" i="4"/>
  <c r="N153" i="4"/>
  <c r="M153" i="4"/>
  <c r="Q153" i="4" s="1"/>
  <c r="N152" i="4"/>
  <c r="M152" i="4"/>
  <c r="N151" i="4"/>
  <c r="M151" i="4"/>
  <c r="N150" i="4"/>
  <c r="M150" i="4"/>
  <c r="N149" i="4"/>
  <c r="M149" i="4"/>
  <c r="P149" i="4" s="1"/>
  <c r="N148" i="4"/>
  <c r="M148" i="4"/>
  <c r="N147" i="4"/>
  <c r="M147" i="4"/>
  <c r="N146" i="4"/>
  <c r="M146" i="4"/>
  <c r="N145" i="4"/>
  <c r="O145" i="4" s="1"/>
  <c r="M145" i="4"/>
  <c r="N144" i="4"/>
  <c r="M144" i="4"/>
  <c r="N143" i="4"/>
  <c r="M143" i="4"/>
  <c r="P143" i="4" s="1"/>
  <c r="P142" i="4"/>
  <c r="N142" i="4"/>
  <c r="O142" i="4" s="1"/>
  <c r="M142" i="4"/>
  <c r="Q142" i="4" s="1"/>
  <c r="N141" i="4"/>
  <c r="O141" i="4" s="1"/>
  <c r="M141" i="4"/>
  <c r="Q141" i="4" s="1"/>
  <c r="N140" i="4"/>
  <c r="M140" i="4"/>
  <c r="N139" i="4"/>
  <c r="M139" i="4"/>
  <c r="P138" i="4"/>
  <c r="N138" i="4"/>
  <c r="M138" i="4"/>
  <c r="N137" i="4"/>
  <c r="M137" i="4"/>
  <c r="P137" i="4" s="1"/>
  <c r="N136" i="4"/>
  <c r="M136" i="4"/>
  <c r="Q136" i="4" s="1"/>
  <c r="P135" i="4"/>
  <c r="N135" i="4"/>
  <c r="O135" i="4" s="1"/>
  <c r="M135" i="4"/>
  <c r="Q135" i="4" s="1"/>
  <c r="N134" i="4"/>
  <c r="M134" i="4"/>
  <c r="Q134" i="4" s="1"/>
  <c r="N133" i="4"/>
  <c r="M133" i="4"/>
  <c r="N132" i="4"/>
  <c r="M132" i="4"/>
  <c r="N131" i="4"/>
  <c r="M131" i="4"/>
  <c r="N130" i="4"/>
  <c r="M130" i="4"/>
  <c r="Q130" i="4" s="1"/>
  <c r="N129" i="4"/>
  <c r="M129" i="4"/>
  <c r="Q129" i="4" s="1"/>
  <c r="P128" i="4"/>
  <c r="O128" i="4"/>
  <c r="N128" i="4"/>
  <c r="M128" i="4"/>
  <c r="Q128" i="4" s="1"/>
  <c r="N127" i="4"/>
  <c r="M127" i="4"/>
  <c r="P127" i="4" s="1"/>
  <c r="N126" i="4"/>
  <c r="M126" i="4"/>
  <c r="N125" i="4"/>
  <c r="M125" i="4"/>
  <c r="P124" i="4"/>
  <c r="N124" i="4"/>
  <c r="M124" i="4"/>
  <c r="Q124" i="4" s="1"/>
  <c r="N123" i="4"/>
  <c r="M123" i="4"/>
  <c r="N122" i="4"/>
  <c r="M122" i="4"/>
  <c r="Q121" i="4"/>
  <c r="P121" i="4"/>
  <c r="N121" i="4"/>
  <c r="O121" i="4" s="1"/>
  <c r="M121" i="4"/>
  <c r="N120" i="4"/>
  <c r="M120" i="4"/>
  <c r="N119" i="4"/>
  <c r="M119" i="4"/>
  <c r="Q119" i="4" s="1"/>
  <c r="N118" i="4"/>
  <c r="M118" i="4"/>
  <c r="N117" i="4"/>
  <c r="M117" i="4"/>
  <c r="P117" i="4" s="1"/>
  <c r="P116" i="4"/>
  <c r="N116" i="4"/>
  <c r="M116" i="4"/>
  <c r="Q116" i="4" s="1"/>
  <c r="N115" i="4"/>
  <c r="M115" i="4"/>
  <c r="Q115" i="4" s="1"/>
  <c r="N114" i="4"/>
  <c r="M114" i="4"/>
  <c r="P113" i="4"/>
  <c r="N113" i="4"/>
  <c r="M113" i="4"/>
  <c r="N112" i="4"/>
  <c r="M112" i="4"/>
  <c r="N111" i="4"/>
  <c r="M111" i="4"/>
  <c r="N110" i="4"/>
  <c r="P110" i="4" s="1"/>
  <c r="M110" i="4"/>
  <c r="N109" i="4"/>
  <c r="M109" i="4"/>
  <c r="Q109" i="4" s="1"/>
  <c r="N108" i="4"/>
  <c r="O108" i="4" s="1"/>
  <c r="M108" i="4"/>
  <c r="Q108" i="4" s="1"/>
  <c r="N107" i="4"/>
  <c r="M107" i="4"/>
  <c r="N106" i="4"/>
  <c r="O106" i="4" s="1"/>
  <c r="M106" i="4"/>
  <c r="N105" i="4"/>
  <c r="O105" i="4" s="1"/>
  <c r="M105" i="4"/>
  <c r="Q105" i="4" s="1"/>
  <c r="N104" i="4"/>
  <c r="M104" i="4"/>
  <c r="N103" i="4"/>
  <c r="M103" i="4"/>
  <c r="N102" i="4"/>
  <c r="O102" i="4" s="1"/>
  <c r="M102" i="4"/>
  <c r="N101" i="4"/>
  <c r="M101" i="4"/>
  <c r="Q101" i="4" s="1"/>
  <c r="N100" i="4"/>
  <c r="M100" i="4"/>
  <c r="N99" i="4"/>
  <c r="M99" i="4"/>
  <c r="N98" i="4"/>
  <c r="M98" i="4"/>
  <c r="N97" i="4"/>
  <c r="M97" i="4"/>
  <c r="N96" i="4"/>
  <c r="O96" i="4" s="1"/>
  <c r="M96" i="4"/>
  <c r="P96" i="4" s="1"/>
  <c r="P95" i="4"/>
  <c r="O95" i="4"/>
  <c r="N95" i="4"/>
  <c r="M95" i="4"/>
  <c r="Q95" i="4" s="1"/>
  <c r="N94" i="4"/>
  <c r="M94" i="4"/>
  <c r="N93" i="4"/>
  <c r="M93" i="4"/>
  <c r="N92" i="4"/>
  <c r="M92" i="4"/>
  <c r="P91" i="4"/>
  <c r="N91" i="4"/>
  <c r="M91" i="4"/>
  <c r="N90" i="4"/>
  <c r="M90" i="4"/>
  <c r="Q90" i="4" s="1"/>
  <c r="N89" i="4"/>
  <c r="M89" i="4"/>
  <c r="Q89" i="4" s="1"/>
  <c r="N88" i="4"/>
  <c r="M88" i="4"/>
  <c r="N87" i="4"/>
  <c r="M87" i="4"/>
  <c r="Q87" i="4" s="1"/>
  <c r="N86" i="4"/>
  <c r="O86" i="4" s="1"/>
  <c r="M86" i="4"/>
  <c r="N85" i="4"/>
  <c r="M85" i="4"/>
  <c r="N84" i="4"/>
  <c r="M84" i="4"/>
  <c r="N83" i="4"/>
  <c r="M83" i="4"/>
  <c r="Q83" i="4" s="1"/>
  <c r="N82" i="4"/>
  <c r="O82" i="4" s="1"/>
  <c r="M82" i="4"/>
  <c r="Q82" i="4" s="1"/>
  <c r="N81" i="4"/>
  <c r="M81" i="4"/>
  <c r="N80" i="4"/>
  <c r="P80" i="4" s="1"/>
  <c r="M80" i="4"/>
  <c r="N79" i="4"/>
  <c r="M79" i="4"/>
  <c r="N78" i="4"/>
  <c r="M78" i="4"/>
  <c r="N77" i="4"/>
  <c r="O77" i="4" s="1"/>
  <c r="M77" i="4"/>
  <c r="N76" i="4"/>
  <c r="M76" i="4"/>
  <c r="Q76" i="4" s="1"/>
  <c r="N75" i="4"/>
  <c r="O75" i="4" s="1"/>
  <c r="M75" i="4"/>
  <c r="Q75" i="4" s="1"/>
  <c r="N74" i="4"/>
  <c r="M74" i="4"/>
  <c r="P74" i="4" s="1"/>
  <c r="N73" i="4"/>
  <c r="M73" i="4"/>
  <c r="P73" i="4" s="1"/>
  <c r="N72" i="4"/>
  <c r="O72" i="4" s="1"/>
  <c r="M72" i="4"/>
  <c r="Q72" i="4" s="1"/>
  <c r="N71" i="4"/>
  <c r="M71" i="4"/>
  <c r="N70" i="4"/>
  <c r="M70" i="4"/>
  <c r="N69" i="4"/>
  <c r="M69" i="4"/>
  <c r="N68" i="4"/>
  <c r="M68" i="4"/>
  <c r="Q68" i="4" s="1"/>
  <c r="N67" i="4"/>
  <c r="M67" i="4"/>
  <c r="N66" i="4"/>
  <c r="O66" i="4" s="1"/>
  <c r="M66" i="4"/>
  <c r="N65" i="4"/>
  <c r="O65" i="4" s="1"/>
  <c r="M65" i="4"/>
  <c r="N64" i="4"/>
  <c r="M64" i="4"/>
  <c r="N63" i="4"/>
  <c r="O63" i="4" s="1"/>
  <c r="M63" i="4"/>
  <c r="P63" i="4" s="1"/>
  <c r="N62" i="4"/>
  <c r="P62" i="4" s="1"/>
  <c r="M62" i="4"/>
  <c r="N61" i="4"/>
  <c r="O61" i="4" s="1"/>
  <c r="M61" i="4"/>
  <c r="Q61" i="4" s="1"/>
  <c r="N60" i="4"/>
  <c r="M60" i="4"/>
  <c r="N59" i="4"/>
  <c r="O59" i="4" s="1"/>
  <c r="M59" i="4"/>
  <c r="N58" i="4"/>
  <c r="M58" i="4"/>
  <c r="Q58" i="4" s="1"/>
  <c r="N57" i="4"/>
  <c r="M57" i="4"/>
  <c r="P57" i="4" s="1"/>
  <c r="N56" i="4"/>
  <c r="M56" i="4"/>
  <c r="N55" i="4"/>
  <c r="M55" i="4"/>
  <c r="Q55" i="4" s="1"/>
  <c r="N54" i="4"/>
  <c r="M54" i="4"/>
  <c r="N53" i="4"/>
  <c r="O53" i="4" s="1"/>
  <c r="M53" i="4"/>
  <c r="Q53" i="4" s="1"/>
  <c r="N52" i="4"/>
  <c r="M52" i="4"/>
  <c r="N51" i="4"/>
  <c r="M51" i="4"/>
  <c r="N50" i="4"/>
  <c r="M50" i="4"/>
  <c r="N49" i="4"/>
  <c r="M49" i="4"/>
  <c r="Q49" i="4" s="1"/>
  <c r="N48" i="4"/>
  <c r="M48" i="4"/>
  <c r="P47" i="4"/>
  <c r="N47" i="4"/>
  <c r="O47" i="4" s="1"/>
  <c r="M47" i="4"/>
  <c r="N46" i="4"/>
  <c r="M46" i="4"/>
  <c r="N45" i="4"/>
  <c r="M45" i="4"/>
  <c r="N44" i="4"/>
  <c r="M44" i="4"/>
  <c r="Q44" i="4" s="1"/>
  <c r="N43" i="4"/>
  <c r="M43" i="4"/>
  <c r="O42" i="4"/>
  <c r="N42" i="4"/>
  <c r="M42" i="4"/>
  <c r="Q42" i="4" s="1"/>
  <c r="N41" i="4"/>
  <c r="M41" i="4"/>
  <c r="P41" i="4" s="1"/>
  <c r="N40" i="4"/>
  <c r="M40" i="4"/>
  <c r="N39" i="4"/>
  <c r="M39" i="4"/>
  <c r="N38" i="4"/>
  <c r="M38" i="4"/>
  <c r="N37" i="4"/>
  <c r="M37" i="4"/>
  <c r="P37" i="4" s="1"/>
  <c r="N36" i="4"/>
  <c r="M36" i="4"/>
  <c r="Q36" i="4" s="1"/>
  <c r="N35" i="4"/>
  <c r="M35" i="4"/>
  <c r="Q35" i="4" s="1"/>
  <c r="O34" i="4"/>
  <c r="N34" i="4"/>
  <c r="M34" i="4"/>
  <c r="N33" i="4"/>
  <c r="O33" i="4" s="1"/>
  <c r="M33" i="4"/>
  <c r="N32" i="4"/>
  <c r="N31" i="4"/>
  <c r="N30" i="4"/>
  <c r="N29" i="4"/>
  <c r="N28" i="4"/>
  <c r="N27" i="4"/>
  <c r="N26" i="4"/>
  <c r="N25" i="4"/>
  <c r="N24" i="4"/>
  <c r="N23" i="4"/>
  <c r="N22" i="4"/>
  <c r="P22" i="4" s="1"/>
  <c r="N21" i="4"/>
  <c r="P21" i="4" s="1"/>
  <c r="N20" i="4"/>
  <c r="P20" i="4" s="1"/>
  <c r="N19" i="4"/>
  <c r="P19" i="4" s="1"/>
  <c r="N18" i="4"/>
  <c r="P18" i="4" s="1"/>
  <c r="N17" i="4"/>
  <c r="P17" i="4" s="1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DR3" i="1"/>
  <c r="DF3" i="1"/>
  <c r="CT3" i="1"/>
  <c r="CH3" i="1"/>
  <c r="BV3" i="1"/>
  <c r="BJ3" i="1"/>
  <c r="AX3" i="1"/>
  <c r="AL3" i="1"/>
  <c r="Z3" i="1"/>
  <c r="N3" i="1"/>
  <c r="B3" i="1"/>
  <c r="K2" i="4"/>
  <c r="I2" i="4"/>
  <c r="G2" i="4"/>
  <c r="E2" i="4"/>
  <c r="C2" i="4"/>
  <c r="A2" i="4"/>
  <c r="N2" i="2"/>
  <c r="H2" i="2"/>
  <c r="A2" i="2"/>
  <c r="T2" i="2"/>
  <c r="BL2" i="2"/>
  <c r="AF2" i="2"/>
  <c r="AS2" i="2"/>
  <c r="AY2" i="2"/>
  <c r="Z2" i="2"/>
  <c r="AM2" i="2"/>
  <c r="BF2" i="2"/>
  <c r="CR420" i="1"/>
  <c r="CR220" i="1"/>
  <c r="CR20" i="1"/>
  <c r="CQ440" i="1"/>
  <c r="CQ240" i="1"/>
  <c r="CQ40" i="1"/>
  <c r="CR18" i="1"/>
  <c r="CR369" i="1"/>
  <c r="CR169" i="1"/>
  <c r="CR388" i="1"/>
  <c r="CQ469" i="1"/>
  <c r="CQ269" i="1"/>
  <c r="CQ69" i="1"/>
  <c r="CR148" i="1"/>
  <c r="CQ398" i="1"/>
  <c r="CQ198" i="1"/>
  <c r="CR77" i="1"/>
  <c r="CQ327" i="1"/>
  <c r="CR436" i="1"/>
  <c r="CR86" i="1"/>
  <c r="CR467" i="1"/>
  <c r="CR267" i="1"/>
  <c r="CR27" i="1"/>
  <c r="CR415" i="1"/>
  <c r="CQ44" i="1"/>
  <c r="CQ411" i="1"/>
  <c r="CR15" i="1"/>
  <c r="CR304" i="1"/>
  <c r="CR362" i="1"/>
  <c r="CR245" i="1"/>
  <c r="CR14" i="1"/>
  <c r="CR374" i="1"/>
  <c r="CQ132" i="1"/>
  <c r="CR144" i="1"/>
  <c r="CQ66" i="1"/>
  <c r="CQ295" i="1"/>
  <c r="CR112" i="1"/>
  <c r="CR445" i="1"/>
  <c r="CR32" i="1"/>
  <c r="CR294" i="1"/>
  <c r="CQ241" i="1"/>
  <c r="CR384" i="1"/>
  <c r="CQ294" i="1"/>
  <c r="CQ222" i="1"/>
  <c r="CR35" i="1"/>
  <c r="CR323" i="1"/>
  <c r="CQ135" i="1"/>
  <c r="CQ211" i="1"/>
  <c r="CQ26" i="1"/>
  <c r="DD460" i="1"/>
  <c r="DD260" i="1"/>
  <c r="DD60" i="1"/>
  <c r="DC150" i="1"/>
  <c r="DD406" i="1"/>
  <c r="DD465" i="1"/>
  <c r="DC155" i="1"/>
  <c r="DC260" i="1"/>
  <c r="DD425" i="1"/>
  <c r="DD329" i="1"/>
  <c r="DD129" i="1"/>
  <c r="DC187" i="1"/>
  <c r="DC156" i="1"/>
  <c r="DC305" i="1"/>
  <c r="DC369" i="1"/>
  <c r="DC169" i="1"/>
  <c r="DD468" i="1"/>
  <c r="DD268" i="1"/>
  <c r="DC458" i="1"/>
  <c r="DC258" i="1"/>
  <c r="DC58" i="1"/>
  <c r="DC277" i="1"/>
  <c r="DD66" i="1"/>
  <c r="DD165" i="1"/>
  <c r="DD447" i="1"/>
  <c r="DD247" i="1"/>
  <c r="DD27" i="1"/>
  <c r="DC27" i="1"/>
  <c r="DC136" i="1"/>
  <c r="DC215" i="1"/>
  <c r="DD122" i="1"/>
  <c r="DC162" i="1"/>
  <c r="DD403" i="1"/>
  <c r="DC273" i="1"/>
  <c r="DC44" i="1"/>
  <c r="DC84" i="1"/>
  <c r="DC103" i="1"/>
  <c r="DD371" i="1"/>
  <c r="DD113" i="1"/>
  <c r="DD432" i="1"/>
  <c r="DD74" i="1"/>
  <c r="DC293" i="1"/>
  <c r="DD234" i="1"/>
  <c r="DD231" i="1"/>
  <c r="DD464" i="1"/>
  <c r="DD362" i="1"/>
  <c r="DC192" i="1"/>
  <c r="DC134" i="1"/>
  <c r="DD53" i="1"/>
  <c r="DP500" i="1"/>
  <c r="DP300" i="1"/>
  <c r="DP100" i="1"/>
  <c r="DO189" i="1"/>
  <c r="DO127" i="1"/>
  <c r="DO420" i="1"/>
  <c r="DO220" i="1"/>
  <c r="DO20" i="1"/>
  <c r="DP137" i="1"/>
  <c r="DP336" i="1"/>
  <c r="DP349" i="1"/>
  <c r="DP149" i="1"/>
  <c r="DO339" i="1"/>
  <c r="DO357" i="1"/>
  <c r="DP206" i="1"/>
  <c r="DP308" i="1"/>
  <c r="DP108" i="1"/>
  <c r="DP277" i="1"/>
  <c r="DO428" i="1"/>
  <c r="DO228" i="1"/>
  <c r="DO28" i="1"/>
  <c r="DP77" i="1"/>
  <c r="DP355" i="1"/>
  <c r="DP155" i="1"/>
  <c r="DO445" i="1"/>
  <c r="DO245" i="1"/>
  <c r="DO45" i="1"/>
  <c r="DP334" i="1"/>
  <c r="DP322" i="1"/>
  <c r="CR410" i="1"/>
  <c r="CR210" i="1"/>
  <c r="CR10" i="1"/>
  <c r="CQ430" i="1"/>
  <c r="CQ230" i="1"/>
  <c r="CQ30" i="1"/>
  <c r="CQ47" i="1"/>
  <c r="CR359" i="1"/>
  <c r="CR159" i="1"/>
  <c r="CR348" i="1"/>
  <c r="CQ459" i="1"/>
  <c r="CQ259" i="1"/>
  <c r="CQ59" i="1"/>
  <c r="CR118" i="1"/>
  <c r="CQ388" i="1"/>
  <c r="CQ188" i="1"/>
  <c r="CR57" i="1"/>
  <c r="CQ307" i="1"/>
  <c r="CR426" i="1"/>
  <c r="CR46" i="1"/>
  <c r="CR457" i="1"/>
  <c r="CR257" i="1"/>
  <c r="CQ487" i="1"/>
  <c r="CR395" i="1"/>
  <c r="CQ25" i="1"/>
  <c r="CQ391" i="1"/>
  <c r="CQ485" i="1"/>
  <c r="CR285" i="1"/>
  <c r="CR342" i="1"/>
  <c r="CQ193" i="1"/>
  <c r="CQ404" i="1"/>
  <c r="CR354" i="1"/>
  <c r="CR492" i="1"/>
  <c r="CQ73" i="1"/>
  <c r="CQ443" i="1"/>
  <c r="CQ276" i="1"/>
  <c r="CQ41" i="1"/>
  <c r="CQ163" i="1"/>
  <c r="CQ463" i="1"/>
  <c r="CR275" i="1"/>
  <c r="CQ146" i="1"/>
  <c r="CQ105" i="1"/>
  <c r="CQ275" i="1"/>
  <c r="CQ165" i="1"/>
  <c r="CQ491" i="1"/>
  <c r="CR213" i="1"/>
  <c r="CQ11" i="1"/>
  <c r="CQ64" i="1"/>
  <c r="CR25" i="1"/>
  <c r="DD450" i="1"/>
  <c r="DD250" i="1"/>
  <c r="DD50" i="1"/>
  <c r="DC130" i="1"/>
  <c r="DD356" i="1"/>
  <c r="DD415" i="1"/>
  <c r="DC115" i="1"/>
  <c r="DC210" i="1"/>
  <c r="DD55" i="1"/>
  <c r="DD319" i="1"/>
  <c r="DD119" i="1"/>
  <c r="DC47" i="1"/>
  <c r="DC106" i="1"/>
  <c r="DC255" i="1"/>
  <c r="DC359" i="1"/>
  <c r="DC159" i="1"/>
  <c r="DD458" i="1"/>
  <c r="DD248" i="1"/>
  <c r="DC448" i="1"/>
  <c r="DC248" i="1"/>
  <c r="DC48" i="1"/>
  <c r="DC257" i="1"/>
  <c r="DD16" i="1"/>
  <c r="DD115" i="1"/>
  <c r="DD437" i="1"/>
  <c r="DD237" i="1"/>
  <c r="DD17" i="1"/>
  <c r="DD476" i="1"/>
  <c r="DC96" i="1"/>
  <c r="DC175" i="1"/>
  <c r="DD94" i="1"/>
  <c r="DD13" i="1"/>
  <c r="DD353" i="1"/>
  <c r="DC151" i="1"/>
  <c r="DC23" i="1"/>
  <c r="DD383" i="1"/>
  <c r="DD452" i="1"/>
  <c r="DD343" i="1"/>
  <c r="DC413" i="1"/>
  <c r="DD304" i="1"/>
  <c r="DC31" i="1"/>
  <c r="DC271" i="1"/>
  <c r="DD134" i="1"/>
  <c r="DD103" i="1"/>
  <c r="DD442" i="1"/>
  <c r="DC362" i="1"/>
  <c r="DC164" i="1"/>
  <c r="DD34" i="1"/>
  <c r="DC481" i="1"/>
  <c r="DP490" i="1"/>
  <c r="DP290" i="1"/>
  <c r="DP90" i="1"/>
  <c r="DO149" i="1"/>
  <c r="DO87" i="1"/>
  <c r="DO410" i="1"/>
  <c r="DO210" i="1"/>
  <c r="DO10" i="1"/>
  <c r="DP67" i="1"/>
  <c r="DP316" i="1"/>
  <c r="DP339" i="1"/>
  <c r="DP139" i="1"/>
  <c r="DO309" i="1"/>
  <c r="DO337" i="1"/>
  <c r="DP498" i="1"/>
  <c r="DP298" i="1"/>
  <c r="DP98" i="1"/>
  <c r="DP257" i="1"/>
  <c r="DO418" i="1"/>
  <c r="DO218" i="1"/>
  <c r="DO18" i="1"/>
  <c r="DO457" i="1"/>
  <c r="DP345" i="1"/>
  <c r="DP145" i="1"/>
  <c r="DO435" i="1"/>
  <c r="DO235" i="1"/>
  <c r="DO35" i="1"/>
  <c r="DP324" i="1"/>
  <c r="DO296" i="1"/>
  <c r="CR320" i="1"/>
  <c r="CR120" i="1"/>
  <c r="CR146" i="1"/>
  <c r="CQ340" i="1"/>
  <c r="CQ140" i="1"/>
  <c r="CR328" i="1"/>
  <c r="CR469" i="1"/>
  <c r="CR269" i="1"/>
  <c r="CR69" i="1"/>
  <c r="CQ57" i="1"/>
  <c r="CQ369" i="1"/>
  <c r="CQ169" i="1"/>
  <c r="CR408" i="1"/>
  <c r="CQ498" i="1"/>
  <c r="CQ298" i="1"/>
  <c r="CQ98" i="1"/>
  <c r="CQ427" i="1"/>
  <c r="CQ157" i="1"/>
  <c r="CR326" i="1"/>
  <c r="CQ376" i="1"/>
  <c r="CR367" i="1"/>
  <c r="CR167" i="1"/>
  <c r="CQ77" i="1"/>
  <c r="CQ225" i="1"/>
  <c r="CR262" i="1"/>
  <c r="CR345" i="1"/>
  <c r="CR344" i="1"/>
  <c r="CQ266" i="1"/>
  <c r="CQ103" i="1"/>
  <c r="CR43" i="1"/>
  <c r="CR402" i="1"/>
  <c r="CQ186" i="1"/>
  <c r="CR491" i="1"/>
  <c r="CR464" i="1"/>
  <c r="CQ494" i="1"/>
  <c r="CQ114" i="1"/>
  <c r="CR391" i="1"/>
  <c r="CQ124" i="1"/>
  <c r="CR493" i="1"/>
  <c r="CR113" i="1"/>
  <c r="CQ145" i="1"/>
  <c r="CQ493" i="1"/>
  <c r="CQ56" i="1"/>
  <c r="CR221" i="1"/>
  <c r="CR124" i="1"/>
  <c r="CQ122" i="1"/>
  <c r="CR321" i="1"/>
  <c r="CR244" i="1"/>
  <c r="CR341" i="1"/>
  <c r="DD360" i="1"/>
  <c r="DD160" i="1"/>
  <c r="DC300" i="1"/>
  <c r="DD168" i="1"/>
  <c r="DC406" i="1"/>
  <c r="DD105" i="1"/>
  <c r="DC430" i="1"/>
  <c r="DC10" i="1"/>
  <c r="DD429" i="1"/>
  <c r="DD229" i="1"/>
  <c r="DD29" i="1"/>
  <c r="DD96" i="1"/>
  <c r="DD235" i="1"/>
  <c r="DC469" i="1"/>
  <c r="DC269" i="1"/>
  <c r="DC69" i="1"/>
  <c r="DD368" i="1"/>
  <c r="DD446" i="1"/>
  <c r="DC358" i="1"/>
  <c r="DC158" i="1"/>
  <c r="DC457" i="1"/>
  <c r="DD486" i="1"/>
  <c r="DC116" i="1"/>
  <c r="DC205" i="1"/>
  <c r="DD347" i="1"/>
  <c r="DD147" i="1"/>
  <c r="DC287" i="1"/>
  <c r="DD76" i="1"/>
  <c r="DD175" i="1"/>
  <c r="DD372" i="1"/>
  <c r="DC491" i="1"/>
  <c r="DD12" i="1"/>
  <c r="DD202" i="1"/>
  <c r="DC294" i="1"/>
  <c r="DC263" i="1"/>
  <c r="DC304" i="1"/>
  <c r="DD223" i="1"/>
  <c r="DD121" i="1"/>
  <c r="DC262" i="1"/>
  <c r="DD481" i="1"/>
  <c r="DC173" i="1"/>
  <c r="DC43" i="1"/>
  <c r="DC383" i="1"/>
  <c r="DC252" i="1"/>
  <c r="DD214" i="1"/>
  <c r="DD301" i="1"/>
  <c r="DC291" i="1"/>
  <c r="DD454" i="1"/>
  <c r="DD401" i="1"/>
  <c r="DP400" i="1"/>
  <c r="DP200" i="1"/>
  <c r="DO489" i="1"/>
  <c r="DO447" i="1"/>
  <c r="DP246" i="1"/>
  <c r="DO320" i="1"/>
  <c r="DO120" i="1"/>
  <c r="DO249" i="1"/>
  <c r="DO227" i="1"/>
  <c r="DP449" i="1"/>
  <c r="DP249" i="1"/>
  <c r="DP49" i="1"/>
  <c r="DO39" i="1"/>
  <c r="DO17" i="1"/>
  <c r="DP408" i="1"/>
  <c r="DP208" i="1"/>
  <c r="DP487" i="1"/>
  <c r="DO117" i="1"/>
  <c r="DO328" i="1"/>
  <c r="DO128" i="1"/>
  <c r="DP347" i="1"/>
  <c r="DP455" i="1"/>
  <c r="DP255" i="1"/>
  <c r="DP55" i="1"/>
  <c r="DO345" i="1"/>
  <c r="DO145" i="1"/>
  <c r="DP434" i="1"/>
  <c r="DP234" i="1"/>
  <c r="DO101" i="1"/>
  <c r="CR310" i="1"/>
  <c r="CR110" i="1"/>
  <c r="CR116" i="1"/>
  <c r="CQ330" i="1"/>
  <c r="CQ130" i="1"/>
  <c r="CR308" i="1"/>
  <c r="CR459" i="1"/>
  <c r="CR259" i="1"/>
  <c r="CR59" i="1"/>
  <c r="CR466" i="1"/>
  <c r="CQ359" i="1"/>
  <c r="CQ159" i="1"/>
  <c r="CR368" i="1"/>
  <c r="CQ488" i="1"/>
  <c r="CQ288" i="1"/>
  <c r="CQ88" i="1"/>
  <c r="CQ417" i="1"/>
  <c r="CQ137" i="1"/>
  <c r="CR306" i="1"/>
  <c r="CQ366" i="1"/>
  <c r="CR357" i="1"/>
  <c r="CR157" i="1"/>
  <c r="CR386" i="1"/>
  <c r="CQ206" i="1"/>
  <c r="CR243" i="1"/>
  <c r="CR325" i="1"/>
  <c r="CR324" i="1"/>
  <c r="CR251" i="1"/>
  <c r="CQ84" i="1"/>
  <c r="CQ371" i="1"/>
  <c r="CR174" i="1"/>
  <c r="CR171" i="1"/>
  <c r="CR371" i="1"/>
  <c r="CR271" i="1"/>
  <c r="CQ474" i="1"/>
  <c r="CQ95" i="1"/>
  <c r="CR331" i="1"/>
  <c r="CR33" i="1"/>
  <c r="CR473" i="1"/>
  <c r="CR94" i="1"/>
  <c r="CQ21" i="1"/>
  <c r="CQ473" i="1"/>
  <c r="CR41" i="1"/>
  <c r="CR145" i="1"/>
  <c r="CQ34" i="1"/>
  <c r="CR12" i="1"/>
  <c r="CQ302" i="1"/>
  <c r="CR421" i="1"/>
  <c r="CQ173" i="1"/>
  <c r="DD350" i="1"/>
  <c r="DD150" i="1"/>
  <c r="DC280" i="1"/>
  <c r="DD148" i="1"/>
  <c r="DC386" i="1"/>
  <c r="DD75" i="1"/>
  <c r="DC420" i="1"/>
  <c r="DD198" i="1"/>
  <c r="DD419" i="1"/>
  <c r="DD219" i="1"/>
  <c r="DD19" i="1"/>
  <c r="DD46" i="1"/>
  <c r="DD185" i="1"/>
  <c r="DC459" i="1"/>
  <c r="DC259" i="1"/>
  <c r="DC59" i="1"/>
  <c r="DD358" i="1"/>
  <c r="DD126" i="1"/>
  <c r="DC348" i="1"/>
  <c r="DC148" i="1"/>
  <c r="DC447" i="1"/>
  <c r="DD426" i="1"/>
  <c r="DC76" i="1"/>
  <c r="DC165" i="1"/>
  <c r="DD337" i="1"/>
  <c r="DD137" i="1"/>
  <c r="DC267" i="1"/>
  <c r="DD36" i="1"/>
  <c r="DD145" i="1"/>
  <c r="DD344" i="1"/>
  <c r="DC341" i="1"/>
  <c r="DD404" i="1"/>
  <c r="DD52" i="1"/>
  <c r="DC272" i="1"/>
  <c r="DC163" i="1"/>
  <c r="DC182" i="1"/>
  <c r="DD51" i="1"/>
  <c r="DD93" i="1"/>
  <c r="DC112" i="1"/>
  <c r="DD203" i="1"/>
  <c r="DC51" i="1"/>
  <c r="DC22" i="1"/>
  <c r="DC261" i="1"/>
  <c r="DC152" i="1"/>
  <c r="DD192" i="1"/>
  <c r="DC323" i="1"/>
  <c r="DC191" i="1"/>
  <c r="DD232" i="1"/>
  <c r="DD351" i="1"/>
  <c r="DP390" i="1"/>
  <c r="DP190" i="1"/>
  <c r="DO469" i="1"/>
  <c r="DO437" i="1"/>
  <c r="DP216" i="1"/>
  <c r="DO310" i="1"/>
  <c r="DO110" i="1"/>
  <c r="DO209" i="1"/>
  <c r="DO187" i="1"/>
  <c r="DP439" i="1"/>
  <c r="DP239" i="1"/>
  <c r="DP39" i="1"/>
  <c r="DO9" i="1"/>
  <c r="DP486" i="1"/>
  <c r="DP398" i="1"/>
  <c r="DP198" i="1"/>
  <c r="DP457" i="1"/>
  <c r="DO27" i="1"/>
  <c r="DO318" i="1"/>
  <c r="DO118" i="1"/>
  <c r="DP327" i="1"/>
  <c r="DP445" i="1"/>
  <c r="DP245" i="1"/>
  <c r="DP45" i="1"/>
  <c r="DO335" i="1"/>
  <c r="DO135" i="1"/>
  <c r="DP424" i="1"/>
  <c r="DP224" i="1"/>
  <c r="CR380" i="1"/>
  <c r="CR140" i="1"/>
  <c r="CQ500" i="1"/>
  <c r="CQ260" i="1"/>
  <c r="CR488" i="1"/>
  <c r="CR489" i="1"/>
  <c r="CR229" i="1"/>
  <c r="CR458" i="1"/>
  <c r="CQ429" i="1"/>
  <c r="CQ189" i="1"/>
  <c r="CR288" i="1"/>
  <c r="CQ418" i="1"/>
  <c r="CQ158" i="1"/>
  <c r="CQ447" i="1"/>
  <c r="CQ97" i="1"/>
  <c r="CR136" i="1"/>
  <c r="CR427" i="1"/>
  <c r="CR187" i="1"/>
  <c r="CR16" i="1"/>
  <c r="CQ82" i="1"/>
  <c r="CQ216" i="1"/>
  <c r="CR484" i="1"/>
  <c r="CQ483" i="1"/>
  <c r="CR283" i="1"/>
  <c r="CR403" i="1"/>
  <c r="CQ224" i="1"/>
  <c r="CQ202" i="1"/>
  <c r="CQ285" i="1"/>
  <c r="CR223" i="1"/>
  <c r="CR21" i="1"/>
  <c r="CR161" i="1"/>
  <c r="CR333" i="1"/>
  <c r="CQ372" i="1"/>
  <c r="CR382" i="1"/>
  <c r="CR412" i="1"/>
  <c r="CQ164" i="1"/>
  <c r="CQ423" i="1"/>
  <c r="CQ361" i="1"/>
  <c r="CR381" i="1"/>
  <c r="DD480" i="1"/>
  <c r="DD220" i="1"/>
  <c r="DC340" i="1"/>
  <c r="DD68" i="1"/>
  <c r="DC86" i="1"/>
  <c r="DC490" i="1"/>
  <c r="DC40" i="1"/>
  <c r="DD389" i="1"/>
  <c r="DD149" i="1"/>
  <c r="DD386" i="1"/>
  <c r="DD315" i="1"/>
  <c r="DC429" i="1"/>
  <c r="DC189" i="1"/>
  <c r="DD428" i="1"/>
  <c r="DD18" i="1"/>
  <c r="DC318" i="1"/>
  <c r="DC78" i="1"/>
  <c r="DC197" i="1"/>
  <c r="DC206" i="1"/>
  <c r="DC55" i="1"/>
  <c r="DD267" i="1"/>
  <c r="DC407" i="1"/>
  <c r="DD176" i="1"/>
  <c r="DC475" i="1"/>
  <c r="DD172" i="1"/>
  <c r="DD211" i="1"/>
  <c r="DD424" i="1"/>
  <c r="DC194" i="1"/>
  <c r="DC312" i="1"/>
  <c r="DC402" i="1"/>
  <c r="DD171" i="1"/>
  <c r="DD183" i="1"/>
  <c r="DD274" i="1"/>
  <c r="DC193" i="1"/>
  <c r="DD161" i="1"/>
  <c r="DD201" i="1"/>
  <c r="DD63" i="1"/>
  <c r="DD391" i="1"/>
  <c r="DC233" i="1"/>
  <c r="DD24" i="1"/>
  <c r="DP320" i="1"/>
  <c r="DP60" i="1"/>
  <c r="DP57" i="1"/>
  <c r="DO480" i="1"/>
  <c r="DO240" i="1"/>
  <c r="DO419" i="1"/>
  <c r="DO287" i="1"/>
  <c r="DP409" i="1"/>
  <c r="DP169" i="1"/>
  <c r="DO219" i="1"/>
  <c r="DO97" i="1"/>
  <c r="DP368" i="1"/>
  <c r="DP128" i="1"/>
  <c r="DP167" i="1"/>
  <c r="DO348" i="1"/>
  <c r="DO88" i="1"/>
  <c r="DP157" i="1"/>
  <c r="DP315" i="1"/>
  <c r="DP75" i="1"/>
  <c r="DO305" i="1"/>
  <c r="DO65" i="1"/>
  <c r="DP294" i="1"/>
  <c r="DO141" i="1"/>
  <c r="DO133" i="1"/>
  <c r="DP191" i="1"/>
  <c r="DP122" i="1"/>
  <c r="DO272" i="1"/>
  <c r="DO414" i="1"/>
  <c r="DO312" i="1"/>
  <c r="DP473" i="1"/>
  <c r="DP221" i="1"/>
  <c r="DP193" i="1"/>
  <c r="DO192" i="1"/>
  <c r="DO203" i="1"/>
  <c r="DP273" i="1"/>
  <c r="DO74" i="1"/>
  <c r="DP181" i="1"/>
  <c r="DP383" i="1"/>
  <c r="DO433" i="1"/>
  <c r="DO456" i="1"/>
  <c r="DO482" i="1"/>
  <c r="DP24" i="1"/>
  <c r="DP62" i="1"/>
  <c r="EB450" i="1"/>
  <c r="EB250" i="1"/>
  <c r="EB50" i="1"/>
  <c r="EA350" i="1"/>
  <c r="CR370" i="1"/>
  <c r="CR130" i="1"/>
  <c r="CQ490" i="1"/>
  <c r="CQ250" i="1"/>
  <c r="CR448" i="1"/>
  <c r="CR479" i="1"/>
  <c r="CR219" i="1"/>
  <c r="CR428" i="1"/>
  <c r="CQ419" i="1"/>
  <c r="CQ179" i="1"/>
  <c r="CR268" i="1"/>
  <c r="CQ408" i="1"/>
  <c r="CQ148" i="1"/>
  <c r="CQ437" i="1"/>
  <c r="CQ67" i="1"/>
  <c r="CR126" i="1"/>
  <c r="CR417" i="1"/>
  <c r="CR177" i="1"/>
  <c r="CQ466" i="1"/>
  <c r="CQ63" i="1"/>
  <c r="CR182" i="1"/>
  <c r="CR364" i="1"/>
  <c r="CQ363" i="1"/>
  <c r="CR264" i="1"/>
  <c r="CR194" i="1"/>
  <c r="CQ205" i="1"/>
  <c r="CQ126" i="1"/>
  <c r="CQ161" i="1"/>
  <c r="CR204" i="1"/>
  <c r="CR471" i="1"/>
  <c r="CQ33" i="1"/>
  <c r="CR313" i="1"/>
  <c r="CQ274" i="1"/>
  <c r="CQ462" i="1"/>
  <c r="CR372" i="1"/>
  <c r="CR92" i="1"/>
  <c r="CR303" i="1"/>
  <c r="CR173" i="1"/>
  <c r="CR361" i="1"/>
  <c r="DD470" i="1"/>
  <c r="DD210" i="1"/>
  <c r="DC320" i="1"/>
  <c r="DD48" i="1"/>
  <c r="DC26" i="1"/>
  <c r="DC480" i="1"/>
  <c r="DC20" i="1"/>
  <c r="DD379" i="1"/>
  <c r="DD139" i="1"/>
  <c r="DD346" i="1"/>
  <c r="DD275" i="1"/>
  <c r="DC419" i="1"/>
  <c r="DC179" i="1"/>
  <c r="DD418" i="1"/>
  <c r="DC77" i="1"/>
  <c r="DC308" i="1"/>
  <c r="DC68" i="1"/>
  <c r="DC157" i="1"/>
  <c r="DC166" i="1"/>
  <c r="DD497" i="1"/>
  <c r="DD257" i="1"/>
  <c r="DC387" i="1"/>
  <c r="DD136" i="1"/>
  <c r="DC445" i="1"/>
  <c r="DD144" i="1"/>
  <c r="DD111" i="1"/>
  <c r="DD352" i="1"/>
  <c r="DC172" i="1"/>
  <c r="DC184" i="1"/>
  <c r="DC324" i="1"/>
  <c r="DD143" i="1"/>
  <c r="DD83" i="1"/>
  <c r="DD174" i="1"/>
  <c r="DC171" i="1"/>
  <c r="DC34" i="1"/>
  <c r="DD101" i="1"/>
  <c r="DC363" i="1"/>
  <c r="DD341" i="1"/>
  <c r="DC83" i="1"/>
  <c r="DC401" i="1"/>
  <c r="DP310" i="1"/>
  <c r="DP50" i="1"/>
  <c r="DO497" i="1"/>
  <c r="DO470" i="1"/>
  <c r="DO230" i="1"/>
  <c r="DO379" i="1"/>
  <c r="DO267" i="1"/>
  <c r="DP399" i="1"/>
  <c r="DP159" i="1"/>
  <c r="DO199" i="1"/>
  <c r="DO67" i="1"/>
  <c r="DP358" i="1"/>
  <c r="DP118" i="1"/>
  <c r="DP147" i="1"/>
  <c r="DO338" i="1"/>
  <c r="DO78" i="1"/>
  <c r="DP117" i="1"/>
  <c r="DP305" i="1"/>
  <c r="DP65" i="1"/>
  <c r="DO295" i="1"/>
  <c r="DO55" i="1"/>
  <c r="DP284" i="1"/>
  <c r="DO121" i="1"/>
  <c r="DO73" i="1"/>
  <c r="DP151" i="1"/>
  <c r="DP42" i="1"/>
  <c r="DO244" i="1"/>
  <c r="DP173" i="1"/>
  <c r="DO234" i="1"/>
  <c r="DP301" i="1"/>
  <c r="DO196" i="1"/>
  <c r="DP93" i="1"/>
  <c r="DO152" i="1"/>
  <c r="DO83" i="1"/>
  <c r="DO273" i="1"/>
  <c r="DO54" i="1"/>
  <c r="DO492" i="1"/>
  <c r="DP361" i="1"/>
  <c r="DO411" i="1"/>
  <c r="DP432" i="1"/>
  <c r="DO454" i="1"/>
  <c r="DP481" i="1"/>
  <c r="DP451" i="1"/>
  <c r="EB440" i="1"/>
  <c r="EB240" i="1"/>
  <c r="EB40" i="1"/>
  <c r="EA340" i="1"/>
  <c r="EA140" i="1"/>
  <c r="CR500" i="1"/>
  <c r="CR260" i="1"/>
  <c r="CR68" i="1"/>
  <c r="CQ380" i="1"/>
  <c r="CQ120" i="1"/>
  <c r="CR158" i="1"/>
  <c r="CR349" i="1"/>
  <c r="CR109" i="1"/>
  <c r="CR296" i="1"/>
  <c r="CQ309" i="1"/>
  <c r="CQ49" i="1"/>
  <c r="CR456" i="1"/>
  <c r="CQ278" i="1"/>
  <c r="CQ38" i="1"/>
  <c r="CQ297" i="1"/>
  <c r="CR366" i="1"/>
  <c r="CQ356" i="1"/>
  <c r="CR307" i="1"/>
  <c r="CQ317" i="1"/>
  <c r="CQ301" i="1"/>
  <c r="CR205" i="1"/>
  <c r="CQ182" i="1"/>
  <c r="CQ233" i="1"/>
  <c r="CQ246" i="1"/>
  <c r="CR385" i="1"/>
  <c r="CR454" i="1"/>
  <c r="CQ203" i="1"/>
  <c r="CQ325" i="1"/>
  <c r="CQ454" i="1"/>
  <c r="CQ151" i="1"/>
  <c r="CQ445" i="1"/>
  <c r="CR422" i="1"/>
  <c r="CR75" i="1"/>
  <c r="CR405" i="1"/>
  <c r="CQ256" i="1"/>
  <c r="CQ412" i="1"/>
  <c r="CR444" i="1"/>
  <c r="CR135" i="1"/>
  <c r="CR63" i="1"/>
  <c r="CQ401" i="1"/>
  <c r="DD340" i="1"/>
  <c r="DD100" i="1"/>
  <c r="DC120" i="1"/>
  <c r="DD156" i="1"/>
  <c r="DD25" i="1"/>
  <c r="DC360" i="1"/>
  <c r="DC275" i="1"/>
  <c r="DD269" i="1"/>
  <c r="DD9" i="1"/>
  <c r="DC316" i="1"/>
  <c r="DC225" i="1"/>
  <c r="DC309" i="1"/>
  <c r="DC49" i="1"/>
  <c r="DD308" i="1"/>
  <c r="DC438" i="1"/>
  <c r="DC198" i="1"/>
  <c r="DC427" i="1"/>
  <c r="DD246" i="1"/>
  <c r="DD65" i="1"/>
  <c r="DD387" i="1"/>
  <c r="DD127" i="1"/>
  <c r="DC147" i="1"/>
  <c r="DC56" i="1"/>
  <c r="DD472" i="1"/>
  <c r="DC213" i="1"/>
  <c r="DC454" i="1"/>
  <c r="DC494" i="1"/>
  <c r="DD313" i="1"/>
  <c r="DC54" i="1"/>
  <c r="DD471" i="1"/>
  <c r="DC313" i="1"/>
  <c r="DC332" i="1"/>
  <c r="DC493" i="1"/>
  <c r="DC15" i="1"/>
  <c r="DC381" i="1"/>
  <c r="DD314" i="1"/>
  <c r="DC492" i="1"/>
  <c r="DC35" i="1"/>
  <c r="DC253" i="1"/>
  <c r="DP440" i="1"/>
  <c r="DP180" i="1"/>
  <c r="DO319" i="1"/>
  <c r="DO57" i="1"/>
  <c r="DO360" i="1"/>
  <c r="DO100" i="1"/>
  <c r="DO79" i="1"/>
  <c r="DP286" i="1"/>
  <c r="DP289" i="1"/>
  <c r="DP29" i="1"/>
  <c r="DP27" i="1"/>
  <c r="DP488" i="1"/>
  <c r="DP248" i="1"/>
  <c r="DP437" i="1"/>
  <c r="DO468" i="1"/>
  <c r="DO208" i="1"/>
  <c r="DP427" i="1"/>
  <c r="DP435" i="1"/>
  <c r="DP195" i="1"/>
  <c r="DO425" i="1"/>
  <c r="DO185" i="1"/>
  <c r="DP414" i="1"/>
  <c r="DP422" i="1"/>
  <c r="DP154" i="1"/>
  <c r="DP112" i="1"/>
  <c r="DP203" i="1"/>
  <c r="DP21" i="1"/>
  <c r="DP56" i="1"/>
  <c r="DO291" i="1"/>
  <c r="DP143" i="1"/>
  <c r="DP471" i="1"/>
  <c r="DO16" i="1"/>
  <c r="DO491" i="1"/>
  <c r="DP31" i="1"/>
  <c r="DO82" i="1"/>
  <c r="CR490" i="1"/>
  <c r="CR250" i="1"/>
  <c r="CQ127" i="1"/>
  <c r="CQ370" i="1"/>
  <c r="CQ110" i="1"/>
  <c r="CR128" i="1"/>
  <c r="CR339" i="1"/>
  <c r="CR99" i="1"/>
  <c r="CR236" i="1"/>
  <c r="CQ299" i="1"/>
  <c r="CQ39" i="1"/>
  <c r="CR196" i="1"/>
  <c r="CQ268" i="1"/>
  <c r="CQ28" i="1"/>
  <c r="CQ287" i="1"/>
  <c r="CR356" i="1"/>
  <c r="CQ346" i="1"/>
  <c r="CR297" i="1"/>
  <c r="CQ277" i="1"/>
  <c r="CQ282" i="1"/>
  <c r="CQ191" i="1"/>
  <c r="CQ125" i="1"/>
  <c r="CQ176" i="1"/>
  <c r="CR231" i="1"/>
  <c r="CQ144" i="1"/>
  <c r="CR434" i="1"/>
  <c r="CR93" i="1"/>
  <c r="CQ253" i="1"/>
  <c r="CQ434" i="1"/>
  <c r="CR472" i="1"/>
  <c r="CR305" i="1"/>
  <c r="CR155" i="1"/>
  <c r="CQ61" i="1"/>
  <c r="CQ201" i="1"/>
  <c r="CR241" i="1"/>
  <c r="CQ392" i="1"/>
  <c r="CQ305" i="1"/>
  <c r="CR11" i="1"/>
  <c r="CR45" i="1"/>
  <c r="CR64" i="1"/>
  <c r="DD330" i="1"/>
  <c r="DD90" i="1"/>
  <c r="DC100" i="1"/>
  <c r="DD86" i="1"/>
  <c r="DC465" i="1"/>
  <c r="DC330" i="1"/>
  <c r="DD499" i="1"/>
  <c r="DD259" i="1"/>
  <c r="DD228" i="1"/>
  <c r="DC266" i="1"/>
  <c r="DC185" i="1"/>
  <c r="DC299" i="1"/>
  <c r="DC39" i="1"/>
  <c r="DD298" i="1"/>
  <c r="DC428" i="1"/>
  <c r="DC188" i="1"/>
  <c r="DC417" i="1"/>
  <c r="DD206" i="1"/>
  <c r="DD15" i="1"/>
  <c r="DD377" i="1"/>
  <c r="DD117" i="1"/>
  <c r="DC127" i="1"/>
  <c r="DD475" i="1"/>
  <c r="DD444" i="1"/>
  <c r="DC113" i="1"/>
  <c r="DC282" i="1"/>
  <c r="DC472" i="1"/>
  <c r="DD191" i="1"/>
  <c r="DD431" i="1"/>
  <c r="DD443" i="1"/>
  <c r="DC241" i="1"/>
  <c r="DC204" i="1"/>
  <c r="DC471" i="1"/>
  <c r="DC391" i="1"/>
  <c r="DC231" i="1"/>
  <c r="DD292" i="1"/>
  <c r="DC464" i="1"/>
  <c r="DC412" i="1"/>
  <c r="DC81" i="1"/>
  <c r="DP430" i="1"/>
  <c r="DP170" i="1"/>
  <c r="DO289" i="1"/>
  <c r="DP496" i="1"/>
  <c r="DO350" i="1"/>
  <c r="DO90" i="1"/>
  <c r="DO49" i="1"/>
  <c r="DP256" i="1"/>
  <c r="DP279" i="1"/>
  <c r="DP19" i="1"/>
  <c r="DO487" i="1"/>
  <c r="DP478" i="1"/>
  <c r="DP238" i="1"/>
  <c r="DP417" i="1"/>
  <c r="DO458" i="1"/>
  <c r="DO198" i="1"/>
  <c r="DP407" i="1"/>
  <c r="DP425" i="1"/>
  <c r="DP185" i="1"/>
  <c r="DO415" i="1"/>
  <c r="DO175" i="1"/>
  <c r="DP404" i="1"/>
  <c r="DO396" i="1"/>
  <c r="DP94" i="1"/>
  <c r="DP52" i="1"/>
  <c r="DP123" i="1"/>
  <c r="DO494" i="1"/>
  <c r="DP36" i="1"/>
  <c r="DP172" i="1"/>
  <c r="DP43" i="1"/>
  <c r="DP443" i="1"/>
  <c r="DO443" i="1"/>
  <c r="DO363" i="1"/>
  <c r="DP453" i="1"/>
  <c r="DO451" i="1"/>
  <c r="DO266" i="1"/>
  <c r="DP391" i="1"/>
  <c r="DO353" i="1"/>
  <c r="DO131" i="1"/>
  <c r="DP166" i="1"/>
  <c r="DO186" i="1"/>
  <c r="CR300" i="1"/>
  <c r="CQ17" i="1"/>
  <c r="CQ300" i="1"/>
  <c r="CR418" i="1"/>
  <c r="CR409" i="1"/>
  <c r="CR89" i="1"/>
  <c r="CQ489" i="1"/>
  <c r="CQ149" i="1"/>
  <c r="CR88" i="1"/>
  <c r="CQ258" i="1"/>
  <c r="CQ497" i="1"/>
  <c r="CQ37" i="1"/>
  <c r="CQ416" i="1"/>
  <c r="CR287" i="1"/>
  <c r="CQ177" i="1"/>
  <c r="CQ495" i="1"/>
  <c r="CQ306" i="1"/>
  <c r="CR123" i="1"/>
  <c r="CQ362" i="1"/>
  <c r="CR51" i="1"/>
  <c r="CQ81" i="1"/>
  <c r="CR162" i="1"/>
  <c r="CQ334" i="1"/>
  <c r="CR235" i="1"/>
  <c r="CQ323" i="1"/>
  <c r="CQ42" i="1"/>
  <c r="CR383" i="1"/>
  <c r="CR352" i="1"/>
  <c r="CR215" i="1"/>
  <c r="CQ481" i="1"/>
  <c r="CR263" i="1"/>
  <c r="DD440" i="1"/>
  <c r="DD140" i="1"/>
  <c r="DC80" i="1"/>
  <c r="DC276" i="1"/>
  <c r="DC470" i="1"/>
  <c r="DD116" i="1"/>
  <c r="DD249" i="1"/>
  <c r="DD58" i="1"/>
  <c r="DD135" i="1"/>
  <c r="DC349" i="1"/>
  <c r="DC29" i="1"/>
  <c r="DD208" i="1"/>
  <c r="DC298" i="1"/>
  <c r="DD37" i="1"/>
  <c r="DD166" i="1"/>
  <c r="DC295" i="1"/>
  <c r="DD227" i="1"/>
  <c r="DC247" i="1"/>
  <c r="DD455" i="1"/>
  <c r="DD272" i="1"/>
  <c r="DC13" i="1"/>
  <c r="DD473" i="1"/>
  <c r="DD41" i="1"/>
  <c r="DC331" i="1"/>
  <c r="DD71" i="1"/>
  <c r="DD204" i="1"/>
  <c r="DC443" i="1"/>
  <c r="DC234" i="1"/>
  <c r="DC373" i="1"/>
  <c r="DD281" i="1"/>
  <c r="DC334" i="1"/>
  <c r="DC274" i="1"/>
  <c r="DP280" i="1"/>
  <c r="DO439" i="1"/>
  <c r="DP426" i="1"/>
  <c r="DO280" i="1"/>
  <c r="DO349" i="1"/>
  <c r="DP476" i="1"/>
  <c r="DP269" i="1"/>
  <c r="DO399" i="1"/>
  <c r="DP436" i="1"/>
  <c r="DP288" i="1"/>
  <c r="DP397" i="1"/>
  <c r="DO388" i="1"/>
  <c r="DO68" i="1"/>
  <c r="DP495" i="1"/>
  <c r="DP175" i="1"/>
  <c r="DO365" i="1"/>
  <c r="DO25" i="1"/>
  <c r="DP214" i="1"/>
  <c r="DP54" i="1"/>
  <c r="DO12" i="1"/>
  <c r="DP401" i="1"/>
  <c r="DP136" i="1"/>
  <c r="DP92" i="1"/>
  <c r="DO424" i="1"/>
  <c r="DO176" i="1"/>
  <c r="DP263" i="1"/>
  <c r="DO184" i="1"/>
  <c r="DP281" i="1"/>
  <c r="DO94" i="1"/>
  <c r="DO242" i="1"/>
  <c r="DP211" i="1"/>
  <c r="DP186" i="1"/>
  <c r="DO126" i="1"/>
  <c r="DP104" i="1"/>
  <c r="DO252" i="1"/>
  <c r="EB430" i="1"/>
  <c r="EB210" i="1"/>
  <c r="EA490" i="1"/>
  <c r="EA270" i="1"/>
  <c r="EA60" i="1"/>
  <c r="EB499" i="1"/>
  <c r="EB299" i="1"/>
  <c r="EB99" i="1"/>
  <c r="EA475" i="1"/>
  <c r="EA319" i="1"/>
  <c r="EA119" i="1"/>
  <c r="EB455" i="1"/>
  <c r="EB358" i="1"/>
  <c r="EB158" i="1"/>
  <c r="EA246" i="1"/>
  <c r="EA358" i="1"/>
  <c r="EA158" i="1"/>
  <c r="EA296" i="1"/>
  <c r="EB357" i="1"/>
  <c r="EB157" i="1"/>
  <c r="EA397" i="1"/>
  <c r="EA106" i="1"/>
  <c r="EB65" i="1"/>
  <c r="EA35" i="1"/>
  <c r="EB416" i="1"/>
  <c r="EB216" i="1"/>
  <c r="CR290" i="1"/>
  <c r="CR476" i="1"/>
  <c r="CQ290" i="1"/>
  <c r="CR398" i="1"/>
  <c r="CR399" i="1"/>
  <c r="CR79" i="1"/>
  <c r="CQ479" i="1"/>
  <c r="CQ139" i="1"/>
  <c r="CR58" i="1"/>
  <c r="CQ248" i="1"/>
  <c r="CQ477" i="1"/>
  <c r="CQ27" i="1"/>
  <c r="CQ406" i="1"/>
  <c r="CR277" i="1"/>
  <c r="CQ147" i="1"/>
  <c r="CQ455" i="1"/>
  <c r="CR291" i="1"/>
  <c r="CQ52" i="1"/>
  <c r="CQ342" i="1"/>
  <c r="CQ403" i="1"/>
  <c r="CQ62" i="1"/>
  <c r="CQ72" i="1"/>
  <c r="CQ314" i="1"/>
  <c r="CQ183" i="1"/>
  <c r="CQ232" i="1"/>
  <c r="CQ23" i="1"/>
  <c r="CQ142" i="1"/>
  <c r="CR312" i="1"/>
  <c r="CR91" i="1"/>
  <c r="CR282" i="1"/>
  <c r="CQ116" i="1"/>
  <c r="DD430" i="1"/>
  <c r="DD130" i="1"/>
  <c r="DC60" i="1"/>
  <c r="DC236" i="1"/>
  <c r="DC460" i="1"/>
  <c r="DD26" i="1"/>
  <c r="DD239" i="1"/>
  <c r="DD38" i="1"/>
  <c r="DD85" i="1"/>
  <c r="DC339" i="1"/>
  <c r="DC19" i="1"/>
  <c r="DD178" i="1"/>
  <c r="DC288" i="1"/>
  <c r="DC497" i="1"/>
  <c r="DD106" i="1"/>
  <c r="DC245" i="1"/>
  <c r="DD217" i="1"/>
  <c r="DC227" i="1"/>
  <c r="DD405" i="1"/>
  <c r="DD244" i="1"/>
  <c r="DC483" i="1"/>
  <c r="DD273" i="1"/>
  <c r="DC441" i="1"/>
  <c r="DC203" i="1"/>
  <c r="DD43" i="1"/>
  <c r="DD154" i="1"/>
  <c r="DC421" i="1"/>
  <c r="DC62" i="1"/>
  <c r="DC201" i="1"/>
  <c r="DC353" i="1"/>
  <c r="DC212" i="1"/>
  <c r="DC102" i="1"/>
  <c r="DP270" i="1"/>
  <c r="DO409" i="1"/>
  <c r="DP396" i="1"/>
  <c r="DO270" i="1"/>
  <c r="DO329" i="1"/>
  <c r="DP446" i="1"/>
  <c r="DP259" i="1"/>
  <c r="DO369" i="1"/>
  <c r="DP406" i="1"/>
  <c r="DP278" i="1"/>
  <c r="DP377" i="1"/>
  <c r="DO378" i="1"/>
  <c r="DO58" i="1"/>
  <c r="DP485" i="1"/>
  <c r="DP165" i="1"/>
  <c r="DO355" i="1"/>
  <c r="DO15" i="1"/>
  <c r="DO496" i="1"/>
  <c r="DO442" i="1"/>
  <c r="DO434" i="1"/>
  <c r="DP351" i="1"/>
  <c r="DP116" i="1"/>
  <c r="DP32" i="1"/>
  <c r="DO224" i="1"/>
  <c r="DO156" i="1"/>
  <c r="DO173" i="1"/>
  <c r="DO84" i="1"/>
  <c r="DO231" i="1"/>
  <c r="DO34" i="1"/>
  <c r="DP113" i="1"/>
  <c r="DO191" i="1"/>
  <c r="DP146" i="1"/>
  <c r="DO106" i="1"/>
  <c r="DP84" i="1"/>
  <c r="DP162" i="1"/>
  <c r="EB420" i="1"/>
  <c r="EB200" i="1"/>
  <c r="EA480" i="1"/>
  <c r="EA260" i="1"/>
  <c r="EA50" i="1"/>
  <c r="EB489" i="1"/>
  <c r="EB289" i="1"/>
  <c r="EB89" i="1"/>
  <c r="EA125" i="1"/>
  <c r="EA309" i="1"/>
  <c r="EA109" i="1"/>
  <c r="EB155" i="1"/>
  <c r="EB348" i="1"/>
  <c r="EB148" i="1"/>
  <c r="EA86" i="1"/>
  <c r="EA348" i="1"/>
  <c r="EA148" i="1"/>
  <c r="EA26" i="1"/>
  <c r="EB347" i="1"/>
  <c r="EB147" i="1"/>
  <c r="EA387" i="1"/>
  <c r="EA76" i="1"/>
  <c r="EB35" i="1"/>
  <c r="EB484" i="1"/>
  <c r="EB406" i="1"/>
  <c r="EB206" i="1"/>
  <c r="EA496" i="1"/>
  <c r="EA236" i="1"/>
  <c r="EB245" i="1"/>
  <c r="EA215" i="1"/>
  <c r="EB443" i="1"/>
  <c r="EB43" i="1"/>
  <c r="EB182" i="1"/>
  <c r="EB224" i="1"/>
  <c r="EA443" i="1"/>
  <c r="EA71" i="1"/>
  <c r="CR460" i="1"/>
  <c r="CR160" i="1"/>
  <c r="CQ460" i="1"/>
  <c r="CQ160" i="1"/>
  <c r="CR486" i="1"/>
  <c r="CR249" i="1"/>
  <c r="CR208" i="1"/>
  <c r="CQ329" i="1"/>
  <c r="CQ9" i="1"/>
  <c r="CQ438" i="1"/>
  <c r="CQ118" i="1"/>
  <c r="CQ347" i="1"/>
  <c r="CR286" i="1"/>
  <c r="CR447" i="1"/>
  <c r="CR117" i="1"/>
  <c r="CR335" i="1"/>
  <c r="CQ115" i="1"/>
  <c r="CR181" i="1"/>
  <c r="CR103" i="1"/>
  <c r="CQ153" i="1"/>
  <c r="CR334" i="1"/>
  <c r="CR311" i="1"/>
  <c r="CQ175" i="1"/>
  <c r="CR42" i="1"/>
  <c r="CQ15" i="1"/>
  <c r="CR373" i="1"/>
  <c r="CR431" i="1"/>
  <c r="CQ333" i="1"/>
  <c r="CQ74" i="1"/>
  <c r="CQ104" i="1"/>
  <c r="CQ264" i="1"/>
  <c r="CR102" i="1"/>
  <c r="DD300" i="1"/>
  <c r="DC370" i="1"/>
  <c r="DC17" i="1"/>
  <c r="DD155" i="1"/>
  <c r="DC180" i="1"/>
  <c r="DD409" i="1"/>
  <c r="DD89" i="1"/>
  <c r="DC396" i="1"/>
  <c r="DC65" i="1"/>
  <c r="DC209" i="1"/>
  <c r="DD388" i="1"/>
  <c r="DC478" i="1"/>
  <c r="DC138" i="1"/>
  <c r="DC237" i="1"/>
  <c r="DD435" i="1"/>
  <c r="DD407" i="1"/>
  <c r="DD77" i="1"/>
  <c r="DD266" i="1"/>
  <c r="DC315" i="1"/>
  <c r="DD291" i="1"/>
  <c r="DD253" i="1"/>
  <c r="DC244" i="1"/>
  <c r="DC161" i="1"/>
  <c r="DC73" i="1"/>
  <c r="DD462" i="1"/>
  <c r="DC53" i="1"/>
  <c r="DC93" i="1"/>
  <c r="DC104" i="1"/>
  <c r="DD164" i="1"/>
  <c r="DC114" i="1"/>
  <c r="DC482" i="1"/>
  <c r="DP460" i="1"/>
  <c r="DP140" i="1"/>
  <c r="DP197" i="1"/>
  <c r="DO440" i="1"/>
  <c r="DO140" i="1"/>
  <c r="DP17" i="1"/>
  <c r="DP429" i="1"/>
  <c r="DP109" i="1"/>
  <c r="DP87" i="1"/>
  <c r="DP448" i="1"/>
  <c r="DP148" i="1"/>
  <c r="DO467" i="1"/>
  <c r="DO248" i="1"/>
  <c r="DP307" i="1"/>
  <c r="DP335" i="1"/>
  <c r="DP15" i="1"/>
  <c r="DO205" i="1"/>
  <c r="DP374" i="1"/>
  <c r="DO181" i="1"/>
  <c r="DO391" i="1"/>
  <c r="DO453" i="1"/>
  <c r="DO422" i="1"/>
  <c r="DP74" i="1"/>
  <c r="DP403" i="1"/>
  <c r="DP61" i="1"/>
  <c r="DO321" i="1"/>
  <c r="DP262" i="1"/>
  <c r="DP182" i="1"/>
  <c r="DP342" i="1"/>
  <c r="DO341" i="1"/>
  <c r="DO373" i="1"/>
  <c r="DO483" i="1"/>
  <c r="DP382" i="1"/>
  <c r="DO332" i="1"/>
  <c r="DO431" i="1"/>
  <c r="DO24" i="1"/>
  <c r="EB330" i="1"/>
  <c r="EB110" i="1"/>
  <c r="EA390" i="1"/>
  <c r="EA170" i="1"/>
  <c r="EA167" i="1"/>
  <c r="EB399" i="1"/>
  <c r="EB199" i="1"/>
  <c r="EA457" i="1"/>
  <c r="EA419" i="1"/>
  <c r="EA219" i="1"/>
  <c r="EA19" i="1"/>
  <c r="EB458" i="1"/>
  <c r="EB258" i="1"/>
  <c r="EB58" i="1"/>
  <c r="EA458" i="1"/>
  <c r="EA258" i="1"/>
  <c r="EA58" i="1"/>
  <c r="EB457" i="1"/>
  <c r="EB257" i="1"/>
  <c r="EB57" i="1"/>
  <c r="EA147" i="1"/>
  <c r="EB315" i="1"/>
  <c r="EA285" i="1"/>
  <c r="EB264" i="1"/>
  <c r="CR450" i="1"/>
  <c r="CR150" i="1"/>
  <c r="CQ450" i="1"/>
  <c r="CQ150" i="1"/>
  <c r="CR206" i="1"/>
  <c r="CR239" i="1"/>
  <c r="CR168" i="1"/>
  <c r="CQ319" i="1"/>
  <c r="CR478" i="1"/>
  <c r="CQ428" i="1"/>
  <c r="CQ108" i="1"/>
  <c r="CQ337" i="1"/>
  <c r="CR276" i="1"/>
  <c r="CR437" i="1"/>
  <c r="CR107" i="1"/>
  <c r="CR315" i="1"/>
  <c r="CR81" i="1"/>
  <c r="CQ91" i="1"/>
  <c r="CR482" i="1"/>
  <c r="CQ96" i="1"/>
  <c r="CR314" i="1"/>
  <c r="CR254" i="1"/>
  <c r="CR65" i="1"/>
  <c r="CR23" i="1"/>
  <c r="CR424" i="1"/>
  <c r="CR353" i="1"/>
  <c r="CR273" i="1"/>
  <c r="CQ313" i="1"/>
  <c r="CR451" i="1"/>
  <c r="CR13" i="1"/>
  <c r="CQ121" i="1"/>
  <c r="CQ421" i="1"/>
  <c r="DD290" i="1"/>
  <c r="DC350" i="1"/>
  <c r="DD466" i="1"/>
  <c r="DD125" i="1"/>
  <c r="DC160" i="1"/>
  <c r="DD399" i="1"/>
  <c r="DD79" i="1"/>
  <c r="DC356" i="1"/>
  <c r="DC499" i="1"/>
  <c r="DC199" i="1"/>
  <c r="DD378" i="1"/>
  <c r="DC468" i="1"/>
  <c r="DC128" i="1"/>
  <c r="DC217" i="1"/>
  <c r="DD385" i="1"/>
  <c r="DD397" i="1"/>
  <c r="DD67" i="1"/>
  <c r="DD216" i="1"/>
  <c r="DC265" i="1"/>
  <c r="DD141" i="1"/>
  <c r="DD153" i="1"/>
  <c r="DC222" i="1"/>
  <c r="DD33" i="1"/>
  <c r="DD493" i="1"/>
  <c r="DD262" i="1"/>
  <c r="DD402" i="1"/>
  <c r="DC71" i="1"/>
  <c r="DD381" i="1"/>
  <c r="DD142" i="1"/>
  <c r="DC42" i="1"/>
  <c r="DC254" i="1"/>
  <c r="DP450" i="1"/>
  <c r="DP130" i="1"/>
  <c r="DP107" i="1"/>
  <c r="DO430" i="1"/>
  <c r="DO130" i="1"/>
  <c r="DO477" i="1"/>
  <c r="DP419" i="1"/>
  <c r="DP99" i="1"/>
  <c r="DP47" i="1"/>
  <c r="DP438" i="1"/>
  <c r="DP138" i="1"/>
  <c r="DO217" i="1"/>
  <c r="DO238" i="1"/>
  <c r="DP287" i="1"/>
  <c r="DP325" i="1"/>
  <c r="DO495" i="1"/>
  <c r="DO195" i="1"/>
  <c r="DP364" i="1"/>
  <c r="DO161" i="1"/>
  <c r="DO313" i="1"/>
  <c r="DO381" i="1"/>
  <c r="DO394" i="1"/>
  <c r="DP14" i="1"/>
  <c r="DP231" i="1"/>
  <c r="DP493" i="1"/>
  <c r="DO243" i="1"/>
  <c r="DO236" i="1"/>
  <c r="DP102" i="1"/>
  <c r="DO316" i="1"/>
  <c r="DP362" i="1"/>
  <c r="DP483" i="1"/>
  <c r="DO461" i="1"/>
  <c r="DO356" i="1"/>
  <c r="DO304" i="1"/>
  <c r="DO331" i="1"/>
  <c r="DP402" i="1"/>
  <c r="EB320" i="1"/>
  <c r="EB100" i="1"/>
  <c r="EA380" i="1"/>
  <c r="EA160" i="1"/>
  <c r="EA97" i="1"/>
  <c r="EB389" i="1"/>
  <c r="EB189" i="1"/>
  <c r="EA347" i="1"/>
  <c r="EA409" i="1"/>
  <c r="EA209" i="1"/>
  <c r="EA9" i="1"/>
  <c r="EB448" i="1"/>
  <c r="EB248" i="1"/>
  <c r="EB48" i="1"/>
  <c r="EA448" i="1"/>
  <c r="EA248" i="1"/>
  <c r="EA48" i="1"/>
  <c r="EB447" i="1"/>
  <c r="EB247" i="1"/>
  <c r="EB47" i="1"/>
  <c r="EA107" i="1"/>
  <c r="EB295" i="1"/>
  <c r="EA265" i="1"/>
  <c r="EB244" i="1"/>
  <c r="EB306" i="1"/>
  <c r="EB106" i="1"/>
  <c r="EA396" i="1"/>
  <c r="EA66" i="1"/>
  <c r="CR200" i="1"/>
  <c r="CQ420" i="1"/>
  <c r="CQ60" i="1"/>
  <c r="CR389" i="1"/>
  <c r="CR9" i="1"/>
  <c r="CQ289" i="1"/>
  <c r="CR238" i="1"/>
  <c r="CQ238" i="1"/>
  <c r="CQ387" i="1"/>
  <c r="CR256" i="1"/>
  <c r="CR347" i="1"/>
  <c r="CR166" i="1"/>
  <c r="CQ315" i="1"/>
  <c r="CR252" i="1"/>
  <c r="CR212" i="1"/>
  <c r="CQ251" i="1"/>
  <c r="CQ255" i="1"/>
  <c r="CQ13" i="1"/>
  <c r="CQ236" i="1"/>
  <c r="CR122" i="1"/>
  <c r="CR55" i="1"/>
  <c r="CR222" i="1"/>
  <c r="CQ254" i="1"/>
  <c r="CQ102" i="1"/>
  <c r="CR44" i="1"/>
  <c r="DD280" i="1"/>
  <c r="DC220" i="1"/>
  <c r="DC196" i="1"/>
  <c r="DC390" i="1"/>
  <c r="DD369" i="1"/>
  <c r="DD158" i="1"/>
  <c r="DD45" i="1"/>
  <c r="DC249" i="1"/>
  <c r="DD348" i="1"/>
  <c r="DC378" i="1"/>
  <c r="DC477" i="1"/>
  <c r="DC296" i="1"/>
  <c r="DD367" i="1"/>
  <c r="DC367" i="1"/>
  <c r="DD345" i="1"/>
  <c r="DD23" i="1"/>
  <c r="DD81" i="1"/>
  <c r="DD92" i="1"/>
  <c r="DD302" i="1"/>
  <c r="DD463" i="1"/>
  <c r="DC474" i="1"/>
  <c r="DC91" i="1"/>
  <c r="DC101" i="1"/>
  <c r="DC392" i="1"/>
  <c r="DC82" i="1"/>
  <c r="DP360" i="1"/>
  <c r="DO389" i="1"/>
  <c r="DO500" i="1"/>
  <c r="DO80" i="1"/>
  <c r="DO147" i="1"/>
  <c r="DP229" i="1"/>
  <c r="DO99" i="1"/>
  <c r="DP428" i="1"/>
  <c r="DP48" i="1"/>
  <c r="DO368" i="1"/>
  <c r="DP467" i="1"/>
  <c r="DP295" i="1"/>
  <c r="DO405" i="1"/>
  <c r="DP494" i="1"/>
  <c r="DP272" i="1"/>
  <c r="DO263" i="1"/>
  <c r="DO103" i="1"/>
  <c r="DP96" i="1"/>
  <c r="DO52" i="1"/>
  <c r="DP421" i="1"/>
  <c r="DP13" i="1"/>
  <c r="DO403" i="1"/>
  <c r="DP442" i="1"/>
  <c r="DO384" i="1"/>
  <c r="DP311" i="1"/>
  <c r="DP126" i="1"/>
  <c r="DO432" i="1"/>
  <c r="DP163" i="1"/>
  <c r="EB490" i="1"/>
  <c r="EB190" i="1"/>
  <c r="EA430" i="1"/>
  <c r="EA150" i="1"/>
  <c r="EB195" i="1"/>
  <c r="EB279" i="1"/>
  <c r="EB39" i="1"/>
  <c r="EA399" i="1"/>
  <c r="EA159" i="1"/>
  <c r="EB15" i="1"/>
  <c r="EB298" i="1"/>
  <c r="EB38" i="1"/>
  <c r="EA398" i="1"/>
  <c r="EA138" i="1"/>
  <c r="EB497" i="1"/>
  <c r="EB237" i="1"/>
  <c r="EA437" i="1"/>
  <c r="EA16" i="1"/>
  <c r="EA365" i="1"/>
  <c r="EB496" i="1"/>
  <c r="EB266" i="1"/>
  <c r="EB36" i="1"/>
  <c r="EA266" i="1"/>
  <c r="EB205" i="1"/>
  <c r="EA145" i="1"/>
  <c r="EB332" i="1"/>
  <c r="EA384" i="1"/>
  <c r="EA154" i="1"/>
  <c r="EA52" i="1"/>
  <c r="EB193" i="1"/>
  <c r="EB342" i="1"/>
  <c r="EA272" i="1"/>
  <c r="EA82" i="1"/>
  <c r="EA164" i="1"/>
  <c r="EB282" i="1"/>
  <c r="EA344" i="1"/>
  <c r="EA213" i="1"/>
  <c r="EB151" i="1"/>
  <c r="EB262" i="1"/>
  <c r="EB423" i="1"/>
  <c r="EB23" i="1"/>
  <c r="EA12" i="1"/>
  <c r="EB452" i="1"/>
  <c r="CF500" i="1"/>
  <c r="CF300" i="1"/>
  <c r="CF100" i="1"/>
  <c r="CE400" i="1"/>
  <c r="CE200" i="1"/>
  <c r="CE498" i="1"/>
  <c r="CE298" i="1"/>
  <c r="CE98" i="1"/>
  <c r="CE277" i="1"/>
  <c r="CF386" i="1"/>
  <c r="CF497" i="1"/>
  <c r="CF297" i="1"/>
  <c r="CF97" i="1"/>
  <c r="CE267" i="1"/>
  <c r="CF336" i="1"/>
  <c r="CF495" i="1"/>
  <c r="CF295" i="1"/>
  <c r="CF95" i="1"/>
  <c r="CE385" i="1"/>
  <c r="CE185" i="1"/>
  <c r="CR190" i="1"/>
  <c r="CQ410" i="1"/>
  <c r="CQ50" i="1"/>
  <c r="CR379" i="1"/>
  <c r="CR498" i="1"/>
  <c r="CQ279" i="1"/>
  <c r="CR218" i="1"/>
  <c r="CQ228" i="1"/>
  <c r="CQ377" i="1"/>
  <c r="CR246" i="1"/>
  <c r="CR337" i="1"/>
  <c r="CR76" i="1"/>
  <c r="CQ296" i="1"/>
  <c r="CR233" i="1"/>
  <c r="CR193" i="1"/>
  <c r="CR84" i="1"/>
  <c r="CR183" i="1"/>
  <c r="CR442" i="1"/>
  <c r="CR164" i="1"/>
  <c r="CQ32" i="1"/>
  <c r="CQ432" i="1"/>
  <c r="CR203" i="1"/>
  <c r="CR125" i="1"/>
  <c r="CR101" i="1"/>
  <c r="CQ155" i="1"/>
  <c r="DD270" i="1"/>
  <c r="DC200" i="1"/>
  <c r="DC146" i="1"/>
  <c r="DC380" i="1"/>
  <c r="DD359" i="1"/>
  <c r="DD128" i="1"/>
  <c r="DC495" i="1"/>
  <c r="DC239" i="1"/>
  <c r="DD338" i="1"/>
  <c r="DC368" i="1"/>
  <c r="DC467" i="1"/>
  <c r="DC256" i="1"/>
  <c r="DD357" i="1"/>
  <c r="DC347" i="1"/>
  <c r="DD305" i="1"/>
  <c r="DC314" i="1"/>
  <c r="DC453" i="1"/>
  <c r="DC342" i="1"/>
  <c r="DD124" i="1"/>
  <c r="DD241" i="1"/>
  <c r="DC202" i="1"/>
  <c r="DD384" i="1"/>
  <c r="DD492" i="1"/>
  <c r="DC364" i="1"/>
  <c r="DD453" i="1"/>
  <c r="DP350" i="1"/>
  <c r="DO359" i="1"/>
  <c r="DO490" i="1"/>
  <c r="DO70" i="1"/>
  <c r="DO107" i="1"/>
  <c r="DP219" i="1"/>
  <c r="DO69" i="1"/>
  <c r="DP418" i="1"/>
  <c r="DP38" i="1"/>
  <c r="DO358" i="1"/>
  <c r="DP447" i="1"/>
  <c r="DP285" i="1"/>
  <c r="DO395" i="1"/>
  <c r="DP484" i="1"/>
  <c r="DO246" i="1"/>
  <c r="DO213" i="1"/>
  <c r="DO23" i="1"/>
  <c r="DP76" i="1"/>
  <c r="DO484" i="1"/>
  <c r="DP393" i="1"/>
  <c r="DP441" i="1"/>
  <c r="DO281" i="1"/>
  <c r="DO416" i="1"/>
  <c r="DO164" i="1"/>
  <c r="DP283" i="1"/>
  <c r="DP106" i="1"/>
  <c r="DO404" i="1"/>
  <c r="DP83" i="1"/>
  <c r="EB480" i="1"/>
  <c r="EB180" i="1"/>
  <c r="EA420" i="1"/>
  <c r="EA130" i="1"/>
  <c r="EB55" i="1"/>
  <c r="EB269" i="1"/>
  <c r="EB29" i="1"/>
  <c r="EA389" i="1"/>
  <c r="EA149" i="1"/>
  <c r="EA445" i="1"/>
  <c r="EB288" i="1"/>
  <c r="EB28" i="1"/>
  <c r="EA388" i="1"/>
  <c r="EA128" i="1"/>
  <c r="EB487" i="1"/>
  <c r="EB227" i="1"/>
  <c r="EA427" i="1"/>
  <c r="EB495" i="1"/>
  <c r="EA345" i="1"/>
  <c r="EB486" i="1"/>
  <c r="EB256" i="1"/>
  <c r="EB26" i="1"/>
  <c r="EA226" i="1"/>
  <c r="EB175" i="1"/>
  <c r="EA95" i="1"/>
  <c r="EA303" i="1"/>
  <c r="EA361" i="1"/>
  <c r="EA32" i="1"/>
  <c r="EA451" i="1"/>
  <c r="EB171" i="1"/>
  <c r="EA203" i="1"/>
  <c r="EB242" i="1"/>
  <c r="EB401" i="1"/>
  <c r="EA142" i="1"/>
  <c r="EA282" i="1"/>
  <c r="EA314" i="1"/>
  <c r="EA191" i="1"/>
  <c r="EA363" i="1"/>
  <c r="EB161" i="1"/>
  <c r="EA342" i="1"/>
  <c r="EB392" i="1"/>
  <c r="EB321" i="1"/>
  <c r="EA423" i="1"/>
  <c r="CF490" i="1"/>
  <c r="CF290" i="1"/>
  <c r="CF90" i="1"/>
  <c r="CE390" i="1"/>
  <c r="CE190" i="1"/>
  <c r="CE488" i="1"/>
  <c r="CE288" i="1"/>
  <c r="CE88" i="1"/>
  <c r="CE257" i="1"/>
  <c r="CF366" i="1"/>
  <c r="CF487" i="1"/>
  <c r="CF287" i="1"/>
  <c r="CF87" i="1"/>
  <c r="CE247" i="1"/>
  <c r="CF316" i="1"/>
  <c r="CF485" i="1"/>
  <c r="CF285" i="1"/>
  <c r="CF85" i="1"/>
  <c r="CE375" i="1"/>
  <c r="CE175" i="1"/>
  <c r="CR180" i="1"/>
  <c r="CQ400" i="1"/>
  <c r="CQ20" i="1"/>
  <c r="CR329" i="1"/>
  <c r="CR298" i="1"/>
  <c r="CQ249" i="1"/>
  <c r="CR198" i="1"/>
  <c r="CQ218" i="1"/>
  <c r="CQ367" i="1"/>
  <c r="CR216" i="1"/>
  <c r="CR327" i="1"/>
  <c r="CR495" i="1"/>
  <c r="CQ172" i="1"/>
  <c r="CQ162" i="1"/>
  <c r="CQ46" i="1"/>
  <c r="CQ65" i="1"/>
  <c r="CQ112" i="1"/>
  <c r="CQ141" i="1"/>
  <c r="CQ131" i="1"/>
  <c r="CR31" i="1"/>
  <c r="CR202" i="1"/>
  <c r="CR184" i="1"/>
  <c r="CQ16" i="1"/>
  <c r="CR225" i="1"/>
  <c r="CR441" i="1"/>
  <c r="DD240" i="1"/>
  <c r="DC190" i="1"/>
  <c r="DD375" i="1"/>
  <c r="DC310" i="1"/>
  <c r="DD349" i="1"/>
  <c r="DD108" i="1"/>
  <c r="DC455" i="1"/>
  <c r="DC229" i="1"/>
  <c r="DD328" i="1"/>
  <c r="DC338" i="1"/>
  <c r="DC397" i="1"/>
  <c r="DC36" i="1"/>
  <c r="DD327" i="1"/>
  <c r="DC327" i="1"/>
  <c r="DD265" i="1"/>
  <c r="DC92" i="1"/>
  <c r="DC281" i="1"/>
  <c r="DC21" i="1"/>
  <c r="DC224" i="1"/>
  <c r="DC141" i="1"/>
  <c r="DD423" i="1"/>
  <c r="DC14" i="1"/>
  <c r="DD414" i="1"/>
  <c r="DC264" i="1"/>
  <c r="DD331" i="1"/>
  <c r="DP340" i="1"/>
  <c r="DO259" i="1"/>
  <c r="DO460" i="1"/>
  <c r="DO60" i="1"/>
  <c r="DO77" i="1"/>
  <c r="DP209" i="1"/>
  <c r="DP207" i="1"/>
  <c r="DP388" i="1"/>
  <c r="DP28" i="1"/>
  <c r="DO308" i="1"/>
  <c r="DP387" i="1"/>
  <c r="DP275" i="1"/>
  <c r="DO385" i="1"/>
  <c r="DP474" i="1"/>
  <c r="DP222" i="1"/>
  <c r="DP192" i="1"/>
  <c r="DO452" i="1"/>
  <c r="DP16" i="1"/>
  <c r="DP131" i="1"/>
  <c r="DP371" i="1"/>
  <c r="DP413" i="1"/>
  <c r="DP183" i="1"/>
  <c r="DP392" i="1"/>
  <c r="DO303" i="1"/>
  <c r="DP261" i="1"/>
  <c r="DP86" i="1"/>
  <c r="DO382" i="1"/>
  <c r="DO426" i="1"/>
  <c r="EB470" i="1"/>
  <c r="EB170" i="1"/>
  <c r="EA410" i="1"/>
  <c r="EA120" i="1"/>
  <c r="EA465" i="1"/>
  <c r="EB259" i="1"/>
  <c r="EB19" i="1"/>
  <c r="EA379" i="1"/>
  <c r="EA139" i="1"/>
  <c r="EA155" i="1"/>
  <c r="EB278" i="1"/>
  <c r="EB18" i="1"/>
  <c r="EA378" i="1"/>
  <c r="EA118" i="1"/>
  <c r="EB477" i="1"/>
  <c r="EB217" i="1"/>
  <c r="EA417" i="1"/>
  <c r="EB425" i="1"/>
  <c r="EA325" i="1"/>
  <c r="EB476" i="1"/>
  <c r="EB246" i="1"/>
  <c r="EB16" i="1"/>
  <c r="EA206" i="1"/>
  <c r="EB125" i="1"/>
  <c r="EA65" i="1"/>
  <c r="EB273" i="1"/>
  <c r="EB331" i="1"/>
  <c r="EA424" i="1"/>
  <c r="EB281" i="1"/>
  <c r="EB121" i="1"/>
  <c r="EA394" i="1"/>
  <c r="EB214" i="1"/>
  <c r="EA231" i="1"/>
  <c r="EA114" i="1"/>
  <c r="EB201" i="1"/>
  <c r="EA261" i="1"/>
  <c r="EA163" i="1"/>
  <c r="EB144" i="1"/>
  <c r="EA432" i="1"/>
  <c r="EB253" i="1"/>
  <c r="EB333" i="1"/>
  <c r="EB211" i="1"/>
  <c r="EB393" i="1"/>
  <c r="CF480" i="1"/>
  <c r="CF280" i="1"/>
  <c r="CF80" i="1"/>
  <c r="CE380" i="1"/>
  <c r="CE180" i="1"/>
  <c r="CE478" i="1"/>
  <c r="CR390" i="1"/>
  <c r="CR30" i="1"/>
  <c r="CQ210" i="1"/>
  <c r="CR48" i="1"/>
  <c r="CR179" i="1"/>
  <c r="CQ499" i="1"/>
  <c r="CQ99" i="1"/>
  <c r="CQ448" i="1"/>
  <c r="CQ48" i="1"/>
  <c r="CQ107" i="1"/>
  <c r="CQ326" i="1"/>
  <c r="CR127" i="1"/>
  <c r="CR172" i="1"/>
  <c r="CR365" i="1"/>
  <c r="CR343" i="1"/>
  <c r="CR224" i="1"/>
  <c r="CQ243" i="1"/>
  <c r="CQ425" i="1"/>
  <c r="CQ171" i="1"/>
  <c r="CR105" i="1"/>
  <c r="CQ204" i="1"/>
  <c r="CR142" i="1"/>
  <c r="CR74" i="1"/>
  <c r="CR443" i="1"/>
  <c r="CR211" i="1"/>
  <c r="DD490" i="1"/>
  <c r="DD70" i="1"/>
  <c r="DC57" i="1"/>
  <c r="DC285" i="1"/>
  <c r="DD236" i="1"/>
  <c r="DD179" i="1"/>
  <c r="DC416" i="1"/>
  <c r="DC439" i="1"/>
  <c r="DC79" i="1"/>
  <c r="DC46" i="1"/>
  <c r="DC168" i="1"/>
  <c r="DC37" i="1"/>
  <c r="DC335" i="1"/>
  <c r="DD177" i="1"/>
  <c r="DD296" i="1"/>
  <c r="DD494" i="1"/>
  <c r="DD311" i="1"/>
  <c r="DC422" i="1"/>
  <c r="DC283" i="1"/>
  <c r="DD293" i="1"/>
  <c r="DC111" i="1"/>
  <c r="DC321" i="1"/>
  <c r="DC232" i="1"/>
  <c r="DD363" i="1"/>
  <c r="DD162" i="1"/>
  <c r="DC223" i="1"/>
  <c r="DP150" i="1"/>
  <c r="DO327" i="1"/>
  <c r="DO290" i="1"/>
  <c r="DO159" i="1"/>
  <c r="DP459" i="1"/>
  <c r="DP59" i="1"/>
  <c r="DO137" i="1"/>
  <c r="DP218" i="1"/>
  <c r="DP37" i="1"/>
  <c r="DO158" i="1"/>
  <c r="DP456" i="1"/>
  <c r="DP105" i="1"/>
  <c r="DO215" i="1"/>
  <c r="DP304" i="1"/>
  <c r="DO221" i="1"/>
  <c r="DP71" i="1"/>
  <c r="DO444" i="1"/>
  <c r="DP241" i="1"/>
  <c r="DO43" i="1"/>
  <c r="DO76" i="1"/>
  <c r="DO336" i="1"/>
  <c r="DO142" i="1"/>
  <c r="DO114" i="1"/>
  <c r="DO412" i="1"/>
  <c r="DO11" i="1"/>
  <c r="DO256" i="1"/>
  <c r="DP124" i="1"/>
  <c r="DO423" i="1"/>
  <c r="EB340" i="1"/>
  <c r="EB60" i="1"/>
  <c r="EA280" i="1"/>
  <c r="EA10" i="1"/>
  <c r="EB409" i="1"/>
  <c r="EB149" i="1"/>
  <c r="EB135" i="1"/>
  <c r="EA269" i="1"/>
  <c r="EA29" i="1"/>
  <c r="EB408" i="1"/>
  <c r="EB168" i="1"/>
  <c r="EA85" i="1"/>
  <c r="EA268" i="1"/>
  <c r="EA487" i="1"/>
  <c r="EB367" i="1"/>
  <c r="EB107" i="1"/>
  <c r="EA177" i="1"/>
  <c r="EB215" i="1"/>
  <c r="EA55" i="1"/>
  <c r="EB366" i="1"/>
  <c r="EB136" i="1"/>
  <c r="EA406" i="1"/>
  <c r="EB415" i="1"/>
  <c r="EA355" i="1"/>
  <c r="EB314" i="1"/>
  <c r="EA44" i="1"/>
  <c r="EA111" i="1"/>
  <c r="EA31" i="1"/>
  <c r="EB493" i="1"/>
  <c r="EA93" i="1"/>
  <c r="EA333" i="1"/>
  <c r="EA412" i="1"/>
  <c r="EB412" i="1"/>
  <c r="EB84" i="1"/>
  <c r="EA271" i="1"/>
  <c r="EB462" i="1"/>
  <c r="EA374" i="1"/>
  <c r="EB263" i="1"/>
  <c r="EB54" i="1"/>
  <c r="EB24" i="1"/>
  <c r="EA404" i="1"/>
  <c r="EB82" i="1"/>
  <c r="EA444" i="1"/>
  <c r="CF390" i="1"/>
  <c r="CF190" i="1"/>
  <c r="CE490" i="1"/>
  <c r="CE290" i="1"/>
  <c r="CE90" i="1"/>
  <c r="CE388" i="1"/>
  <c r="CE188" i="1"/>
  <c r="CE457" i="1"/>
  <c r="CE57" i="1"/>
  <c r="CF166" i="1"/>
  <c r="CF387" i="1"/>
  <c r="CF187" i="1"/>
  <c r="CE447" i="1"/>
  <c r="CE47" i="1"/>
  <c r="CF106" i="1"/>
  <c r="CF385" i="1"/>
  <c r="CF185" i="1"/>
  <c r="CE475" i="1"/>
  <c r="CE275" i="1"/>
  <c r="CR70" i="1"/>
  <c r="CQ200" i="1"/>
  <c r="CR449" i="1"/>
  <c r="CR258" i="1"/>
  <c r="CQ199" i="1"/>
  <c r="CQ378" i="1"/>
  <c r="CQ467" i="1"/>
  <c r="CR176" i="1"/>
  <c r="CR217" i="1"/>
  <c r="CR153" i="1"/>
  <c r="CQ365" i="1"/>
  <c r="CQ482" i="1"/>
  <c r="CR394" i="1"/>
  <c r="CQ181" i="1"/>
  <c r="CR274" i="1"/>
  <c r="CQ442" i="1"/>
  <c r="CQ54" i="1"/>
  <c r="CQ22" i="1"/>
  <c r="CQ402" i="1"/>
  <c r="CQ245" i="1"/>
  <c r="DD170" i="1"/>
  <c r="DD316" i="1"/>
  <c r="DC450" i="1"/>
  <c r="DD339" i="1"/>
  <c r="DD256" i="1"/>
  <c r="DC409" i="1"/>
  <c r="DD448" i="1"/>
  <c r="DC328" i="1"/>
  <c r="DC297" i="1"/>
  <c r="DC125" i="1"/>
  <c r="DD57" i="1"/>
  <c r="DD225" i="1"/>
  <c r="DD84" i="1"/>
  <c r="DC394" i="1"/>
  <c r="DD303" i="1"/>
  <c r="DC41" i="1"/>
  <c r="DC301" i="1"/>
  <c r="DC131" i="1"/>
  <c r="DD224" i="1"/>
  <c r="DD181" i="1"/>
  <c r="DP230" i="1"/>
  <c r="DO297" i="1"/>
  <c r="DO180" i="1"/>
  <c r="DO37" i="1"/>
  <c r="DP119" i="1"/>
  <c r="DP376" i="1"/>
  <c r="DP88" i="1"/>
  <c r="DO298" i="1"/>
  <c r="DP177" i="1"/>
  <c r="DP95" i="1"/>
  <c r="DO105" i="1"/>
  <c r="DO201" i="1"/>
  <c r="DO92" i="1"/>
  <c r="DO372" i="1"/>
  <c r="DP462" i="1"/>
  <c r="DP343" i="1"/>
  <c r="DP152" i="1"/>
  <c r="DO251" i="1"/>
  <c r="DO264" i="1"/>
  <c r="DP233" i="1"/>
  <c r="DO406" i="1"/>
  <c r="DP64" i="1"/>
  <c r="DO374" i="1"/>
  <c r="EB160" i="1"/>
  <c r="EA320" i="1"/>
  <c r="EA447" i="1"/>
  <c r="EB339" i="1"/>
  <c r="EB9" i="1"/>
  <c r="EA329" i="1"/>
  <c r="EA467" i="1"/>
  <c r="EB338" i="1"/>
  <c r="EA477" i="1"/>
  <c r="EA308" i="1"/>
  <c r="EA317" i="1"/>
  <c r="EB297" i="1"/>
  <c r="EA407" i="1"/>
  <c r="EB335" i="1"/>
  <c r="EB424" i="1"/>
  <c r="EB316" i="1"/>
  <c r="EA486" i="1"/>
  <c r="EA136" i="1"/>
  <c r="EA335" i="1"/>
  <c r="EB471" i="1"/>
  <c r="EA302" i="1"/>
  <c r="EB474" i="1"/>
  <c r="EA471" i="1"/>
  <c r="EB133" i="1"/>
  <c r="EB192" i="1"/>
  <c r="EB362" i="1"/>
  <c r="EA134" i="1"/>
  <c r="EB13" i="1"/>
  <c r="EA141" i="1"/>
  <c r="EB381" i="1"/>
  <c r="EB453" i="1"/>
  <c r="EA422" i="1"/>
  <c r="EB83" i="1"/>
  <c r="EB51" i="1"/>
  <c r="CF380" i="1"/>
  <c r="CF140" i="1"/>
  <c r="CE370" i="1"/>
  <c r="CE130" i="1"/>
  <c r="CE378" i="1"/>
  <c r="CE148" i="1"/>
  <c r="CE317" i="1"/>
  <c r="CF326" i="1"/>
  <c r="CF437" i="1"/>
  <c r="CF207" i="1"/>
  <c r="CE407" i="1"/>
  <c r="CF416" i="1"/>
  <c r="CE466" i="1"/>
  <c r="CF255" i="1"/>
  <c r="CF25" i="1"/>
  <c r="CE285" i="1"/>
  <c r="CE55" i="1"/>
  <c r="CF344" i="1"/>
  <c r="CE386" i="1"/>
  <c r="CE39" i="1"/>
  <c r="CE136" i="1"/>
  <c r="CF169" i="1"/>
  <c r="CF219" i="1"/>
  <c r="CF272" i="1"/>
  <c r="CF362" i="1"/>
  <c r="CF153" i="1"/>
  <c r="CF473" i="1"/>
  <c r="CE286" i="1"/>
  <c r="CF431" i="1"/>
  <c r="CF79" i="1"/>
  <c r="CE212" i="1"/>
  <c r="CE356" i="1"/>
  <c r="CR60" i="1"/>
  <c r="CQ190" i="1"/>
  <c r="CR439" i="1"/>
  <c r="CR138" i="1"/>
  <c r="CQ129" i="1"/>
  <c r="CQ368" i="1"/>
  <c r="CQ457" i="1"/>
  <c r="CR36" i="1"/>
  <c r="CR207" i="1"/>
  <c r="CR134" i="1"/>
  <c r="CQ345" i="1"/>
  <c r="CQ322" i="1"/>
  <c r="CR295" i="1"/>
  <c r="CR52" i="1"/>
  <c r="CQ184" i="1"/>
  <c r="CR453" i="1"/>
  <c r="CQ385" i="1"/>
  <c r="CQ492" i="1"/>
  <c r="CQ231" i="1"/>
  <c r="CR192" i="1"/>
  <c r="DD120" i="1"/>
  <c r="DD276" i="1"/>
  <c r="DC440" i="1"/>
  <c r="DD309" i="1"/>
  <c r="DD196" i="1"/>
  <c r="DC399" i="1"/>
  <c r="DD438" i="1"/>
  <c r="DC278" i="1"/>
  <c r="DC137" i="1"/>
  <c r="DC95" i="1"/>
  <c r="DD47" i="1"/>
  <c r="DD95" i="1"/>
  <c r="DC462" i="1"/>
  <c r="DC372" i="1"/>
  <c r="DD131" i="1"/>
  <c r="DD112" i="1"/>
  <c r="DC393" i="1"/>
  <c r="DD31" i="1"/>
  <c r="DC352" i="1"/>
  <c r="DD474" i="1"/>
  <c r="DP220" i="1"/>
  <c r="DO257" i="1"/>
  <c r="DO170" i="1"/>
  <c r="DP416" i="1"/>
  <c r="DP89" i="1"/>
  <c r="DP356" i="1"/>
  <c r="DP78" i="1"/>
  <c r="DO288" i="1"/>
  <c r="DO237" i="1"/>
  <c r="DP85" i="1"/>
  <c r="DO95" i="1"/>
  <c r="DO81" i="1"/>
  <c r="DO362" i="1"/>
  <c r="DO344" i="1"/>
  <c r="DP312" i="1"/>
  <c r="DP321" i="1"/>
  <c r="DP72" i="1"/>
  <c r="DP121" i="1"/>
  <c r="DO214" i="1"/>
  <c r="DO171" i="1"/>
  <c r="DP332" i="1"/>
  <c r="DP44" i="1"/>
  <c r="DP373" i="1"/>
  <c r="EB150" i="1"/>
  <c r="EA310" i="1"/>
  <c r="EA357" i="1"/>
  <c r="EB329" i="1"/>
  <c r="EA277" i="1"/>
  <c r="EA299" i="1"/>
  <c r="EA327" i="1"/>
  <c r="EB328" i="1"/>
  <c r="EA307" i="1"/>
  <c r="EA298" i="1"/>
  <c r="EA247" i="1"/>
  <c r="EB287" i="1"/>
  <c r="EA377" i="1"/>
  <c r="EB275" i="1"/>
  <c r="EB404" i="1"/>
  <c r="EB296" i="1"/>
  <c r="EA476" i="1"/>
  <c r="EA116" i="1"/>
  <c r="EA315" i="1"/>
  <c r="EB414" i="1"/>
  <c r="EB272" i="1"/>
  <c r="EB312" i="1"/>
  <c r="EA414" i="1"/>
  <c r="EA403" i="1"/>
  <c r="EB164" i="1"/>
  <c r="EA492" i="1"/>
  <c r="EB403" i="1"/>
  <c r="EB12" i="1"/>
  <c r="EA113" i="1"/>
  <c r="EA352" i="1"/>
  <c r="EB372" i="1"/>
  <c r="EA311" i="1"/>
  <c r="EB482" i="1"/>
  <c r="EB472" i="1"/>
  <c r="CF370" i="1"/>
  <c r="CF130" i="1"/>
  <c r="CE360" i="1"/>
  <c r="CE120" i="1"/>
  <c r="CE368" i="1"/>
  <c r="CE138" i="1"/>
  <c r="CE297" i="1"/>
  <c r="CF306" i="1"/>
  <c r="CF427" i="1"/>
  <c r="CF197" i="1"/>
  <c r="CE387" i="1"/>
  <c r="CF396" i="1"/>
  <c r="CF475" i="1"/>
  <c r="CF245" i="1"/>
  <c r="CF15" i="1"/>
  <c r="CE265" i="1"/>
  <c r="CE45" i="1"/>
  <c r="CF334" i="1"/>
  <c r="CE369" i="1"/>
  <c r="CE22" i="1"/>
  <c r="CE103" i="1"/>
  <c r="CF152" i="1"/>
  <c r="CE202" i="1"/>
  <c r="CF253" i="1"/>
  <c r="CE499" i="1"/>
  <c r="CF121" i="1"/>
  <c r="CE273" i="1"/>
  <c r="CE269" i="1"/>
  <c r="CF412" i="1"/>
  <c r="CF62" i="1"/>
  <c r="CE194" i="1"/>
  <c r="CE339" i="1"/>
  <c r="CR340" i="1"/>
  <c r="CQ480" i="1"/>
  <c r="CR358" i="1"/>
  <c r="CR199" i="1"/>
  <c r="CQ409" i="1"/>
  <c r="CR338" i="1"/>
  <c r="CQ168" i="1"/>
  <c r="CQ167" i="1"/>
  <c r="CR487" i="1"/>
  <c r="CQ217" i="1"/>
  <c r="CR24" i="1"/>
  <c r="CR483" i="1"/>
  <c r="CQ196" i="1"/>
  <c r="CQ472" i="1"/>
  <c r="CQ394" i="1"/>
  <c r="CQ92" i="1"/>
  <c r="CR151" i="1"/>
  <c r="CQ373" i="1"/>
  <c r="CQ272" i="1"/>
  <c r="CQ226" i="1"/>
  <c r="DD400" i="1"/>
  <c r="DC240" i="1"/>
  <c r="DD255" i="1"/>
  <c r="DC97" i="1"/>
  <c r="DD109" i="1"/>
  <c r="DD395" i="1"/>
  <c r="DC139" i="1"/>
  <c r="DD88" i="1"/>
  <c r="DC98" i="1"/>
  <c r="DC376" i="1"/>
  <c r="DD297" i="1"/>
  <c r="DD376" i="1"/>
  <c r="DD322" i="1"/>
  <c r="DC154" i="1"/>
  <c r="DD412" i="1"/>
  <c r="DD393" i="1"/>
  <c r="DC132" i="1"/>
  <c r="DD413" i="1"/>
  <c r="DD342" i="1"/>
  <c r="DD434" i="1"/>
  <c r="DP480" i="1"/>
  <c r="DP20" i="1"/>
  <c r="DO390" i="1"/>
  <c r="DO279" i="1"/>
  <c r="DP369" i="1"/>
  <c r="DO169" i="1"/>
  <c r="DP338" i="1"/>
  <c r="DP187" i="1"/>
  <c r="DO108" i="1"/>
  <c r="DP375" i="1"/>
  <c r="DO315" i="1"/>
  <c r="DP344" i="1"/>
  <c r="DP463" i="1"/>
  <c r="DO276" i="1"/>
  <c r="DO271" i="1"/>
  <c r="DP252" i="1"/>
  <c r="DO421" i="1"/>
  <c r="DP171" i="1"/>
  <c r="DP242" i="1"/>
  <c r="DO413" i="1"/>
  <c r="DO333" i="1"/>
  <c r="DO46" i="1"/>
  <c r="DO123" i="1"/>
  <c r="EB360" i="1"/>
  <c r="EB10" i="1"/>
  <c r="EA190" i="1"/>
  <c r="EB469" i="1"/>
  <c r="EB169" i="1"/>
  <c r="EA479" i="1"/>
  <c r="EA179" i="1"/>
  <c r="EB488" i="1"/>
  <c r="EB188" i="1"/>
  <c r="EA478" i="1"/>
  <c r="EA178" i="1"/>
  <c r="EB427" i="1"/>
  <c r="EB127" i="1"/>
  <c r="EA37" i="1"/>
  <c r="EA405" i="1"/>
  <c r="EB446" i="1"/>
  <c r="EB156" i="1"/>
  <c r="EA366" i="1"/>
  <c r="EB265" i="1"/>
  <c r="EB494" i="1"/>
  <c r="EA94" i="1"/>
  <c r="EB232" i="1"/>
  <c r="EB252" i="1"/>
  <c r="EA243" i="1"/>
  <c r="EB363" i="1"/>
  <c r="EB112" i="1"/>
  <c r="EA214" i="1"/>
  <c r="EB491" i="1"/>
  <c r="EA251" i="1"/>
  <c r="EA373" i="1"/>
  <c r="EA234" i="1"/>
  <c r="EA81" i="1"/>
  <c r="EB461" i="1"/>
  <c r="EA182" i="1"/>
  <c r="EA274" i="1"/>
  <c r="CF250" i="1"/>
  <c r="CF10" i="1"/>
  <c r="CE260" i="1"/>
  <c r="CE20" i="1"/>
  <c r="CE258" i="1"/>
  <c r="CE28" i="1"/>
  <c r="CE77" i="1"/>
  <c r="CF116" i="1"/>
  <c r="CF327" i="1"/>
  <c r="CF77" i="1"/>
  <c r="CE167" i="1"/>
  <c r="CF176" i="1"/>
  <c r="CF375" i="1"/>
  <c r="CF145" i="1"/>
  <c r="CE405" i="1"/>
  <c r="CE155" i="1"/>
  <c r="CF444" i="1"/>
  <c r="CF244" i="1"/>
  <c r="CE204" i="1"/>
  <c r="CF383" i="1"/>
  <c r="CE383" i="1"/>
  <c r="CF419" i="1"/>
  <c r="CF453" i="1"/>
  <c r="CF83" i="1"/>
  <c r="CF331" i="1"/>
  <c r="CE153" i="1"/>
  <c r="CF469" i="1"/>
  <c r="CE113" i="1"/>
  <c r="CF249" i="1"/>
  <c r="CR330" i="1"/>
  <c r="CQ470" i="1"/>
  <c r="CR278" i="1"/>
  <c r="CR189" i="1"/>
  <c r="CQ399" i="1"/>
  <c r="CR318" i="1"/>
  <c r="CQ138" i="1"/>
  <c r="CQ117" i="1"/>
  <c r="CR477" i="1"/>
  <c r="CQ197" i="1"/>
  <c r="CQ351" i="1"/>
  <c r="CR363" i="1"/>
  <c r="CQ53" i="1"/>
  <c r="CQ332" i="1"/>
  <c r="CQ374" i="1"/>
  <c r="CQ215" i="1"/>
  <c r="CR132" i="1"/>
  <c r="CQ353" i="1"/>
  <c r="CR195" i="1"/>
  <c r="CR401" i="1"/>
  <c r="DD390" i="1"/>
  <c r="DC230" i="1"/>
  <c r="DD215" i="1"/>
  <c r="DD456" i="1"/>
  <c r="DD99" i="1"/>
  <c r="DD355" i="1"/>
  <c r="DC129" i="1"/>
  <c r="DC446" i="1"/>
  <c r="DC88" i="1"/>
  <c r="DC336" i="1"/>
  <c r="DD287" i="1"/>
  <c r="DD336" i="1"/>
  <c r="DD294" i="1"/>
  <c r="DD32" i="1"/>
  <c r="DD334" i="1"/>
  <c r="DD321" i="1"/>
  <c r="DD11" i="1"/>
  <c r="DD213" i="1"/>
  <c r="DD264" i="1"/>
  <c r="DD284" i="1"/>
  <c r="DP470" i="1"/>
  <c r="DP10" i="1"/>
  <c r="DO380" i="1"/>
  <c r="DO179" i="1"/>
  <c r="DP359" i="1"/>
  <c r="DO139" i="1"/>
  <c r="DP328" i="1"/>
  <c r="DP97" i="1"/>
  <c r="DO98" i="1"/>
  <c r="DP365" i="1"/>
  <c r="DO285" i="1"/>
  <c r="DP314" i="1"/>
  <c r="DP363" i="1"/>
  <c r="DO163" i="1"/>
  <c r="DP194" i="1"/>
  <c r="DO143" i="1"/>
  <c r="DO393" i="1"/>
  <c r="DP91" i="1"/>
  <c r="DO216" i="1"/>
  <c r="DO386" i="1"/>
  <c r="DO311" i="1"/>
  <c r="DO26" i="1"/>
  <c r="DO63" i="1"/>
  <c r="EB350" i="1"/>
  <c r="EA500" i="1"/>
  <c r="EA180" i="1"/>
  <c r="EB459" i="1"/>
  <c r="EB159" i="1"/>
  <c r="EA469" i="1"/>
  <c r="EA169" i="1"/>
  <c r="EB478" i="1"/>
  <c r="EB178" i="1"/>
  <c r="EA468" i="1"/>
  <c r="EA168" i="1"/>
  <c r="EB417" i="1"/>
  <c r="EB117" i="1"/>
  <c r="EA356" i="1"/>
  <c r="EA385" i="1"/>
  <c r="EB436" i="1"/>
  <c r="EB146" i="1"/>
  <c r="EA346" i="1"/>
  <c r="EB225" i="1"/>
  <c r="EB434" i="1"/>
  <c r="EA72" i="1"/>
  <c r="EB104" i="1"/>
  <c r="EA102" i="1"/>
  <c r="EA221" i="1"/>
  <c r="EA73" i="1"/>
  <c r="EA84" i="1"/>
  <c r="EA192" i="1"/>
  <c r="EA463" i="1"/>
  <c r="EA491" i="1"/>
  <c r="EA204" i="1"/>
  <c r="EA483" i="1"/>
  <c r="EA474" i="1"/>
  <c r="EA433" i="1"/>
  <c r="EA54" i="1"/>
  <c r="EB94" i="1"/>
  <c r="CF240" i="1"/>
  <c r="CE500" i="1"/>
  <c r="CE250" i="1"/>
  <c r="CE10" i="1"/>
  <c r="CE248" i="1"/>
  <c r="CE18" i="1"/>
  <c r="CE37" i="1"/>
  <c r="CF96" i="1"/>
  <c r="CF317" i="1"/>
  <c r="CF67" i="1"/>
  <c r="CE147" i="1"/>
  <c r="CF156" i="1"/>
  <c r="CF365" i="1"/>
  <c r="CF135" i="1"/>
  <c r="CE395" i="1"/>
  <c r="CE145" i="1"/>
  <c r="CF434" i="1"/>
  <c r="CF234" i="1"/>
  <c r="CE189" i="1"/>
  <c r="CE366" i="1"/>
  <c r="CE364" i="1"/>
  <c r="CF401" i="1"/>
  <c r="CE436" i="1"/>
  <c r="CF68" i="1"/>
  <c r="CF312" i="1"/>
  <c r="CE121" i="1"/>
  <c r="CE451" i="1"/>
  <c r="CE96" i="1"/>
  <c r="CF231" i="1"/>
  <c r="CE374" i="1"/>
  <c r="CE29" i="1"/>
  <c r="CR226" i="1"/>
  <c r="CR248" i="1"/>
  <c r="CR49" i="1"/>
  <c r="CQ119" i="1"/>
  <c r="CQ318" i="1"/>
  <c r="CR496" i="1"/>
  <c r="CR317" i="1"/>
  <c r="CR115" i="1"/>
  <c r="CQ364" i="1"/>
  <c r="CR404" i="1"/>
  <c r="CQ235" i="1"/>
  <c r="CQ452" i="1"/>
  <c r="CQ242" i="1"/>
  <c r="CR165" i="1"/>
  <c r="CQ213" i="1"/>
  <c r="CQ192" i="1"/>
  <c r="DD20" i="1"/>
  <c r="DD195" i="1"/>
  <c r="DD469" i="1"/>
  <c r="DD146" i="1"/>
  <c r="DC289" i="1"/>
  <c r="DD365" i="1"/>
  <c r="DC377" i="1"/>
  <c r="DD487" i="1"/>
  <c r="DC177" i="1"/>
  <c r="DD222" i="1"/>
  <c r="DC74" i="1"/>
  <c r="DC11" i="1"/>
  <c r="DC333" i="1"/>
  <c r="DC384" i="1"/>
  <c r="DD283" i="1"/>
  <c r="DD324" i="1"/>
  <c r="DP80" i="1"/>
  <c r="DO370" i="1"/>
  <c r="DO417" i="1"/>
  <c r="DP79" i="1"/>
  <c r="DP468" i="1"/>
  <c r="DP466" i="1"/>
  <c r="DP367" i="1"/>
  <c r="DP35" i="1"/>
  <c r="DP444" i="1"/>
  <c r="DP291" i="1"/>
  <c r="DO473" i="1"/>
  <c r="DP212" i="1"/>
  <c r="DO116" i="1"/>
  <c r="DP103" i="1"/>
  <c r="DO14" i="1"/>
  <c r="DO151" i="1"/>
  <c r="DO166" i="1"/>
  <c r="DO402" i="1"/>
  <c r="EB270" i="1"/>
  <c r="EA300" i="1"/>
  <c r="EA56" i="1"/>
  <c r="EB139" i="1"/>
  <c r="EA369" i="1"/>
  <c r="EA257" i="1"/>
  <c r="EB228" i="1"/>
  <c r="EA438" i="1"/>
  <c r="EA68" i="1"/>
  <c r="EB277" i="1"/>
  <c r="EA237" i="1"/>
  <c r="EA305" i="1"/>
  <c r="EB356" i="1"/>
  <c r="EA466" i="1"/>
  <c r="EB345" i="1"/>
  <c r="EB394" i="1"/>
  <c r="EB21" i="1"/>
  <c r="EA181" i="1"/>
  <c r="EA273" i="1"/>
  <c r="EB492" i="1"/>
  <c r="EB341" i="1"/>
  <c r="EB33" i="1"/>
  <c r="EB202" i="1"/>
  <c r="EB231" i="1"/>
  <c r="EA11" i="1"/>
  <c r="EB223" i="1"/>
  <c r="EB261" i="1"/>
  <c r="CF470" i="1"/>
  <c r="CF180" i="1"/>
  <c r="CE350" i="1"/>
  <c r="CE60" i="1"/>
  <c r="CE238" i="1"/>
  <c r="CE397" i="1"/>
  <c r="CF286" i="1"/>
  <c r="CF367" i="1"/>
  <c r="CF57" i="1"/>
  <c r="CE27" i="1"/>
  <c r="CF465" i="1"/>
  <c r="CF195" i="1"/>
  <c r="CE365" i="1"/>
  <c r="CE95" i="1"/>
  <c r="CF324" i="1"/>
  <c r="CF278" i="1"/>
  <c r="CE349" i="1"/>
  <c r="CE256" i="1"/>
  <c r="CE169" i="1"/>
  <c r="CF151" i="1"/>
  <c r="CF293" i="1"/>
  <c r="CF184" i="1"/>
  <c r="CE251" i="1"/>
  <c r="CE322" i="1"/>
  <c r="CE393" i="1"/>
  <c r="CE464" i="1"/>
  <c r="CF78" i="1"/>
  <c r="CE211" i="1"/>
  <c r="CF198" i="1"/>
  <c r="CE352" i="1"/>
  <c r="CE482" i="1"/>
  <c r="CF73" i="1"/>
  <c r="CF142" i="1"/>
  <c r="CF279" i="1"/>
  <c r="CE433" i="1"/>
  <c r="CF423" i="1"/>
  <c r="CF99" i="1"/>
  <c r="CE244" i="1"/>
  <c r="CF409" i="1"/>
  <c r="CF54" i="1"/>
  <c r="BT450" i="1"/>
  <c r="BT250" i="1"/>
  <c r="BT50" i="1"/>
  <c r="BT458" i="1"/>
  <c r="BT18" i="1"/>
  <c r="BS310" i="1"/>
  <c r="BS110" i="1"/>
  <c r="BT449" i="1"/>
  <c r="BT249" i="1"/>
  <c r="BT49" i="1"/>
  <c r="BS409" i="1"/>
  <c r="BS99" i="1"/>
  <c r="BT98" i="1"/>
  <c r="BT335" i="1"/>
  <c r="BT135" i="1"/>
  <c r="BS425" i="1"/>
  <c r="BS225" i="1"/>
  <c r="BS25" i="1"/>
  <c r="BT314" i="1"/>
  <c r="BS348" i="1"/>
  <c r="BT31" i="1"/>
  <c r="BS164" i="1"/>
  <c r="BT242" i="1"/>
  <c r="BT286" i="1"/>
  <c r="BS111" i="1"/>
  <c r="BT397" i="1"/>
  <c r="BS76" i="1"/>
  <c r="BS312" i="1"/>
  <c r="BS178" i="1"/>
  <c r="BT146" i="1"/>
  <c r="BT467" i="1"/>
  <c r="BS283" i="1"/>
  <c r="BS183" i="1"/>
  <c r="BS182" i="1"/>
  <c r="BT72" i="1"/>
  <c r="BS424" i="1"/>
  <c r="BS468" i="1"/>
  <c r="BS47" i="1"/>
  <c r="BT246" i="1"/>
  <c r="BS88" i="1"/>
  <c r="BT491" i="1"/>
  <c r="BS162" i="1"/>
  <c r="BS323" i="1"/>
  <c r="BS488" i="1"/>
  <c r="BS161" i="1"/>
  <c r="BS322" i="1"/>
  <c r="BS487" i="1"/>
  <c r="BS66" i="1"/>
  <c r="BS141" i="1"/>
  <c r="BH490" i="1"/>
  <c r="BH290" i="1"/>
  <c r="BH90" i="1"/>
  <c r="BG27" i="1"/>
  <c r="BG216" i="1"/>
  <c r="BG375" i="1"/>
  <c r="BG484" i="1"/>
  <c r="BG360" i="1"/>
  <c r="BG160" i="1"/>
  <c r="BG387" i="1"/>
  <c r="BG476" i="1"/>
  <c r="BH85" i="1"/>
  <c r="BH204" i="1"/>
  <c r="BH399" i="1"/>
  <c r="BH199" i="1"/>
  <c r="BG337" i="1"/>
  <c r="BG436" i="1"/>
  <c r="BH95" i="1"/>
  <c r="BH164" i="1"/>
  <c r="BG389" i="1"/>
  <c r="BG189" i="1"/>
  <c r="BG18" i="1"/>
  <c r="BH408" i="1"/>
  <c r="BH208" i="1"/>
  <c r="BG168" i="1"/>
  <c r="BG378" i="1"/>
  <c r="BG178" i="1"/>
  <c r="BG157" i="1"/>
  <c r="BG76" i="1"/>
  <c r="BG215" i="1"/>
  <c r="BH477" i="1"/>
  <c r="BH277" i="1"/>
  <c r="BH77" i="1"/>
  <c r="BG334" i="1"/>
  <c r="BH301" i="1"/>
  <c r="BG222" i="1"/>
  <c r="BG441" i="1"/>
  <c r="BH233" i="1"/>
  <c r="BG191" i="1"/>
  <c r="BG393" i="1"/>
  <c r="BG94" i="1"/>
  <c r="BH333" i="1"/>
  <c r="BG452" i="1"/>
  <c r="BG453" i="1"/>
  <c r="BG111" i="1"/>
  <c r="BG113" i="1"/>
  <c r="BH141" i="1"/>
  <c r="BH163" i="1"/>
  <c r="BG312" i="1"/>
  <c r="BG241" i="1"/>
  <c r="AV330" i="1"/>
  <c r="AV130" i="1"/>
  <c r="AU339" i="1"/>
  <c r="AV418" i="1"/>
  <c r="AV18" i="1"/>
  <c r="AU370" i="1"/>
  <c r="AU170" i="1"/>
  <c r="AU269" i="1"/>
  <c r="AV449" i="1"/>
  <c r="AV249" i="1"/>
  <c r="AV49" i="1"/>
  <c r="AU479" i="1"/>
  <c r="AU317" i="1"/>
  <c r="AU308" i="1"/>
  <c r="AU108" i="1"/>
  <c r="AV397" i="1"/>
  <c r="AV197" i="1"/>
  <c r="AU487" i="1"/>
  <c r="AU247" i="1"/>
  <c r="AV375" i="1"/>
  <c r="AV175" i="1"/>
  <c r="AU465" i="1"/>
  <c r="AU265" i="1"/>
  <c r="AU65" i="1"/>
  <c r="AV216" i="1"/>
  <c r="AV154" i="1"/>
  <c r="AU471" i="1"/>
  <c r="AU107" i="1"/>
  <c r="AU33" i="1"/>
  <c r="AU182" i="1"/>
  <c r="AU176" i="1"/>
  <c r="AV62" i="1"/>
  <c r="AV131" i="1"/>
  <c r="AU186" i="1"/>
  <c r="AU106" i="1"/>
  <c r="AV242" i="1"/>
  <c r="AU382" i="1"/>
  <c r="AV114" i="1"/>
  <c r="AV424" i="1"/>
  <c r="CR480" i="1"/>
  <c r="CR186" i="1"/>
  <c r="CR228" i="1"/>
  <c r="CR39" i="1"/>
  <c r="CQ109" i="1"/>
  <c r="CQ308" i="1"/>
  <c r="CR446" i="1"/>
  <c r="CR247" i="1"/>
  <c r="CQ101" i="1"/>
  <c r="CQ344" i="1"/>
  <c r="CQ143" i="1"/>
  <c r="CR465" i="1"/>
  <c r="CQ312" i="1"/>
  <c r="CQ223" i="1"/>
  <c r="CQ113" i="1"/>
  <c r="CR141" i="1"/>
  <c r="CQ31" i="1"/>
  <c r="DD10" i="1"/>
  <c r="DC415" i="1"/>
  <c r="DD459" i="1"/>
  <c r="DC466" i="1"/>
  <c r="DC279" i="1"/>
  <c r="DC405" i="1"/>
  <c r="DC357" i="1"/>
  <c r="DD477" i="1"/>
  <c r="DC107" i="1"/>
  <c r="DD194" i="1"/>
  <c r="DD123" i="1"/>
  <c r="DC403" i="1"/>
  <c r="DC211" i="1"/>
  <c r="DD411" i="1"/>
  <c r="DC361" i="1"/>
  <c r="DD152" i="1"/>
  <c r="DP70" i="1"/>
  <c r="DO340" i="1"/>
  <c r="DO377" i="1"/>
  <c r="DP69" i="1"/>
  <c r="DP458" i="1"/>
  <c r="DO498" i="1"/>
  <c r="DP267" i="1"/>
  <c r="DP25" i="1"/>
  <c r="DP394" i="1"/>
  <c r="DP213" i="1"/>
  <c r="DO301" i="1"/>
  <c r="DO132" i="1"/>
  <c r="DO96" i="1"/>
  <c r="DP23" i="1"/>
  <c r="DO464" i="1"/>
  <c r="DO111" i="1"/>
  <c r="DO146" i="1"/>
  <c r="DP251" i="1"/>
  <c r="EB260" i="1"/>
  <c r="EA290" i="1"/>
  <c r="EB465" i="1"/>
  <c r="EB129" i="1"/>
  <c r="EA359" i="1"/>
  <c r="EA197" i="1"/>
  <c r="EB218" i="1"/>
  <c r="EA428" i="1"/>
  <c r="EA38" i="1"/>
  <c r="EB267" i="1"/>
  <c r="EA187" i="1"/>
  <c r="EA245" i="1"/>
  <c r="EB346" i="1"/>
  <c r="EA456" i="1"/>
  <c r="EB325" i="1"/>
  <c r="EB374" i="1"/>
  <c r="EA493" i="1"/>
  <c r="EA103" i="1"/>
  <c r="EB243" i="1"/>
  <c r="EA464" i="1"/>
  <c r="EA202" i="1"/>
  <c r="EB291" i="1"/>
  <c r="EA364" i="1"/>
  <c r="EB371" i="1"/>
  <c r="EA454" i="1"/>
  <c r="EB101" i="1"/>
  <c r="EB154" i="1"/>
  <c r="CF460" i="1"/>
  <c r="CF170" i="1"/>
  <c r="CE340" i="1"/>
  <c r="CE50" i="1"/>
  <c r="CE228" i="1"/>
  <c r="CE377" i="1"/>
  <c r="CF266" i="1"/>
  <c r="CF357" i="1"/>
  <c r="CF47" i="1"/>
  <c r="CE17" i="1"/>
  <c r="CF455" i="1"/>
  <c r="CF175" i="1"/>
  <c r="CE355" i="1"/>
  <c r="CE85" i="1"/>
  <c r="CF314" i="1"/>
  <c r="CF259" i="1"/>
  <c r="CE331" i="1"/>
  <c r="CE239" i="1"/>
  <c r="CE152" i="1"/>
  <c r="CF133" i="1"/>
  <c r="CE276" i="1"/>
  <c r="CF119" i="1"/>
  <c r="CE232" i="1"/>
  <c r="CE303" i="1"/>
  <c r="CF358" i="1"/>
  <c r="CF448" i="1"/>
  <c r="CF61" i="1"/>
  <c r="CE193" i="1"/>
  <c r="CE159" i="1"/>
  <c r="CE309" i="1"/>
  <c r="CE391" i="1"/>
  <c r="CF39" i="1"/>
  <c r="CF108" i="1"/>
  <c r="CE199" i="1"/>
  <c r="CF432" i="1"/>
  <c r="CE379" i="1"/>
  <c r="CF63" i="1"/>
  <c r="CF208" i="1"/>
  <c r="CF369" i="1"/>
  <c r="CF14" i="1"/>
  <c r="BT440" i="1"/>
  <c r="BT240" i="1"/>
  <c r="BT40" i="1"/>
  <c r="BT448" i="1"/>
  <c r="BS500" i="1"/>
  <c r="BS300" i="1"/>
  <c r="BS100" i="1"/>
  <c r="BT439" i="1"/>
  <c r="BT239" i="1"/>
  <c r="BT39" i="1"/>
  <c r="BS399" i="1"/>
  <c r="BS59" i="1"/>
  <c r="BT68" i="1"/>
  <c r="BT325" i="1"/>
  <c r="BT125" i="1"/>
  <c r="BS415" i="1"/>
  <c r="BS215" i="1"/>
  <c r="BS15" i="1"/>
  <c r="BT304" i="1"/>
  <c r="BT332" i="1"/>
  <c r="BT14" i="1"/>
  <c r="BS103" i="1"/>
  <c r="BT193" i="1"/>
  <c r="BS221" i="1"/>
  <c r="BT47" i="1"/>
  <c r="BS382" i="1"/>
  <c r="BT61" i="1"/>
  <c r="BS262" i="1"/>
  <c r="BS133" i="1"/>
  <c r="BT101" i="1"/>
  <c r="BS384" i="1"/>
  <c r="BS497" i="1"/>
  <c r="BS167" i="1"/>
  <c r="BT151" i="1"/>
  <c r="BS26" i="1"/>
  <c r="BS374" i="1"/>
  <c r="BS368" i="1"/>
  <c r="BT466" i="1"/>
  <c r="BS231" i="1"/>
  <c r="BS27" i="1"/>
  <c r="BT473" i="1"/>
  <c r="BS146" i="1"/>
  <c r="BT306" i="1"/>
  <c r="BT472" i="1"/>
  <c r="BS144" i="1"/>
  <c r="BS304" i="1"/>
  <c r="BT471" i="1"/>
  <c r="BT34" i="1"/>
  <c r="BS63" i="1"/>
  <c r="BH480" i="1"/>
  <c r="BH280" i="1"/>
  <c r="BH80" i="1"/>
  <c r="BH476" i="1"/>
  <c r="BG176" i="1"/>
  <c r="BG325" i="1"/>
  <c r="BG434" i="1"/>
  <c r="BG350" i="1"/>
  <c r="BG150" i="1"/>
  <c r="BG347" i="1"/>
  <c r="BG426" i="1"/>
  <c r="BH45" i="1"/>
  <c r="BH174" i="1"/>
  <c r="BH389" i="1"/>
  <c r="BH189" i="1"/>
  <c r="BG287" i="1"/>
  <c r="BG406" i="1"/>
  <c r="BH55" i="1"/>
  <c r="BH114" i="1"/>
  <c r="BG379" i="1"/>
  <c r="BG179" i="1"/>
  <c r="BG437" i="1"/>
  <c r="BH398" i="1"/>
  <c r="BH198" i="1"/>
  <c r="BG447" i="1"/>
  <c r="BG368" i="1"/>
  <c r="BG148" i="1"/>
  <c r="BG107" i="1"/>
  <c r="BG46" i="1"/>
  <c r="BG165" i="1"/>
  <c r="BH467" i="1"/>
  <c r="BH267" i="1"/>
  <c r="BH67" i="1"/>
  <c r="BG274" i="1"/>
  <c r="BH263" i="1"/>
  <c r="BG104" i="1"/>
  <c r="BG372" i="1"/>
  <c r="BH262" i="1"/>
  <c r="BG73" i="1"/>
  <c r="BH362" i="1"/>
  <c r="BH432" i="1"/>
  <c r="BH491" i="1"/>
  <c r="BH353" i="1"/>
  <c r="BH422" i="1"/>
  <c r="BH381" i="1"/>
  <c r="BH83" i="1"/>
  <c r="BG53" i="1"/>
  <c r="BG134" i="1"/>
  <c r="BH161" i="1"/>
  <c r="BG123" i="1"/>
  <c r="AV320" i="1"/>
  <c r="AV120" i="1"/>
  <c r="AU319" i="1"/>
  <c r="AV408" i="1"/>
  <c r="AU357" i="1"/>
  <c r="AU360" i="1"/>
  <c r="AU160" i="1"/>
  <c r="AU219" i="1"/>
  <c r="AV439" i="1"/>
  <c r="AV239" i="1"/>
  <c r="AV39" i="1"/>
  <c r="AU459" i="1"/>
  <c r="AU498" i="1"/>
  <c r="AU298" i="1"/>
  <c r="AU98" i="1"/>
  <c r="AV387" i="1"/>
  <c r="AV187" i="1"/>
  <c r="AU477" i="1"/>
  <c r="AU237" i="1"/>
  <c r="AV365" i="1"/>
  <c r="AV165" i="1"/>
  <c r="AU455" i="1"/>
  <c r="AU255" i="1"/>
  <c r="AU55" i="1"/>
  <c r="AV196" i="1"/>
  <c r="AU116" i="1"/>
  <c r="AU391" i="1"/>
  <c r="AV53" i="1"/>
  <c r="AU483" i="1"/>
  <c r="AU142" i="1"/>
  <c r="AU156" i="1"/>
  <c r="AV24" i="1"/>
  <c r="AU93" i="1"/>
  <c r="AU126" i="1"/>
  <c r="AV71" i="1"/>
  <c r="AV202" i="1"/>
  <c r="AU494" i="1"/>
  <c r="AV96" i="1"/>
  <c r="CR240" i="1"/>
  <c r="CQ270" i="1"/>
  <c r="CR319" i="1"/>
  <c r="CQ449" i="1"/>
  <c r="CQ87" i="1"/>
  <c r="CR37" i="1"/>
  <c r="CQ426" i="1"/>
  <c r="CQ257" i="1"/>
  <c r="CQ35" i="1"/>
  <c r="CQ284" i="1"/>
  <c r="CR152" i="1"/>
  <c r="CQ422" i="1"/>
  <c r="CQ424" i="1"/>
  <c r="CQ311" i="1"/>
  <c r="CR411" i="1"/>
  <c r="CR461" i="1"/>
  <c r="DD320" i="1"/>
  <c r="DD98" i="1"/>
  <c r="DC290" i="1"/>
  <c r="DD169" i="1"/>
  <c r="DC345" i="1"/>
  <c r="DD488" i="1"/>
  <c r="DC228" i="1"/>
  <c r="DC496" i="1"/>
  <c r="DD197" i="1"/>
  <c r="DC216" i="1"/>
  <c r="DC311" i="1"/>
  <c r="DD441" i="1"/>
  <c r="DD221" i="1"/>
  <c r="DD73" i="1"/>
  <c r="DD102" i="1"/>
  <c r="DC463" i="1"/>
  <c r="DP380" i="1"/>
  <c r="DO387" i="1"/>
  <c r="DO50" i="1"/>
  <c r="DP389" i="1"/>
  <c r="DO397" i="1"/>
  <c r="DP168" i="1"/>
  <c r="DO258" i="1"/>
  <c r="DP395" i="1"/>
  <c r="DO255" i="1"/>
  <c r="DP372" i="1"/>
  <c r="DP11" i="1"/>
  <c r="DO493" i="1"/>
  <c r="DO162" i="1"/>
  <c r="DO53" i="1"/>
  <c r="DP352" i="1"/>
  <c r="DO314" i="1"/>
  <c r="DO233" i="1"/>
  <c r="DP164" i="1"/>
  <c r="EB460" i="1"/>
  <c r="EB30" i="1"/>
  <c r="EA90" i="1"/>
  <c r="EB359" i="1"/>
  <c r="EA67" i="1"/>
  <c r="EA199" i="1"/>
  <c r="EB428" i="1"/>
  <c r="EB78" i="1"/>
  <c r="EA238" i="1"/>
  <c r="EB467" i="1"/>
  <c r="EB77" i="1"/>
  <c r="EB375" i="1"/>
  <c r="EB344" i="1"/>
  <c r="EB176" i="1"/>
  <c r="EA316" i="1"/>
  <c r="EA395" i="1"/>
  <c r="EA244" i="1"/>
  <c r="EA33" i="1"/>
  <c r="EB421" i="1"/>
  <c r="EA184" i="1"/>
  <c r="EB92" i="1"/>
  <c r="EB271" i="1"/>
  <c r="EB323" i="1"/>
  <c r="EA264" i="1"/>
  <c r="EB234" i="1"/>
  <c r="EA153" i="1"/>
  <c r="EA322" i="1"/>
  <c r="EA473" i="1"/>
  <c r="CF340" i="1"/>
  <c r="CF30" i="1"/>
  <c r="CE220" i="1"/>
  <c r="CE408" i="1"/>
  <c r="CE108" i="1"/>
  <c r="CE117" i="1"/>
  <c r="CF36" i="1"/>
  <c r="CF227" i="1"/>
  <c r="CE327" i="1"/>
  <c r="CF216" i="1"/>
  <c r="CF335" i="1"/>
  <c r="CF45" i="1"/>
  <c r="CE235" i="1"/>
  <c r="CF464" i="1"/>
  <c r="CF499" i="1"/>
  <c r="CE72" i="1"/>
  <c r="CE21" i="1"/>
  <c r="CE454" i="1"/>
  <c r="CE382" i="1"/>
  <c r="CF399" i="1"/>
  <c r="CF71" i="1"/>
  <c r="CF51" i="1"/>
  <c r="CE46" i="1"/>
  <c r="CF112" i="1"/>
  <c r="CE162" i="1"/>
  <c r="CF248" i="1"/>
  <c r="CE392" i="1"/>
  <c r="CE43" i="1"/>
  <c r="CF352" i="1"/>
  <c r="CF391" i="1"/>
  <c r="CE41" i="1"/>
  <c r="CE109" i="1"/>
  <c r="CF181" i="1"/>
  <c r="CE233" i="1"/>
  <c r="CE334" i="1"/>
  <c r="CF24" i="1"/>
  <c r="CE173" i="1"/>
  <c r="CE324" i="1"/>
  <c r="CE16" i="1"/>
  <c r="CF318" i="1"/>
  <c r="BT350" i="1"/>
  <c r="BT150" i="1"/>
  <c r="BS199" i="1"/>
  <c r="BT258" i="1"/>
  <c r="BS410" i="1"/>
  <c r="BS210" i="1"/>
  <c r="BS10" i="1"/>
  <c r="BT349" i="1"/>
  <c r="BT149" i="1"/>
  <c r="BT238" i="1"/>
  <c r="BS299" i="1"/>
  <c r="BT338" i="1"/>
  <c r="BT435" i="1"/>
  <c r="BT235" i="1"/>
  <c r="BT35" i="1"/>
  <c r="BS325" i="1"/>
  <c r="BS125" i="1"/>
  <c r="BT414" i="1"/>
  <c r="BT214" i="1"/>
  <c r="BS184" i="1"/>
  <c r="BS118" i="1"/>
  <c r="BS211" i="1"/>
  <c r="BS177" i="1"/>
  <c r="BS187" i="1"/>
  <c r="BS483" i="1"/>
  <c r="BS232" i="1"/>
  <c r="BS246" i="1"/>
  <c r="BT243" i="1"/>
  <c r="BT177" i="1"/>
  <c r="BS96" i="1"/>
  <c r="BT301" i="1"/>
  <c r="BS347" i="1"/>
  <c r="BS28" i="1"/>
  <c r="BS134" i="1"/>
  <c r="BT24" i="1"/>
  <c r="BT353" i="1"/>
  <c r="BS234" i="1"/>
  <c r="BS413" i="1"/>
  <c r="BS91" i="1"/>
  <c r="BT71" i="1"/>
  <c r="BT323" i="1"/>
  <c r="BS491" i="1"/>
  <c r="BT161" i="1"/>
  <c r="BT322" i="1"/>
  <c r="BT487" i="1"/>
  <c r="BS158" i="1"/>
  <c r="BS287" i="1"/>
  <c r="BS48" i="1"/>
  <c r="BS233" i="1"/>
  <c r="BH390" i="1"/>
  <c r="BH190" i="1"/>
  <c r="BG467" i="1"/>
  <c r="BH96" i="1"/>
  <c r="BH245" i="1"/>
  <c r="BH434" i="1"/>
  <c r="BG460" i="1"/>
  <c r="BG260" i="1"/>
  <c r="BG60" i="1"/>
  <c r="BH396" i="1"/>
  <c r="BG56" i="1"/>
  <c r="BG95" i="1"/>
  <c r="BH499" i="1"/>
  <c r="BH299" i="1"/>
  <c r="BH99" i="1"/>
  <c r="BH336" i="1"/>
  <c r="BG66" i="1"/>
  <c r="BG175" i="1"/>
  <c r="BG489" i="1"/>
  <c r="BG289" i="1"/>
  <c r="BG89" i="1"/>
  <c r="BH314" i="1"/>
  <c r="BH308" i="1"/>
  <c r="BH108" i="1"/>
  <c r="BG478" i="1"/>
  <c r="BG278" i="1"/>
  <c r="BG58" i="1"/>
  <c r="BH156" i="1"/>
  <c r="BH155" i="1"/>
  <c r="BH244" i="1"/>
  <c r="BH377" i="1"/>
  <c r="BH177" i="1"/>
  <c r="BG87" i="1"/>
  <c r="BG234" i="1"/>
  <c r="BG233" i="1"/>
  <c r="BH73" i="1"/>
  <c r="BG71" i="1"/>
  <c r="BG192" i="1"/>
  <c r="BG433" i="1"/>
  <c r="BG403" i="1"/>
  <c r="BH232" i="1"/>
  <c r="BH202" i="1"/>
  <c r="BG52" i="1"/>
  <c r="BG84" i="1"/>
  <c r="BG422" i="1"/>
  <c r="BH53" i="1"/>
  <c r="BH111" i="1"/>
  <c r="BH473" i="1"/>
  <c r="BG13" i="1"/>
  <c r="AV430" i="1"/>
  <c r="AV230" i="1"/>
  <c r="AV30" i="1"/>
  <c r="AU109" i="1"/>
  <c r="AV258" i="1"/>
  <c r="AU470" i="1"/>
  <c r="AU270" i="1"/>
  <c r="AU70" i="1"/>
  <c r="AV188" i="1"/>
  <c r="AV349" i="1"/>
  <c r="AV149" i="1"/>
  <c r="AU149" i="1"/>
  <c r="AU49" i="1"/>
  <c r="AU408" i="1"/>
  <c r="AU208" i="1"/>
  <c r="AV497" i="1"/>
  <c r="AV297" i="1"/>
  <c r="AV97" i="1"/>
  <c r="AU387" i="1"/>
  <c r="AV475" i="1"/>
  <c r="AV275" i="1"/>
  <c r="AV75" i="1"/>
  <c r="AU365" i="1"/>
  <c r="AU165" i="1"/>
  <c r="AV416" i="1"/>
  <c r="AV26" i="1"/>
  <c r="AU332" i="1"/>
  <c r="AV286" i="1"/>
  <c r="AU304" i="1"/>
  <c r="AV322" i="1"/>
  <c r="AU376" i="1"/>
  <c r="AV454" i="1"/>
  <c r="AU472" i="1"/>
  <c r="AV446" i="1"/>
  <c r="AU53" i="1"/>
  <c r="AU443" i="1"/>
  <c r="AU84" i="1"/>
  <c r="AU314" i="1"/>
  <c r="AV312" i="1"/>
  <c r="CR230" i="1"/>
  <c r="CQ220" i="1"/>
  <c r="CR309" i="1"/>
  <c r="CQ439" i="1"/>
  <c r="CR96" i="1"/>
  <c r="CR17" i="1"/>
  <c r="CQ396" i="1"/>
  <c r="CQ237" i="1"/>
  <c r="CR485" i="1"/>
  <c r="CQ265" i="1"/>
  <c r="CR133" i="1"/>
  <c r="CQ414" i="1"/>
  <c r="CQ271" i="1"/>
  <c r="CR201" i="1"/>
  <c r="CR351" i="1"/>
  <c r="CQ441" i="1"/>
  <c r="DD310" i="1"/>
  <c r="DC167" i="1"/>
  <c r="DC140" i="1"/>
  <c r="DD159" i="1"/>
  <c r="DC145" i="1"/>
  <c r="DD478" i="1"/>
  <c r="DC218" i="1"/>
  <c r="DC426" i="1"/>
  <c r="DD187" i="1"/>
  <c r="DC176" i="1"/>
  <c r="DC183" i="1"/>
  <c r="DD14" i="1"/>
  <c r="DD193" i="1"/>
  <c r="DC473" i="1"/>
  <c r="DC374" i="1"/>
  <c r="DC63" i="1"/>
  <c r="DP370" i="1"/>
  <c r="DO367" i="1"/>
  <c r="DO40" i="1"/>
  <c r="DP379" i="1"/>
  <c r="DO307" i="1"/>
  <c r="DP158" i="1"/>
  <c r="DO188" i="1"/>
  <c r="DP385" i="1"/>
  <c r="DO225" i="1"/>
  <c r="DO346" i="1"/>
  <c r="DP431" i="1"/>
  <c r="DO343" i="1"/>
  <c r="DO62" i="1"/>
  <c r="DO241" i="1"/>
  <c r="DO302" i="1"/>
  <c r="DO193" i="1"/>
  <c r="DO211" i="1"/>
  <c r="DP144" i="1"/>
  <c r="EB410" i="1"/>
  <c r="EB20" i="1"/>
  <c r="EA80" i="1"/>
  <c r="EB349" i="1"/>
  <c r="EA286" i="1"/>
  <c r="EA189" i="1"/>
  <c r="EB418" i="1"/>
  <c r="EB68" i="1"/>
  <c r="EA228" i="1"/>
  <c r="EB437" i="1"/>
  <c r="EB67" i="1"/>
  <c r="EB355" i="1"/>
  <c r="EB324" i="1"/>
  <c r="EB166" i="1"/>
  <c r="EA306" i="1"/>
  <c r="EA375" i="1"/>
  <c r="EA222" i="1"/>
  <c r="EB431" i="1"/>
  <c r="EB251" i="1"/>
  <c r="EA351" i="1"/>
  <c r="EB64" i="1"/>
  <c r="EA242" i="1"/>
  <c r="EA294" i="1"/>
  <c r="EA241" i="1"/>
  <c r="EB212" i="1"/>
  <c r="EA131" i="1"/>
  <c r="EB292" i="1"/>
  <c r="EB173" i="1"/>
  <c r="CF330" i="1"/>
  <c r="CF20" i="1"/>
  <c r="CE210" i="1"/>
  <c r="CE398" i="1"/>
  <c r="CE78" i="1"/>
  <c r="CE97" i="1"/>
  <c r="CE486" i="1"/>
  <c r="CF217" i="1"/>
  <c r="CE307" i="1"/>
  <c r="CF196" i="1"/>
  <c r="CF325" i="1"/>
  <c r="CF35" i="1"/>
  <c r="CE225" i="1"/>
  <c r="CF454" i="1"/>
  <c r="CF479" i="1"/>
  <c r="CE54" i="1"/>
  <c r="CE494" i="1"/>
  <c r="CF438" i="1"/>
  <c r="CE363" i="1"/>
  <c r="CF381" i="1"/>
  <c r="CF38" i="1"/>
  <c r="CF489" i="1"/>
  <c r="CE31" i="1"/>
  <c r="CF94" i="1"/>
  <c r="CE144" i="1"/>
  <c r="CF229" i="1"/>
  <c r="CE373" i="1"/>
  <c r="CE26" i="1"/>
  <c r="CF313" i="1"/>
  <c r="CF351" i="1"/>
  <c r="CF481" i="1"/>
  <c r="CE73" i="1"/>
  <c r="CE142" i="1"/>
  <c r="CF192" i="1"/>
  <c r="CF298" i="1"/>
  <c r="CE463" i="1"/>
  <c r="CE133" i="1"/>
  <c r="CF288" i="1"/>
  <c r="CF452" i="1"/>
  <c r="CE234" i="1"/>
  <c r="BT340" i="1"/>
  <c r="BT140" i="1"/>
  <c r="BS169" i="1"/>
  <c r="BT228" i="1"/>
  <c r="BS400" i="1"/>
  <c r="BS200" i="1"/>
  <c r="BS459" i="1"/>
  <c r="BT339" i="1"/>
  <c r="BT139" i="1"/>
  <c r="BT178" i="1"/>
  <c r="BS289" i="1"/>
  <c r="BT318" i="1"/>
  <c r="BT425" i="1"/>
  <c r="BT225" i="1"/>
  <c r="BT25" i="1"/>
  <c r="BS315" i="1"/>
  <c r="BS115" i="1"/>
  <c r="BT404" i="1"/>
  <c r="BS498" i="1"/>
  <c r="BS168" i="1"/>
  <c r="BT87" i="1"/>
  <c r="BT163" i="1"/>
  <c r="BS132" i="1"/>
  <c r="BS142" i="1"/>
  <c r="BT366" i="1"/>
  <c r="BS214" i="1"/>
  <c r="BT196" i="1"/>
  <c r="BT194" i="1"/>
  <c r="BT132" i="1"/>
  <c r="BS34" i="1"/>
  <c r="BT251" i="1"/>
  <c r="BT331" i="1"/>
  <c r="BT13" i="1"/>
  <c r="BS57" i="1"/>
  <c r="BS476" i="1"/>
  <c r="BT112" i="1"/>
  <c r="BS156" i="1"/>
  <c r="BT396" i="1"/>
  <c r="BS58" i="1"/>
  <c r="BS442" i="1"/>
  <c r="BS307" i="1"/>
  <c r="BS473" i="1"/>
  <c r="BT144" i="1"/>
  <c r="BS306" i="1"/>
  <c r="BS472" i="1"/>
  <c r="BT143" i="1"/>
  <c r="BT271" i="1"/>
  <c r="BS452" i="1"/>
  <c r="BS171" i="1"/>
  <c r="BH380" i="1"/>
  <c r="BH180" i="1"/>
  <c r="BG427" i="1"/>
  <c r="BH56" i="1"/>
  <c r="BH205" i="1"/>
  <c r="BH384" i="1"/>
  <c r="BG450" i="1"/>
  <c r="BG250" i="1"/>
  <c r="BG50" i="1"/>
  <c r="BH346" i="1"/>
  <c r="BH465" i="1"/>
  <c r="BG65" i="1"/>
  <c r="BH489" i="1"/>
  <c r="BH289" i="1"/>
  <c r="BH69" i="1"/>
  <c r="BH296" i="1"/>
  <c r="BG16" i="1"/>
  <c r="BG135" i="1"/>
  <c r="BG479" i="1"/>
  <c r="BG279" i="1"/>
  <c r="BG79" i="1"/>
  <c r="BH498" i="1"/>
  <c r="BH298" i="1"/>
  <c r="BH98" i="1"/>
  <c r="BG468" i="1"/>
  <c r="BG268" i="1"/>
  <c r="BG48" i="1"/>
  <c r="BH116" i="1"/>
  <c r="BH115" i="1"/>
  <c r="BH184" i="1"/>
  <c r="BH367" i="1"/>
  <c r="BH167" i="1"/>
  <c r="BH456" i="1"/>
  <c r="BG211" i="1"/>
  <c r="BH203" i="1"/>
  <c r="BH472" i="1"/>
  <c r="BG463" i="1"/>
  <c r="BH103" i="1"/>
  <c r="BH182" i="1"/>
  <c r="BG273" i="1"/>
  <c r="BH173" i="1"/>
  <c r="BG173" i="1"/>
  <c r="BH351" i="1"/>
  <c r="BG61" i="1"/>
  <c r="BG391" i="1"/>
  <c r="BH482" i="1"/>
  <c r="BG82" i="1"/>
  <c r="BG251" i="1"/>
  <c r="BH433" i="1"/>
  <c r="AV420" i="1"/>
  <c r="AV220" i="1"/>
  <c r="AV20" i="1"/>
  <c r="AU99" i="1"/>
  <c r="AV238" i="1"/>
  <c r="AU460" i="1"/>
  <c r="AU260" i="1"/>
  <c r="AU60" i="1"/>
  <c r="AV138" i="1"/>
  <c r="AV339" i="1"/>
  <c r="AV139" i="1"/>
  <c r="AU69" i="1"/>
  <c r="AU9" i="1"/>
  <c r="AU398" i="1"/>
  <c r="AU198" i="1"/>
  <c r="AV487" i="1"/>
  <c r="AV287" i="1"/>
  <c r="AV87" i="1"/>
  <c r="AU377" i="1"/>
  <c r="AV465" i="1"/>
  <c r="AV265" i="1"/>
  <c r="AV65" i="1"/>
  <c r="AU355" i="1"/>
  <c r="AU155" i="1"/>
  <c r="AV396" i="1"/>
  <c r="AU11" i="1"/>
  <c r="AU252" i="1"/>
  <c r="AV246" i="1"/>
  <c r="AU184" i="1"/>
  <c r="AV282" i="1"/>
  <c r="AU356" i="1"/>
  <c r="AV414" i="1"/>
  <c r="AU352" i="1"/>
  <c r="AV306" i="1"/>
  <c r="AU16" i="1"/>
  <c r="AU323" i="1"/>
  <c r="AV431" i="1"/>
  <c r="AU294" i="1"/>
  <c r="AV152" i="1"/>
  <c r="CR470" i="1"/>
  <c r="CQ350" i="1"/>
  <c r="CR299" i="1"/>
  <c r="CQ239" i="1"/>
  <c r="CQ208" i="1"/>
  <c r="CR346" i="1"/>
  <c r="CR475" i="1"/>
  <c r="CQ291" i="1"/>
  <c r="CQ195" i="1"/>
  <c r="CR104" i="1"/>
  <c r="CR423" i="1"/>
  <c r="CQ453" i="1"/>
  <c r="CQ51" i="1"/>
  <c r="DD420" i="1"/>
  <c r="DD226" i="1"/>
  <c r="DC456" i="1"/>
  <c r="DC226" i="1"/>
  <c r="DC99" i="1"/>
  <c r="DC208" i="1"/>
  <c r="DD205" i="1"/>
  <c r="DC67" i="1"/>
  <c r="DD312" i="1"/>
  <c r="DD212" i="1"/>
  <c r="DC484" i="1"/>
  <c r="DD261" i="1"/>
  <c r="DC214" i="1"/>
  <c r="DP330" i="1"/>
  <c r="DP306" i="1"/>
  <c r="DO347" i="1"/>
  <c r="DO269" i="1"/>
  <c r="DP68" i="1"/>
  <c r="DO48" i="1"/>
  <c r="DO485" i="1"/>
  <c r="DP254" i="1"/>
  <c r="DO204" i="1"/>
  <c r="DO153" i="1"/>
  <c r="DO56" i="1"/>
  <c r="DP423" i="1"/>
  <c r="DP331" i="1"/>
  <c r="DO306" i="1"/>
  <c r="DO122" i="1"/>
  <c r="EB120" i="1"/>
  <c r="EA70" i="1"/>
  <c r="EB229" i="1"/>
  <c r="EA349" i="1"/>
  <c r="EA15" i="1"/>
  <c r="EA217" i="1"/>
  <c r="EA108" i="1"/>
  <c r="EB207" i="1"/>
  <c r="EA146" i="1"/>
  <c r="EB304" i="1"/>
  <c r="EB76" i="1"/>
  <c r="EB305" i="1"/>
  <c r="EB254" i="1"/>
  <c r="EB32" i="1"/>
  <c r="EA391" i="1"/>
  <c r="EA442" i="1"/>
  <c r="EA383" i="1"/>
  <c r="EB241" i="1"/>
  <c r="EB134" i="1"/>
  <c r="EB204" i="1"/>
  <c r="EB22" i="1"/>
  <c r="EA281" i="1"/>
  <c r="CF230" i="1"/>
  <c r="CE330" i="1"/>
  <c r="CE448" i="1"/>
  <c r="CE68" i="1"/>
  <c r="CF436" i="1"/>
  <c r="CF347" i="1"/>
  <c r="CE467" i="1"/>
  <c r="CF126" i="1"/>
  <c r="CF235" i="1"/>
  <c r="CE345" i="1"/>
  <c r="CE15" i="1"/>
  <c r="CF459" i="1"/>
  <c r="CF458" i="1"/>
  <c r="CE221" i="1"/>
  <c r="CE34" i="1"/>
  <c r="CE479" i="1"/>
  <c r="CE86" i="1"/>
  <c r="CE213" i="1"/>
  <c r="CF179" i="1"/>
  <c r="CE129" i="1"/>
  <c r="CF143" i="1"/>
  <c r="CE176" i="1"/>
  <c r="CF82" i="1"/>
  <c r="CF308" i="1"/>
  <c r="CF223" i="1"/>
  <c r="CF72" i="1"/>
  <c r="CE399" i="1"/>
  <c r="CE253" i="1"/>
  <c r="CE252" i="1"/>
  <c r="CF172" i="1"/>
  <c r="CF164" i="1"/>
  <c r="CF159" i="1"/>
  <c r="BT290" i="1"/>
  <c r="BT30" i="1"/>
  <c r="BT358" i="1"/>
  <c r="BS390" i="1"/>
  <c r="BS150" i="1"/>
  <c r="BT429" i="1"/>
  <c r="BT189" i="1"/>
  <c r="BT128" i="1"/>
  <c r="BS179" i="1"/>
  <c r="BT48" i="1"/>
  <c r="BT275" i="1"/>
  <c r="BT15" i="1"/>
  <c r="BS265" i="1"/>
  <c r="BT494" i="1"/>
  <c r="BT254" i="1"/>
  <c r="BT153" i="1"/>
  <c r="BT361" i="1"/>
  <c r="BS147" i="1"/>
  <c r="BT402" i="1"/>
  <c r="BS301" i="1"/>
  <c r="BS137" i="1"/>
  <c r="BS212" i="1"/>
  <c r="BT342" i="1"/>
  <c r="BT452" i="1"/>
  <c r="BS451" i="1"/>
  <c r="BT152" i="1"/>
  <c r="BT327" i="1"/>
  <c r="BS408" i="1"/>
  <c r="BS271" i="1"/>
  <c r="BS383" i="1"/>
  <c r="BS152" i="1"/>
  <c r="BT96" i="1"/>
  <c r="BT223" i="1"/>
  <c r="BS291" i="1"/>
  <c r="BS388" i="1"/>
  <c r="BS454" i="1"/>
  <c r="BT66" i="1"/>
  <c r="BT436" i="1"/>
  <c r="BS154" i="1"/>
  <c r="BH370" i="1"/>
  <c r="BH130" i="1"/>
  <c r="BH406" i="1"/>
  <c r="BH435" i="1"/>
  <c r="BH344" i="1"/>
  <c r="BG400" i="1"/>
  <c r="BG140" i="1"/>
  <c r="BG117" i="1"/>
  <c r="BH445" i="1"/>
  <c r="BH364" i="1"/>
  <c r="BH379" i="1"/>
  <c r="BH139" i="1"/>
  <c r="BH256" i="1"/>
  <c r="BH295" i="1"/>
  <c r="BH84" i="1"/>
  <c r="BG329" i="1"/>
  <c r="BG69" i="1"/>
  <c r="BH448" i="1"/>
  <c r="BH188" i="1"/>
  <c r="BG305" i="1"/>
  <c r="BG258" i="1"/>
  <c r="BG327" i="1"/>
  <c r="BH495" i="1"/>
  <c r="BH424" i="1"/>
  <c r="BH357" i="1"/>
  <c r="BH117" i="1"/>
  <c r="BH493" i="1"/>
  <c r="BH92" i="1"/>
  <c r="BG373" i="1"/>
  <c r="BG462" i="1"/>
  <c r="BH403" i="1"/>
  <c r="BG203" i="1"/>
  <c r="BG144" i="1"/>
  <c r="BG32" i="1"/>
  <c r="BH391" i="1"/>
  <c r="BG131" i="1"/>
  <c r="BG383" i="1"/>
  <c r="BG283" i="1"/>
  <c r="BH102" i="1"/>
  <c r="AV470" i="1"/>
  <c r="AV210" i="1"/>
  <c r="AU419" i="1"/>
  <c r="AV398" i="1"/>
  <c r="AU127" i="1"/>
  <c r="AU250" i="1"/>
  <c r="AU10" i="1"/>
  <c r="AV429" i="1"/>
  <c r="AV189" i="1"/>
  <c r="AV478" i="1"/>
  <c r="AV178" i="1"/>
  <c r="AU288" i="1"/>
  <c r="AU48" i="1"/>
  <c r="AV277" i="1"/>
  <c r="AV37" i="1"/>
  <c r="AU227" i="1"/>
  <c r="AV315" i="1"/>
  <c r="AV55" i="1"/>
  <c r="AU305" i="1"/>
  <c r="AU45" i="1"/>
  <c r="AV101" i="1"/>
  <c r="AU192" i="1"/>
  <c r="AU346" i="1"/>
  <c r="AU343" i="1"/>
  <c r="AU456" i="1"/>
  <c r="AV394" i="1"/>
  <c r="AV491" i="1"/>
  <c r="AV72" i="1"/>
  <c r="AV203" i="1"/>
  <c r="AU151" i="1"/>
  <c r="AU194" i="1"/>
  <c r="AU384" i="1"/>
  <c r="AV173" i="1"/>
  <c r="AU473" i="1"/>
  <c r="AV76" i="1"/>
  <c r="AV112" i="1"/>
  <c r="AV326" i="1"/>
  <c r="AU484" i="1"/>
  <c r="AU86" i="1"/>
  <c r="AV46" i="1"/>
  <c r="AV401" i="1"/>
  <c r="AU181" i="1"/>
  <c r="AJ360" i="1"/>
  <c r="AJ160" i="1"/>
  <c r="AI398" i="1"/>
  <c r="AJ357" i="1"/>
  <c r="AI440" i="1"/>
  <c r="AI240" i="1"/>
  <c r="AI40" i="1"/>
  <c r="AJ409" i="1"/>
  <c r="AJ209" i="1"/>
  <c r="AJ9" i="1"/>
  <c r="AJ347" i="1"/>
  <c r="AI439" i="1"/>
  <c r="AI239" i="1"/>
  <c r="AI39" i="1"/>
  <c r="AJ438" i="1"/>
  <c r="AJ238" i="1"/>
  <c r="AJ38" i="1"/>
  <c r="AJ415" i="1"/>
  <c r="AJ215" i="1"/>
  <c r="AJ15" i="1"/>
  <c r="AI305" i="1"/>
  <c r="AI105" i="1"/>
  <c r="AJ394" i="1"/>
  <c r="AI477" i="1"/>
  <c r="AI92" i="1"/>
  <c r="AI327" i="1"/>
  <c r="AJ186" i="1"/>
  <c r="AJ342" i="1"/>
  <c r="AJ163" i="1"/>
  <c r="AJ162" i="1"/>
  <c r="AI267" i="1"/>
  <c r="AI133" i="1"/>
  <c r="AI322" i="1"/>
  <c r="AI416" i="1"/>
  <c r="AI34" i="1"/>
  <c r="AJ26" i="1"/>
  <c r="AI171" i="1"/>
  <c r="AJ322" i="1"/>
  <c r="AJ144" i="1"/>
  <c r="AJ161" i="1"/>
  <c r="CR440" i="1"/>
  <c r="CQ320" i="1"/>
  <c r="CR289" i="1"/>
  <c r="CQ229" i="1"/>
  <c r="CQ178" i="1"/>
  <c r="CR336" i="1"/>
  <c r="CR455" i="1"/>
  <c r="CQ234" i="1"/>
  <c r="CQ71" i="1"/>
  <c r="CR463" i="1"/>
  <c r="CQ304" i="1"/>
  <c r="CQ433" i="1"/>
  <c r="CR462" i="1"/>
  <c r="DD410" i="1"/>
  <c r="DD186" i="1"/>
  <c r="DC126" i="1"/>
  <c r="DC186" i="1"/>
  <c r="DC89" i="1"/>
  <c r="DC178" i="1"/>
  <c r="DC485" i="1"/>
  <c r="DD416" i="1"/>
  <c r="DD184" i="1"/>
  <c r="DD62" i="1"/>
  <c r="DD483" i="1"/>
  <c r="DC133" i="1"/>
  <c r="DD263" i="1"/>
  <c r="DP260" i="1"/>
  <c r="DP276" i="1"/>
  <c r="DO317" i="1"/>
  <c r="DO239" i="1"/>
  <c r="DP58" i="1"/>
  <c r="DO38" i="1"/>
  <c r="DO475" i="1"/>
  <c r="DP244" i="1"/>
  <c r="DO104" i="1"/>
  <c r="DO93" i="1"/>
  <c r="DO36" i="1"/>
  <c r="DP223" i="1"/>
  <c r="DO226" i="1"/>
  <c r="DP282" i="1"/>
  <c r="DO22" i="1"/>
  <c r="EB90" i="1"/>
  <c r="EA40" i="1"/>
  <c r="EB219" i="1"/>
  <c r="EA339" i="1"/>
  <c r="EB498" i="1"/>
  <c r="EA117" i="1"/>
  <c r="EA98" i="1"/>
  <c r="EB197" i="1"/>
  <c r="EA126" i="1"/>
  <c r="EB284" i="1"/>
  <c r="EB66" i="1"/>
  <c r="EB285" i="1"/>
  <c r="EA494" i="1"/>
  <c r="EA431" i="1"/>
  <c r="EB361" i="1"/>
  <c r="EA413" i="1"/>
  <c r="EB353" i="1"/>
  <c r="EB213" i="1"/>
  <c r="EA34" i="1"/>
  <c r="EB132" i="1"/>
  <c r="EB483" i="1"/>
  <c r="EA123" i="1"/>
  <c r="CF220" i="1"/>
  <c r="CE320" i="1"/>
  <c r="CE438" i="1"/>
  <c r="CE58" i="1"/>
  <c r="CF426" i="1"/>
  <c r="CF337" i="1"/>
  <c r="CE427" i="1"/>
  <c r="CF86" i="1"/>
  <c r="CF225" i="1"/>
  <c r="CE335" i="1"/>
  <c r="CF494" i="1"/>
  <c r="CF441" i="1"/>
  <c r="CF439" i="1"/>
  <c r="CF202" i="1"/>
  <c r="CE493" i="1"/>
  <c r="CE459" i="1"/>
  <c r="CE36" i="1"/>
  <c r="CE196" i="1"/>
  <c r="CF162" i="1"/>
  <c r="CE112" i="1"/>
  <c r="CF128" i="1"/>
  <c r="CE161" i="1"/>
  <c r="CE9" i="1"/>
  <c r="CF269" i="1"/>
  <c r="CE183" i="1"/>
  <c r="CF32" i="1"/>
  <c r="CE353" i="1"/>
  <c r="CE214" i="1"/>
  <c r="CF209" i="1"/>
  <c r="CF132" i="1"/>
  <c r="CF131" i="1"/>
  <c r="CF89" i="1"/>
  <c r="BT280" i="1"/>
  <c r="BT20" i="1"/>
  <c r="BT328" i="1"/>
  <c r="BS380" i="1"/>
  <c r="BS140" i="1"/>
  <c r="BT419" i="1"/>
  <c r="BT179" i="1"/>
  <c r="BT78" i="1"/>
  <c r="BS159" i="1"/>
  <c r="BT28" i="1"/>
  <c r="BT265" i="1"/>
  <c r="BS495" i="1"/>
  <c r="BS255" i="1"/>
  <c r="BT484" i="1"/>
  <c r="BT244" i="1"/>
  <c r="BT137" i="1"/>
  <c r="BT311" i="1"/>
  <c r="BS86" i="1"/>
  <c r="BT352" i="1"/>
  <c r="BS251" i="1"/>
  <c r="BT122" i="1"/>
  <c r="BS151" i="1"/>
  <c r="BS308" i="1"/>
  <c r="BS386" i="1"/>
  <c r="BS401" i="1"/>
  <c r="BT136" i="1"/>
  <c r="BT277" i="1"/>
  <c r="BS358" i="1"/>
  <c r="BT203" i="1"/>
  <c r="BS333" i="1"/>
  <c r="BS136" i="1"/>
  <c r="BS421" i="1"/>
  <c r="BS207" i="1"/>
  <c r="BS273" i="1"/>
  <c r="BT372" i="1"/>
  <c r="BT437" i="1"/>
  <c r="BS52" i="1"/>
  <c r="BS253" i="1"/>
  <c r="BT123" i="1"/>
  <c r="BH360" i="1"/>
  <c r="BH120" i="1"/>
  <c r="BH386" i="1"/>
  <c r="BH395" i="1"/>
  <c r="BH294" i="1"/>
  <c r="BG390" i="1"/>
  <c r="BG130" i="1"/>
  <c r="BG57" i="1"/>
  <c r="BH415" i="1"/>
  <c r="BH324" i="1"/>
  <c r="BH369" i="1"/>
  <c r="BH129" i="1"/>
  <c r="BH216" i="1"/>
  <c r="BH235" i="1"/>
  <c r="BH54" i="1"/>
  <c r="BG319" i="1"/>
  <c r="BG59" i="1"/>
  <c r="BH438" i="1"/>
  <c r="BH178" i="1"/>
  <c r="BH274" i="1"/>
  <c r="BG248" i="1"/>
  <c r="BG277" i="1"/>
  <c r="BH455" i="1"/>
  <c r="BH394" i="1"/>
  <c r="BH347" i="1"/>
  <c r="BH107" i="1"/>
  <c r="BH462" i="1"/>
  <c r="BG63" i="1"/>
  <c r="BG281" i="1"/>
  <c r="BH431" i="1"/>
  <c r="BH311" i="1"/>
  <c r="BH321" i="1"/>
  <c r="BG121" i="1"/>
  <c r="BH292" i="1"/>
  <c r="BG361" i="1"/>
  <c r="BG341" i="1"/>
  <c r="BG353" i="1"/>
  <c r="BG252" i="1"/>
  <c r="BG14" i="1"/>
  <c r="AV460" i="1"/>
  <c r="AV200" i="1"/>
  <c r="AU409" i="1"/>
  <c r="AV388" i="1"/>
  <c r="AU500" i="1"/>
  <c r="AU240" i="1"/>
  <c r="AU499" i="1"/>
  <c r="AV419" i="1"/>
  <c r="AV179" i="1"/>
  <c r="AV348" i="1"/>
  <c r="AV128" i="1"/>
  <c r="AU278" i="1"/>
  <c r="AU38" i="1"/>
  <c r="AV267" i="1"/>
  <c r="AV27" i="1"/>
  <c r="AU207" i="1"/>
  <c r="AV305" i="1"/>
  <c r="AV45" i="1"/>
  <c r="AU295" i="1"/>
  <c r="AU35" i="1"/>
  <c r="AV82" i="1"/>
  <c r="AV93" i="1"/>
  <c r="AU286" i="1"/>
  <c r="AU263" i="1"/>
  <c r="AU436" i="1"/>
  <c r="AV354" i="1"/>
  <c r="AV351" i="1"/>
  <c r="AV16" i="1"/>
  <c r="AV143" i="1"/>
  <c r="AV426" i="1"/>
  <c r="AU174" i="1"/>
  <c r="AV403" i="1"/>
  <c r="AV133" i="1"/>
  <c r="AU453" i="1"/>
  <c r="AU61" i="1"/>
  <c r="AV56" i="1"/>
  <c r="AV266" i="1"/>
  <c r="AU364" i="1"/>
  <c r="AV51" i="1"/>
  <c r="AU441" i="1"/>
  <c r="AU401" i="1"/>
  <c r="AU161" i="1"/>
  <c r="AJ350" i="1"/>
  <c r="AJ150" i="1"/>
  <c r="AI368" i="1"/>
  <c r="AJ337" i="1"/>
  <c r="AI430" i="1"/>
  <c r="AI230" i="1"/>
  <c r="AI30" i="1"/>
  <c r="AJ399" i="1"/>
  <c r="AJ199" i="1"/>
  <c r="AI488" i="1"/>
  <c r="AJ327" i="1"/>
  <c r="AI429" i="1"/>
  <c r="AI229" i="1"/>
  <c r="AI29" i="1"/>
  <c r="AJ428" i="1"/>
  <c r="AJ228" i="1"/>
  <c r="AJ28" i="1"/>
  <c r="AJ405" i="1"/>
  <c r="AJ205" i="1"/>
  <c r="AI495" i="1"/>
  <c r="AI295" i="1"/>
  <c r="AI95" i="1"/>
  <c r="AJ384" i="1"/>
  <c r="AI457" i="1"/>
  <c r="AI73" i="1"/>
  <c r="AI247" i="1"/>
  <c r="AJ114" i="1"/>
  <c r="AJ282" i="1"/>
  <c r="AJ111" i="1"/>
  <c r="AJ143" i="1"/>
  <c r="AJ191" i="1"/>
  <c r="AI81" i="1"/>
  <c r="AI242" i="1"/>
  <c r="AI396" i="1"/>
  <c r="AI16" i="1"/>
  <c r="AJ446" i="1"/>
  <c r="AJ96" i="1"/>
  <c r="AJ222" i="1"/>
  <c r="AJ73" i="1"/>
  <c r="AJ142" i="1"/>
  <c r="CR90" i="1"/>
  <c r="CQ10" i="1"/>
  <c r="CR108" i="1"/>
  <c r="CR178" i="1"/>
  <c r="CQ357" i="1"/>
  <c r="CR387" i="1"/>
  <c r="CQ375" i="1"/>
  <c r="CR322" i="1"/>
  <c r="CQ43" i="1"/>
  <c r="CQ76" i="1"/>
  <c r="CQ94" i="1"/>
  <c r="CQ352" i="1"/>
  <c r="CR301" i="1"/>
  <c r="DD40" i="1"/>
  <c r="DC235" i="1"/>
  <c r="DD199" i="1"/>
  <c r="DC479" i="1"/>
  <c r="DD218" i="1"/>
  <c r="DC117" i="1"/>
  <c r="DD277" i="1"/>
  <c r="DC355" i="1"/>
  <c r="DC302" i="1"/>
  <c r="DD451" i="1"/>
  <c r="DD323" i="1"/>
  <c r="DD392" i="1"/>
  <c r="DD104" i="1"/>
  <c r="DO229" i="1"/>
  <c r="DO160" i="1"/>
  <c r="DP309" i="1"/>
  <c r="DP266" i="1"/>
  <c r="DO448" i="1"/>
  <c r="DP415" i="1"/>
  <c r="DO125" i="1"/>
  <c r="DP153" i="1"/>
  <c r="DO322" i="1"/>
  <c r="DP142" i="1"/>
  <c r="DO112" i="1"/>
  <c r="DO154" i="1"/>
  <c r="DO51" i="1"/>
  <c r="DP204" i="1"/>
  <c r="EB380" i="1"/>
  <c r="EA360" i="1"/>
  <c r="EB449" i="1"/>
  <c r="EA207" i="1"/>
  <c r="EA89" i="1"/>
  <c r="EB268" i="1"/>
  <c r="EA368" i="1"/>
  <c r="EA435" i="1"/>
  <c r="EB17" i="1"/>
  <c r="EA485" i="1"/>
  <c r="EB286" i="1"/>
  <c r="EA336" i="1"/>
  <c r="EA255" i="1"/>
  <c r="EB143" i="1"/>
  <c r="EB152" i="1"/>
  <c r="EA43" i="1"/>
  <c r="EB141" i="1"/>
  <c r="EB91" i="1"/>
  <c r="EA434" i="1"/>
  <c r="EB322" i="1"/>
  <c r="EB124" i="1"/>
  <c r="EA61" i="1"/>
  <c r="CF430" i="1"/>
  <c r="CF50" i="1"/>
  <c r="CE150" i="1"/>
  <c r="CE278" i="1"/>
  <c r="CE237" i="1"/>
  <c r="CF76" i="1"/>
  <c r="CF157" i="1"/>
  <c r="CE87" i="1"/>
  <c r="CF425" i="1"/>
  <c r="CF65" i="1"/>
  <c r="CE195" i="1"/>
  <c r="CF364" i="1"/>
  <c r="CE172" i="1"/>
  <c r="CE71" i="1"/>
  <c r="CE346" i="1"/>
  <c r="CF183" i="1"/>
  <c r="CE222" i="1"/>
  <c r="CE473" i="1"/>
  <c r="CE469" i="1"/>
  <c r="CE431" i="1"/>
  <c r="CF392" i="1"/>
  <c r="CE429" i="1"/>
  <c r="CE444" i="1"/>
  <c r="CE483" i="1"/>
  <c r="CE263" i="1"/>
  <c r="CF182" i="1"/>
  <c r="CE32" i="1"/>
  <c r="CE442" i="1"/>
  <c r="CF252" i="1"/>
  <c r="CF251" i="1"/>
  <c r="CE166" i="1"/>
  <c r="CF124" i="1"/>
  <c r="BT410" i="1"/>
  <c r="BT170" i="1"/>
  <c r="BS109" i="1"/>
  <c r="BT58" i="1"/>
  <c r="BS270" i="1"/>
  <c r="BS30" i="1"/>
  <c r="BT309" i="1"/>
  <c r="BT69" i="1"/>
  <c r="BS369" i="1"/>
  <c r="BT368" i="1"/>
  <c r="BT395" i="1"/>
  <c r="BT155" i="1"/>
  <c r="BS385" i="1"/>
  <c r="BS145" i="1"/>
  <c r="BT374" i="1"/>
  <c r="BT382" i="1"/>
  <c r="BT477" i="1"/>
  <c r="BS293" i="1"/>
  <c r="BT371" i="1"/>
  <c r="BT217" i="1"/>
  <c r="BS332" i="1"/>
  <c r="BS328" i="1"/>
  <c r="BS42" i="1"/>
  <c r="BS274" i="1"/>
  <c r="BT202" i="1"/>
  <c r="BT381" i="1"/>
  <c r="BT412" i="1"/>
  <c r="BS181" i="1"/>
  <c r="BS242" i="1"/>
  <c r="BS434" i="1"/>
  <c r="BT346" i="1"/>
  <c r="BT212" i="1"/>
  <c r="BT423" i="1"/>
  <c r="BT37" i="1"/>
  <c r="BS98" i="1"/>
  <c r="BT191" i="1"/>
  <c r="BS254" i="1"/>
  <c r="BT321" i="1"/>
  <c r="BT186" i="1"/>
  <c r="BT46" i="1"/>
  <c r="BH250" i="1"/>
  <c r="BH10" i="1"/>
  <c r="BG416" i="1"/>
  <c r="BG445" i="1"/>
  <c r="BG314" i="1"/>
  <c r="BG280" i="1"/>
  <c r="BG20" i="1"/>
  <c r="BH86" i="1"/>
  <c r="BG385" i="1"/>
  <c r="BG304" i="1"/>
  <c r="BH259" i="1"/>
  <c r="BG407" i="1"/>
  <c r="BG286" i="1"/>
  <c r="BG235" i="1"/>
  <c r="BG449" i="1"/>
  <c r="BG209" i="1"/>
  <c r="BH36" i="1"/>
  <c r="BH328" i="1"/>
  <c r="BH68" i="1"/>
  <c r="BG398" i="1"/>
  <c r="BG118" i="1"/>
  <c r="BH246" i="1"/>
  <c r="BG475" i="1"/>
  <c r="BH497" i="1"/>
  <c r="BH237" i="1"/>
  <c r="BG317" i="1"/>
  <c r="BH122" i="1"/>
  <c r="BH413" i="1"/>
  <c r="BG471" i="1"/>
  <c r="BG412" i="1"/>
  <c r="BH302" i="1"/>
  <c r="BG402" i="1"/>
  <c r="BG392" i="1"/>
  <c r="BG23" i="1"/>
  <c r="BG201" i="1"/>
  <c r="BG172" i="1"/>
  <c r="BH283" i="1"/>
  <c r="BH133" i="1"/>
  <c r="BG124" i="1"/>
  <c r="AV350" i="1"/>
  <c r="AV90" i="1"/>
  <c r="AU159" i="1"/>
  <c r="AV168" i="1"/>
  <c r="AU390" i="1"/>
  <c r="AU130" i="1"/>
  <c r="AV298" i="1"/>
  <c r="AV309" i="1"/>
  <c r="AV69" i="1"/>
  <c r="AU349" i="1"/>
  <c r="AU428" i="1"/>
  <c r="AU168" i="1"/>
  <c r="AV417" i="1"/>
  <c r="AV157" i="1"/>
  <c r="AU407" i="1"/>
  <c r="AV435" i="1"/>
  <c r="AV195" i="1"/>
  <c r="AU425" i="1"/>
  <c r="AU185" i="1"/>
  <c r="AV336" i="1"/>
  <c r="AV214" i="1"/>
  <c r="AU231" i="1"/>
  <c r="AU34" i="1"/>
  <c r="AV103" i="1"/>
  <c r="AU216" i="1"/>
  <c r="AV452" i="1"/>
  <c r="AU131" i="1"/>
  <c r="AU324" i="1"/>
  <c r="AV382" i="1"/>
  <c r="AU434" i="1"/>
  <c r="AV61" i="1"/>
  <c r="AV393" i="1"/>
  <c r="AU411" i="1"/>
  <c r="AU273" i="1"/>
  <c r="AV192" i="1"/>
  <c r="AU37" i="1"/>
  <c r="AU146" i="1"/>
  <c r="AV223" i="1"/>
  <c r="AU282" i="1"/>
  <c r="AU301" i="1"/>
  <c r="AU27" i="1"/>
  <c r="AJ460" i="1"/>
  <c r="AJ260" i="1"/>
  <c r="AJ60" i="1"/>
  <c r="AI88" i="1"/>
  <c r="AJ107" i="1"/>
  <c r="AI340" i="1"/>
  <c r="AI140" i="1"/>
  <c r="AJ437" i="1"/>
  <c r="AJ309" i="1"/>
  <c r="AJ109" i="1"/>
  <c r="AI188" i="1"/>
  <c r="AJ97" i="1"/>
  <c r="AI339" i="1"/>
  <c r="AI139" i="1"/>
  <c r="AJ467" i="1"/>
  <c r="AJ338" i="1"/>
  <c r="AJ138" i="1"/>
  <c r="AJ127" i="1"/>
  <c r="AJ315" i="1"/>
  <c r="AJ115" i="1"/>
  <c r="AI405" i="1"/>
  <c r="AI205" i="1"/>
  <c r="AJ494" i="1"/>
  <c r="AJ294" i="1"/>
  <c r="AI277" i="1"/>
  <c r="AJ192" i="1"/>
  <c r="AI44" i="1"/>
  <c r="AI96" i="1"/>
  <c r="AJ441" i="1"/>
  <c r="AJ356" i="1"/>
  <c r="AJ173" i="1"/>
  <c r="AI486" i="1"/>
  <c r="AI23" i="1"/>
  <c r="AI37" i="1"/>
  <c r="AI216" i="1"/>
  <c r="AI371" i="1"/>
  <c r="AI306" i="1"/>
  <c r="AJ42" i="1"/>
  <c r="AJ74" i="1"/>
  <c r="AI354" i="1"/>
  <c r="AI176" i="1"/>
  <c r="CR80" i="1"/>
  <c r="CR378" i="1"/>
  <c r="CR78" i="1"/>
  <c r="CR28" i="1"/>
  <c r="CQ267" i="1"/>
  <c r="CR377" i="1"/>
  <c r="CQ355" i="1"/>
  <c r="CQ303" i="1"/>
  <c r="CQ24" i="1"/>
  <c r="CR61" i="1"/>
  <c r="CR452" i="1"/>
  <c r="CQ293" i="1"/>
  <c r="CQ461" i="1"/>
  <c r="DD30" i="1"/>
  <c r="DC195" i="1"/>
  <c r="DD189" i="1"/>
  <c r="DC449" i="1"/>
  <c r="DD138" i="1"/>
  <c r="DC87" i="1"/>
  <c r="DD207" i="1"/>
  <c r="DC135" i="1"/>
  <c r="DC174" i="1"/>
  <c r="DC451" i="1"/>
  <c r="DD173" i="1"/>
  <c r="DD364" i="1"/>
  <c r="DC12" i="1"/>
  <c r="DO119" i="1"/>
  <c r="DO150" i="1"/>
  <c r="DP299" i="1"/>
  <c r="DP236" i="1"/>
  <c r="DO438" i="1"/>
  <c r="DP405" i="1"/>
  <c r="DO115" i="1"/>
  <c r="DP33" i="1"/>
  <c r="DO294" i="1"/>
  <c r="DP82" i="1"/>
  <c r="DO72" i="1"/>
  <c r="DO134" i="1"/>
  <c r="DO31" i="1"/>
  <c r="DP184" i="1"/>
  <c r="EB370" i="1"/>
  <c r="EA330" i="1"/>
  <c r="EB439" i="1"/>
  <c r="EA137" i="1"/>
  <c r="EA79" i="1"/>
  <c r="EB238" i="1"/>
  <c r="EA338" i="1"/>
  <c r="EA105" i="1"/>
  <c r="EA497" i="1"/>
  <c r="EA425" i="1"/>
  <c r="EB276" i="1"/>
  <c r="EA326" i="1"/>
  <c r="EA235" i="1"/>
  <c r="EB93" i="1"/>
  <c r="EB102" i="1"/>
  <c r="EA21" i="1"/>
  <c r="EB63" i="1"/>
  <c r="EB41" i="1"/>
  <c r="EB411" i="1"/>
  <c r="EA293" i="1"/>
  <c r="EB74" i="1"/>
  <c r="EA482" i="1"/>
  <c r="CF420" i="1"/>
  <c r="CF40" i="1"/>
  <c r="CE140" i="1"/>
  <c r="CE268" i="1"/>
  <c r="CE217" i="1"/>
  <c r="CF56" i="1"/>
  <c r="CF147" i="1"/>
  <c r="CE67" i="1"/>
  <c r="CF415" i="1"/>
  <c r="CF55" i="1"/>
  <c r="CE165" i="1"/>
  <c r="CF354" i="1"/>
  <c r="CE154" i="1"/>
  <c r="CE53" i="1"/>
  <c r="CE329" i="1"/>
  <c r="CF168" i="1"/>
  <c r="CF203" i="1"/>
  <c r="CE219" i="1"/>
  <c r="CF449" i="1"/>
  <c r="CE412" i="1"/>
  <c r="CF373" i="1"/>
  <c r="CE411" i="1"/>
  <c r="CE404" i="1"/>
  <c r="CE396" i="1"/>
  <c r="CE224" i="1"/>
  <c r="CF148" i="1"/>
  <c r="CE201" i="1"/>
  <c r="CF433" i="1"/>
  <c r="CF213" i="1"/>
  <c r="CE209" i="1"/>
  <c r="CE132" i="1"/>
  <c r="CF91" i="1"/>
  <c r="BT400" i="1"/>
  <c r="BT160" i="1"/>
  <c r="BS79" i="1"/>
  <c r="BT38" i="1"/>
  <c r="BS260" i="1"/>
  <c r="BS20" i="1"/>
  <c r="BT299" i="1"/>
  <c r="BT59" i="1"/>
  <c r="BS359" i="1"/>
  <c r="BT348" i="1"/>
  <c r="BT385" i="1"/>
  <c r="BT145" i="1"/>
  <c r="BS375" i="1"/>
  <c r="BS135" i="1"/>
  <c r="BT364" i="1"/>
  <c r="BS366" i="1"/>
  <c r="BS412" i="1"/>
  <c r="BS243" i="1"/>
  <c r="BS127" i="1"/>
  <c r="BS172" i="1"/>
  <c r="BS314" i="1"/>
  <c r="BS278" i="1"/>
  <c r="BS493" i="1"/>
  <c r="BS224" i="1"/>
  <c r="BT141" i="1"/>
  <c r="BT363" i="1"/>
  <c r="BT362" i="1"/>
  <c r="BT117" i="1"/>
  <c r="BS193" i="1"/>
  <c r="BT317" i="1"/>
  <c r="BS331" i="1"/>
  <c r="BT134" i="1"/>
  <c r="BS407" i="1"/>
  <c r="BS23" i="1"/>
  <c r="BT83" i="1"/>
  <c r="BT174" i="1"/>
  <c r="BT237" i="1"/>
  <c r="BT303" i="1"/>
  <c r="BT124" i="1"/>
  <c r="BH500" i="1"/>
  <c r="BH240" i="1"/>
  <c r="BH79" i="1"/>
  <c r="BG386" i="1"/>
  <c r="BG405" i="1"/>
  <c r="BG284" i="1"/>
  <c r="BG270" i="1"/>
  <c r="BG10" i="1"/>
  <c r="BH46" i="1"/>
  <c r="BG335" i="1"/>
  <c r="BG264" i="1"/>
  <c r="BH249" i="1"/>
  <c r="BG377" i="1"/>
  <c r="BG256" i="1"/>
  <c r="BG195" i="1"/>
  <c r="BG439" i="1"/>
  <c r="BG199" i="1"/>
  <c r="BG446" i="1"/>
  <c r="BH318" i="1"/>
  <c r="BH58" i="1"/>
  <c r="BG388" i="1"/>
  <c r="BG108" i="1"/>
  <c r="BH196" i="1"/>
  <c r="BG435" i="1"/>
  <c r="BH487" i="1"/>
  <c r="BH227" i="1"/>
  <c r="BG207" i="1"/>
  <c r="BG93" i="1"/>
  <c r="BH443" i="1"/>
  <c r="BG242" i="1"/>
  <c r="BG282" i="1"/>
  <c r="BG182" i="1"/>
  <c r="BG212" i="1"/>
  <c r="BH361" i="1"/>
  <c r="BG413" i="1"/>
  <c r="BG83" i="1"/>
  <c r="BH142" i="1"/>
  <c r="BH252" i="1"/>
  <c r="BG81" i="1"/>
  <c r="BG42" i="1"/>
  <c r="AV340" i="1"/>
  <c r="AV80" i="1"/>
  <c r="AU139" i="1"/>
  <c r="AV148" i="1"/>
  <c r="AU380" i="1"/>
  <c r="AU120" i="1"/>
  <c r="AV248" i="1"/>
  <c r="AV299" i="1"/>
  <c r="AV59" i="1"/>
  <c r="AU299" i="1"/>
  <c r="AU418" i="1"/>
  <c r="AU158" i="1"/>
  <c r="AV407" i="1"/>
  <c r="AV147" i="1"/>
  <c r="AU397" i="1"/>
  <c r="AV425" i="1"/>
  <c r="AV185" i="1"/>
  <c r="AU415" i="1"/>
  <c r="AU175" i="1"/>
  <c r="AV316" i="1"/>
  <c r="AV194" i="1"/>
  <c r="AU171" i="1"/>
  <c r="AU464" i="1"/>
  <c r="AU51" i="1"/>
  <c r="AU196" i="1"/>
  <c r="AV352" i="1"/>
  <c r="AV73" i="1"/>
  <c r="AU264" i="1"/>
  <c r="AV302" i="1"/>
  <c r="AU414" i="1"/>
  <c r="AV412" i="1"/>
  <c r="AV373" i="1"/>
  <c r="AV386" i="1"/>
  <c r="AU253" i="1"/>
  <c r="AV132" i="1"/>
  <c r="AU491" i="1"/>
  <c r="AV91" i="1"/>
  <c r="AV183" i="1"/>
  <c r="AU222" i="1"/>
  <c r="AU481" i="1"/>
  <c r="AU12" i="1"/>
  <c r="AJ450" i="1"/>
  <c r="AJ250" i="1"/>
  <c r="AJ50" i="1"/>
  <c r="AI58" i="1"/>
  <c r="AJ67" i="1"/>
  <c r="AI330" i="1"/>
  <c r="AI130" i="1"/>
  <c r="AJ499" i="1"/>
  <c r="AJ299" i="1"/>
  <c r="AJ99" i="1"/>
  <c r="AI158" i="1"/>
  <c r="AJ87" i="1"/>
  <c r="AI329" i="1"/>
  <c r="AI129" i="1"/>
  <c r="AJ247" i="1"/>
  <c r="AJ328" i="1"/>
  <c r="AJ128" i="1"/>
  <c r="AJ47" i="1"/>
  <c r="AJ305" i="1"/>
  <c r="AJ105" i="1"/>
  <c r="AI395" i="1"/>
  <c r="AI195" i="1"/>
  <c r="AJ484" i="1"/>
  <c r="AJ284" i="1"/>
  <c r="AI257" i="1"/>
  <c r="AI121" i="1"/>
  <c r="AI466" i="1"/>
  <c r="AJ23" i="1"/>
  <c r="AJ401" i="1"/>
  <c r="AJ336" i="1"/>
  <c r="AI451" i="1"/>
  <c r="AI326" i="1"/>
  <c r="AJ442" i="1"/>
  <c r="AI481" i="1"/>
  <c r="AJ196" i="1"/>
  <c r="AI291" i="1"/>
  <c r="AI286" i="1"/>
  <c r="AI463" i="1"/>
  <c r="AJ481" i="1"/>
  <c r="AI334" i="1"/>
  <c r="AI67" i="1"/>
  <c r="CR430" i="1"/>
  <c r="CQ100" i="1"/>
  <c r="CR38" i="1"/>
  <c r="CQ358" i="1"/>
  <c r="CQ496" i="1"/>
  <c r="CQ244" i="1"/>
  <c r="CR302" i="1"/>
  <c r="CR234" i="1"/>
  <c r="CR232" i="1"/>
  <c r="CR432" i="1"/>
  <c r="CR83" i="1"/>
  <c r="DC30" i="1"/>
  <c r="DD489" i="1"/>
  <c r="DC425" i="1"/>
  <c r="DC498" i="1"/>
  <c r="DD495" i="1"/>
  <c r="DC486" i="1"/>
  <c r="DD182" i="1"/>
  <c r="DC251" i="1"/>
  <c r="DC143" i="1"/>
  <c r="DD163" i="1"/>
  <c r="DP120" i="1"/>
  <c r="DO30" i="1"/>
  <c r="DP9" i="1"/>
  <c r="DP18" i="1"/>
  <c r="DO157" i="1"/>
  <c r="DO85" i="1"/>
  <c r="DO286" i="1"/>
  <c r="DO33" i="1"/>
  <c r="DP313" i="1"/>
  <c r="DO342" i="1"/>
  <c r="DP66" i="1"/>
  <c r="DO323" i="1"/>
  <c r="EA450" i="1"/>
  <c r="EB429" i="1"/>
  <c r="EA459" i="1"/>
  <c r="EB468" i="1"/>
  <c r="EA498" i="1"/>
  <c r="EB407" i="1"/>
  <c r="EA87" i="1"/>
  <c r="EB466" i="1"/>
  <c r="EA426" i="1"/>
  <c r="EA195" i="1"/>
  <c r="EB183" i="1"/>
  <c r="EA332" i="1"/>
  <c r="EB142" i="1"/>
  <c r="EB343" i="1"/>
  <c r="EA91" i="1"/>
  <c r="EA284" i="1"/>
  <c r="EA112" i="1"/>
  <c r="CF410" i="1"/>
  <c r="CE440" i="1"/>
  <c r="CE428" i="1"/>
  <c r="CE437" i="1"/>
  <c r="CF477" i="1"/>
  <c r="CF37" i="1"/>
  <c r="CF66" i="1"/>
  <c r="CF125" i="1"/>
  <c r="CE135" i="1"/>
  <c r="CF264" i="1"/>
  <c r="CF421" i="1"/>
  <c r="CF34" i="1"/>
  <c r="CF118" i="1"/>
  <c r="CF478" i="1"/>
  <c r="CE181" i="1"/>
  <c r="CF12" i="1"/>
  <c r="CE321" i="1"/>
  <c r="CF282" i="1"/>
  <c r="CE491" i="1"/>
  <c r="CF74" i="1"/>
  <c r="CE33" i="1"/>
  <c r="CF123" i="1"/>
  <c r="CF174" i="1"/>
  <c r="CE416" i="1"/>
  <c r="CF92" i="1"/>
  <c r="CF163" i="1"/>
  <c r="BT270" i="1"/>
  <c r="BS259" i="1"/>
  <c r="BS490" i="1"/>
  <c r="BS190" i="1"/>
  <c r="BT409" i="1"/>
  <c r="BT109" i="1"/>
  <c r="BS349" i="1"/>
  <c r="BT198" i="1"/>
  <c r="BT255" i="1"/>
  <c r="BS445" i="1"/>
  <c r="BS105" i="1"/>
  <c r="BT294" i="1"/>
  <c r="BS123" i="1"/>
  <c r="BS461" i="1"/>
  <c r="BT51" i="1"/>
  <c r="BS186" i="1"/>
  <c r="BT106" i="1"/>
  <c r="BT343" i="1"/>
  <c r="BS54" i="1"/>
  <c r="BS202" i="1"/>
  <c r="BS122" i="1"/>
  <c r="BS377" i="1"/>
  <c r="BT162" i="1"/>
  <c r="BT283" i="1"/>
  <c r="BT121" i="1"/>
  <c r="BS33" i="1"/>
  <c r="BT456" i="1"/>
  <c r="BS456" i="1"/>
  <c r="BS422" i="1"/>
  <c r="BT421" i="1"/>
  <c r="BS78" i="1"/>
  <c r="BH430" i="1"/>
  <c r="BH110" i="1"/>
  <c r="BH186" i="1"/>
  <c r="BG285" i="1"/>
  <c r="BG440" i="1"/>
  <c r="BG120" i="1"/>
  <c r="BH236" i="1"/>
  <c r="BG275" i="1"/>
  <c r="BH439" i="1"/>
  <c r="BH119" i="1"/>
  <c r="BH26" i="1"/>
  <c r="BG105" i="1"/>
  <c r="BG369" i="1"/>
  <c r="BG49" i="1"/>
  <c r="BH368" i="1"/>
  <c r="BH48" i="1"/>
  <c r="BG318" i="1"/>
  <c r="BG237" i="1"/>
  <c r="BH225" i="1"/>
  <c r="BH457" i="1"/>
  <c r="BH157" i="1"/>
  <c r="BG432" i="1"/>
  <c r="BG92" i="1"/>
  <c r="BH12" i="1"/>
  <c r="BH132" i="1"/>
  <c r="BG381" i="1"/>
  <c r="BH341" i="1"/>
  <c r="BG351" i="1"/>
  <c r="BG313" i="1"/>
  <c r="BG322" i="1"/>
  <c r="BG481" i="1"/>
  <c r="BH463" i="1"/>
  <c r="AV270" i="1"/>
  <c r="AU399" i="1"/>
  <c r="AV308" i="1"/>
  <c r="AU350" i="1"/>
  <c r="AU50" i="1"/>
  <c r="AV409" i="1"/>
  <c r="AV109" i="1"/>
  <c r="AU239" i="1"/>
  <c r="AU348" i="1"/>
  <c r="AU28" i="1"/>
  <c r="AV217" i="1"/>
  <c r="AU367" i="1"/>
  <c r="AV355" i="1"/>
  <c r="AV35" i="1"/>
  <c r="AU225" i="1"/>
  <c r="AV296" i="1"/>
  <c r="AV272" i="1"/>
  <c r="AU226" i="1"/>
  <c r="AV462" i="1"/>
  <c r="AU136" i="1"/>
  <c r="AU292" i="1"/>
  <c r="AV444" i="1"/>
  <c r="AU163" i="1"/>
  <c r="AU394" i="1"/>
  <c r="AU431" i="1"/>
  <c r="AU77" i="1"/>
  <c r="AU353" i="1"/>
  <c r="AU76" i="1"/>
  <c r="AV54" i="1"/>
  <c r="AU284" i="1"/>
  <c r="AV66" i="1"/>
  <c r="AU281" i="1"/>
  <c r="AV381" i="1"/>
  <c r="AJ340" i="1"/>
  <c r="AJ100" i="1"/>
  <c r="AI18" i="1"/>
  <c r="AI480" i="1"/>
  <c r="AI220" i="1"/>
  <c r="AI308" i="1"/>
  <c r="AJ289" i="1"/>
  <c r="AJ49" i="1"/>
  <c r="AJ307" i="1"/>
  <c r="AI379" i="1"/>
  <c r="AI119" i="1"/>
  <c r="AJ478" i="1"/>
  <c r="AJ218" i="1"/>
  <c r="AI138" i="1"/>
  <c r="AJ295" i="1"/>
  <c r="AJ55" i="1"/>
  <c r="AI285" i="1"/>
  <c r="AI45" i="1"/>
  <c r="AJ274" i="1"/>
  <c r="AI163" i="1"/>
  <c r="AJ172" i="1"/>
  <c r="AJ283" i="1"/>
  <c r="AJ321" i="1"/>
  <c r="AJ236" i="1"/>
  <c r="AI117" i="1"/>
  <c r="AI243" i="1"/>
  <c r="AI341" i="1"/>
  <c r="AJ106" i="1"/>
  <c r="AJ326" i="1"/>
  <c r="AJ263" i="1"/>
  <c r="AJ341" i="1"/>
  <c r="AI234" i="1"/>
  <c r="AI13" i="1"/>
  <c r="AI402" i="1"/>
  <c r="AI161" i="1"/>
  <c r="AI492" i="1"/>
  <c r="AI493" i="1"/>
  <c r="AJ432" i="1"/>
  <c r="AI84" i="1"/>
  <c r="AI426" i="1"/>
  <c r="AJ421" i="1"/>
  <c r="X400" i="1"/>
  <c r="X200" i="1"/>
  <c r="X478" i="1"/>
  <c r="W410" i="1"/>
  <c r="W210" i="1"/>
  <c r="W10" i="1"/>
  <c r="X98" i="1"/>
  <c r="X319" i="1"/>
  <c r="X119" i="1"/>
  <c r="W399" i="1"/>
  <c r="W109" i="1"/>
  <c r="X368" i="1"/>
  <c r="W488" i="1"/>
  <c r="W288" i="1"/>
  <c r="W88" i="1"/>
  <c r="X377" i="1"/>
  <c r="X177" i="1"/>
  <c r="X315" i="1"/>
  <c r="X115" i="1"/>
  <c r="W405" i="1"/>
  <c r="W205" i="1"/>
  <c r="X494" i="1"/>
  <c r="X294" i="1"/>
  <c r="W277" i="1"/>
  <c r="W77" i="1"/>
  <c r="X37" i="1"/>
  <c r="X102" i="1"/>
  <c r="X216" i="1"/>
  <c r="W336" i="1"/>
  <c r="W43" i="1"/>
  <c r="CR400" i="1"/>
  <c r="CQ90" i="1"/>
  <c r="CR156" i="1"/>
  <c r="CQ348" i="1"/>
  <c r="CQ436" i="1"/>
  <c r="CR191" i="1"/>
  <c r="CR121" i="1"/>
  <c r="CR53" i="1"/>
  <c r="CQ123" i="1"/>
  <c r="CR293" i="1"/>
  <c r="CQ212" i="1"/>
  <c r="DD258" i="1"/>
  <c r="DD479" i="1"/>
  <c r="DC385" i="1"/>
  <c r="DC488" i="1"/>
  <c r="DD325" i="1"/>
  <c r="DC436" i="1"/>
  <c r="DD54" i="1"/>
  <c r="DD421" i="1"/>
  <c r="DC121" i="1"/>
  <c r="DD91" i="1"/>
  <c r="DP110" i="1"/>
  <c r="DO499" i="1"/>
  <c r="DO479" i="1"/>
  <c r="DP357" i="1"/>
  <c r="DO47" i="1"/>
  <c r="DO75" i="1"/>
  <c r="DO172" i="1"/>
  <c r="DO441" i="1"/>
  <c r="DO113" i="1"/>
  <c r="DO292" i="1"/>
  <c r="DP46" i="1"/>
  <c r="DP201" i="1"/>
  <c r="EA440" i="1"/>
  <c r="EB419" i="1"/>
  <c r="EA449" i="1"/>
  <c r="EB438" i="1"/>
  <c r="EA488" i="1"/>
  <c r="EB397" i="1"/>
  <c r="EA57" i="1"/>
  <c r="EB456" i="1"/>
  <c r="EA416" i="1"/>
  <c r="EA175" i="1"/>
  <c r="EB61" i="1"/>
  <c r="EB302" i="1"/>
  <c r="EB114" i="1"/>
  <c r="EA132" i="1"/>
  <c r="EA63" i="1"/>
  <c r="EA104" i="1"/>
  <c r="EA62" i="1"/>
  <c r="CF400" i="1"/>
  <c r="CE430" i="1"/>
  <c r="CE418" i="1"/>
  <c r="CE417" i="1"/>
  <c r="CF467" i="1"/>
  <c r="CF27" i="1"/>
  <c r="CF46" i="1"/>
  <c r="CF115" i="1"/>
  <c r="CE125" i="1"/>
  <c r="CF254" i="1"/>
  <c r="CF402" i="1"/>
  <c r="CF493" i="1"/>
  <c r="CF101" i="1"/>
  <c r="CE312" i="1"/>
  <c r="CE163" i="1"/>
  <c r="CF488" i="1"/>
  <c r="CE302" i="1"/>
  <c r="CF263" i="1"/>
  <c r="CF398" i="1"/>
  <c r="CF41" i="1"/>
  <c r="CF472" i="1"/>
  <c r="CF49" i="1"/>
  <c r="CF141" i="1"/>
  <c r="CE372" i="1"/>
  <c r="CF58" i="1"/>
  <c r="CE124" i="1"/>
  <c r="BT260" i="1"/>
  <c r="BS239" i="1"/>
  <c r="BS480" i="1"/>
  <c r="BS180" i="1"/>
  <c r="BT399" i="1"/>
  <c r="BT99" i="1"/>
  <c r="BS339" i="1"/>
  <c r="BT168" i="1"/>
  <c r="BT245" i="1"/>
  <c r="BS435" i="1"/>
  <c r="BS95" i="1"/>
  <c r="BT284" i="1"/>
  <c r="BS107" i="1"/>
  <c r="BT426" i="1"/>
  <c r="BS453" i="1"/>
  <c r="BS124" i="1"/>
  <c r="BS92" i="1"/>
  <c r="BT293" i="1"/>
  <c r="BS204" i="1"/>
  <c r="BT154" i="1"/>
  <c r="BS106" i="1"/>
  <c r="BS327" i="1"/>
  <c r="BS116" i="1"/>
  <c r="BT233" i="1"/>
  <c r="BT104" i="1"/>
  <c r="BS417" i="1"/>
  <c r="BS441" i="1"/>
  <c r="BS438" i="1"/>
  <c r="BS404" i="1"/>
  <c r="BT403" i="1"/>
  <c r="BS17" i="1"/>
  <c r="BH420" i="1"/>
  <c r="BH100" i="1"/>
  <c r="BH146" i="1"/>
  <c r="BG245" i="1"/>
  <c r="BG430" i="1"/>
  <c r="BG110" i="1"/>
  <c r="BH206" i="1"/>
  <c r="BG225" i="1"/>
  <c r="BH429" i="1"/>
  <c r="BH109" i="1"/>
  <c r="BG486" i="1"/>
  <c r="BG55" i="1"/>
  <c r="BG359" i="1"/>
  <c r="BG39" i="1"/>
  <c r="BH358" i="1"/>
  <c r="BH38" i="1"/>
  <c r="BG308" i="1"/>
  <c r="BG197" i="1"/>
  <c r="BH195" i="1"/>
  <c r="BH447" i="1"/>
  <c r="BH147" i="1"/>
  <c r="BG401" i="1"/>
  <c r="BH62" i="1"/>
  <c r="BG371" i="1"/>
  <c r="BG44" i="1"/>
  <c r="BH342" i="1"/>
  <c r="BG303" i="1"/>
  <c r="BG221" i="1"/>
  <c r="BG244" i="1"/>
  <c r="BG291" i="1"/>
  <c r="BH313" i="1"/>
  <c r="BG153" i="1"/>
  <c r="AV260" i="1"/>
  <c r="AU369" i="1"/>
  <c r="AV278" i="1"/>
  <c r="AU340" i="1"/>
  <c r="AU40" i="1"/>
  <c r="AV399" i="1"/>
  <c r="AV99" i="1"/>
  <c r="AU179" i="1"/>
  <c r="AU338" i="1"/>
  <c r="AU18" i="1"/>
  <c r="AV207" i="1"/>
  <c r="AU347" i="1"/>
  <c r="AV345" i="1"/>
  <c r="AV25" i="1"/>
  <c r="AU215" i="1"/>
  <c r="AV276" i="1"/>
  <c r="AU113" i="1"/>
  <c r="AU166" i="1"/>
  <c r="AV402" i="1"/>
  <c r="AV116" i="1"/>
  <c r="AU232" i="1"/>
  <c r="AV364" i="1"/>
  <c r="AU104" i="1"/>
  <c r="AU374" i="1"/>
  <c r="AV406" i="1"/>
  <c r="AV23" i="1"/>
  <c r="AU333" i="1"/>
  <c r="AV41" i="1"/>
  <c r="AU21" i="1"/>
  <c r="AU224" i="1"/>
  <c r="AU13" i="1"/>
  <c r="AU83" i="1"/>
  <c r="AV181" i="1"/>
  <c r="AJ330" i="1"/>
  <c r="AJ90" i="1"/>
  <c r="AJ497" i="1"/>
  <c r="AI470" i="1"/>
  <c r="AI210" i="1"/>
  <c r="AI248" i="1"/>
  <c r="AJ279" i="1"/>
  <c r="AJ39" i="1"/>
  <c r="AJ287" i="1"/>
  <c r="AI369" i="1"/>
  <c r="AI109" i="1"/>
  <c r="AJ468" i="1"/>
  <c r="AJ208" i="1"/>
  <c r="AI48" i="1"/>
  <c r="AJ285" i="1"/>
  <c r="AJ45" i="1"/>
  <c r="AI275" i="1"/>
  <c r="AI35" i="1"/>
  <c r="AJ264" i="1"/>
  <c r="AI144" i="1"/>
  <c r="AJ82" i="1"/>
  <c r="AJ243" i="1"/>
  <c r="AJ241" i="1"/>
  <c r="AJ216" i="1"/>
  <c r="AJ44" i="1"/>
  <c r="AJ184" i="1"/>
  <c r="AI261" i="1"/>
  <c r="AI91" i="1"/>
  <c r="AJ266" i="1"/>
  <c r="AJ223" i="1"/>
  <c r="AJ221" i="1"/>
  <c r="AI214" i="1"/>
  <c r="AI472" i="1"/>
  <c r="AJ301" i="1"/>
  <c r="AI142" i="1"/>
  <c r="AI392" i="1"/>
  <c r="AI473" i="1"/>
  <c r="AJ392" i="1"/>
  <c r="AI66" i="1"/>
  <c r="AI246" i="1"/>
  <c r="AJ261" i="1"/>
  <c r="X390" i="1"/>
  <c r="X190" i="1"/>
  <c r="X348" i="1"/>
  <c r="W400" i="1"/>
  <c r="W200" i="1"/>
  <c r="W489" i="1"/>
  <c r="X48" i="1"/>
  <c r="X309" i="1"/>
  <c r="X109" i="1"/>
  <c r="W389" i="1"/>
  <c r="W99" i="1"/>
  <c r="X338" i="1"/>
  <c r="W478" i="1"/>
  <c r="W278" i="1"/>
  <c r="W78" i="1"/>
  <c r="X367" i="1"/>
  <c r="X157" i="1"/>
  <c r="X305" i="1"/>
  <c r="X105" i="1"/>
  <c r="W395" i="1"/>
  <c r="W195" i="1"/>
  <c r="X484" i="1"/>
  <c r="X284" i="1"/>
  <c r="W257" i="1"/>
  <c r="W44" i="1"/>
  <c r="W467" i="1"/>
  <c r="X423" i="1"/>
  <c r="W197" i="1"/>
  <c r="W316" i="1"/>
  <c r="W11" i="1"/>
  <c r="W211" i="1"/>
  <c r="W386" i="1"/>
  <c r="X243" i="1"/>
  <c r="W394" i="1"/>
  <c r="X26" i="1"/>
  <c r="X173" i="1"/>
  <c r="W333" i="1"/>
  <c r="X452" i="1"/>
  <c r="W74" i="1"/>
  <c r="W156" i="1"/>
  <c r="W307" i="1"/>
  <c r="W206" i="1"/>
  <c r="W403" i="1"/>
  <c r="CR360" i="1"/>
  <c r="CQ80" i="1"/>
  <c r="CR66" i="1"/>
  <c r="CQ338" i="1"/>
  <c r="CQ386" i="1"/>
  <c r="CQ435" i="1"/>
  <c r="CQ475" i="1"/>
  <c r="CQ444" i="1"/>
  <c r="CR433" i="1"/>
  <c r="CR255" i="1"/>
  <c r="CQ174" i="1"/>
  <c r="DD188" i="1"/>
  <c r="DD449" i="1"/>
  <c r="DC105" i="1"/>
  <c r="DC418" i="1"/>
  <c r="DD285" i="1"/>
  <c r="DC366" i="1"/>
  <c r="DC153" i="1"/>
  <c r="DD271" i="1"/>
  <c r="DD42" i="1"/>
  <c r="DD461" i="1"/>
  <c r="DP40" i="1"/>
  <c r="DO459" i="1"/>
  <c r="DO449" i="1"/>
  <c r="DP337" i="1"/>
  <c r="DP475" i="1"/>
  <c r="DP464" i="1"/>
  <c r="DO284" i="1"/>
  <c r="DP51" i="1"/>
  <c r="DP12" i="1"/>
  <c r="DP133" i="1"/>
  <c r="DP26" i="1"/>
  <c r="DP81" i="1"/>
  <c r="EA400" i="1"/>
  <c r="EB379" i="1"/>
  <c r="EA439" i="1"/>
  <c r="EB398" i="1"/>
  <c r="EA418" i="1"/>
  <c r="EB387" i="1"/>
  <c r="EA216" i="1"/>
  <c r="EB426" i="1"/>
  <c r="EA386" i="1"/>
  <c r="EA45" i="1"/>
  <c r="EB454" i="1"/>
  <c r="EB71" i="1"/>
  <c r="EB42" i="1"/>
  <c r="EA372" i="1"/>
  <c r="EA41" i="1"/>
  <c r="EA453" i="1"/>
  <c r="EA233" i="1"/>
  <c r="CF360" i="1"/>
  <c r="CE420" i="1"/>
  <c r="CE358" i="1"/>
  <c r="CR316" i="1"/>
  <c r="CR429" i="1"/>
  <c r="CQ89" i="1"/>
  <c r="CQ407" i="1"/>
  <c r="CR197" i="1"/>
  <c r="CQ106" i="1"/>
  <c r="CR474" i="1"/>
  <c r="CQ152" i="1"/>
  <c r="CQ93" i="1"/>
  <c r="CQ214" i="1"/>
  <c r="DD230" i="1"/>
  <c r="DC365" i="1"/>
  <c r="DD49" i="1"/>
  <c r="DC119" i="1"/>
  <c r="DC38" i="1"/>
  <c r="DD317" i="1"/>
  <c r="DD422" i="1"/>
  <c r="DC94" i="1"/>
  <c r="DC33" i="1"/>
  <c r="DC25" i="1"/>
  <c r="DD151" i="1"/>
  <c r="DP366" i="1"/>
  <c r="DP499" i="1"/>
  <c r="DP326" i="1"/>
  <c r="DO278" i="1"/>
  <c r="DP125" i="1"/>
  <c r="DO61" i="1"/>
  <c r="DP141" i="1"/>
  <c r="DO223" i="1"/>
  <c r="DO274" i="1"/>
  <c r="DP461" i="1"/>
  <c r="DO254" i="1"/>
  <c r="EB290" i="1"/>
  <c r="EA110" i="1"/>
  <c r="EB119" i="1"/>
  <c r="EA129" i="1"/>
  <c r="EB138" i="1"/>
  <c r="EA198" i="1"/>
  <c r="EB167" i="1"/>
  <c r="EB105" i="1"/>
  <c r="EB196" i="1"/>
  <c r="EB395" i="1"/>
  <c r="EA194" i="1"/>
  <c r="EA452" i="1"/>
  <c r="EA174" i="1"/>
  <c r="EB463" i="1"/>
  <c r="EA162" i="1"/>
  <c r="EB433" i="1"/>
  <c r="EA124" i="1"/>
  <c r="EA224" i="1"/>
  <c r="CF160" i="1"/>
  <c r="CE170" i="1"/>
  <c r="CE198" i="1"/>
  <c r="CF466" i="1"/>
  <c r="CF267" i="1"/>
  <c r="CE127" i="1"/>
  <c r="CF355" i="1"/>
  <c r="CE425" i="1"/>
  <c r="CF424" i="1"/>
  <c r="CF241" i="1"/>
  <c r="CE421" i="1"/>
  <c r="CE84" i="1"/>
  <c r="CE403" i="1"/>
  <c r="CE52" i="1"/>
  <c r="CE359" i="1"/>
  <c r="CE231" i="1"/>
  <c r="CF43" i="1"/>
  <c r="CE11" i="1"/>
  <c r="CF191" i="1"/>
  <c r="CE304" i="1"/>
  <c r="CE336" i="1"/>
  <c r="CF42" i="1"/>
  <c r="CE101" i="1"/>
  <c r="CE326" i="1"/>
  <c r="CE409" i="1"/>
  <c r="BT430" i="1"/>
  <c r="BT110" i="1"/>
  <c r="BT398" i="1"/>
  <c r="BS350" i="1"/>
  <c r="BS50" i="1"/>
  <c r="BT269" i="1"/>
  <c r="BT478" i="1"/>
  <c r="BS39" i="1"/>
  <c r="BT415" i="1"/>
  <c r="BT95" i="1"/>
  <c r="BS285" i="1"/>
  <c r="BT454" i="1"/>
  <c r="BS416" i="1"/>
  <c r="BT227" i="1"/>
  <c r="BS326" i="1"/>
  <c r="BS64" i="1"/>
  <c r="BS364" i="1"/>
  <c r="BT57" i="1"/>
  <c r="BS458" i="1"/>
  <c r="BS203" i="1"/>
  <c r="BT413" i="1"/>
  <c r="BT262" i="1"/>
  <c r="BT147" i="1"/>
  <c r="BS336" i="1"/>
  <c r="BS381" i="1"/>
  <c r="BS73" i="1"/>
  <c r="BS257" i="1"/>
  <c r="BS223" i="1"/>
  <c r="BT222" i="1"/>
  <c r="BS191" i="1"/>
  <c r="BS143" i="1"/>
  <c r="BS138" i="1"/>
  <c r="BH270" i="1"/>
  <c r="BG297" i="1"/>
  <c r="BG36" i="1"/>
  <c r="BH154" i="1"/>
  <c r="BG300" i="1"/>
  <c r="BG477" i="1"/>
  <c r="BG126" i="1"/>
  <c r="BH124" i="1"/>
  <c r="BH279" i="1"/>
  <c r="BG137" i="1"/>
  <c r="BH375" i="1"/>
  <c r="BG404" i="1"/>
  <c r="BG229" i="1"/>
  <c r="BG455" i="1"/>
  <c r="BH228" i="1"/>
  <c r="BG458" i="1"/>
  <c r="BG138" i="1"/>
  <c r="BG466" i="1"/>
  <c r="BG15" i="1"/>
  <c r="BH317" i="1"/>
  <c r="BH17" i="1"/>
  <c r="BG11" i="1"/>
  <c r="BH312" i="1"/>
  <c r="BH91" i="1"/>
  <c r="BH41" i="1"/>
  <c r="BG492" i="1"/>
  <c r="BG91" i="1"/>
  <c r="BH231" i="1"/>
  <c r="BG231" i="1"/>
  <c r="BG164" i="1"/>
  <c r="BG21" i="1"/>
  <c r="AV410" i="1"/>
  <c r="AV110" i="1"/>
  <c r="AU19" i="1"/>
  <c r="AU167" i="1"/>
  <c r="AU210" i="1"/>
  <c r="AV488" i="1"/>
  <c r="AV269" i="1"/>
  <c r="AU249" i="1"/>
  <c r="AU488" i="1"/>
  <c r="AU188" i="1"/>
  <c r="AV357" i="1"/>
  <c r="AV57" i="1"/>
  <c r="AU157" i="1"/>
  <c r="AV215" i="1"/>
  <c r="AU385" i="1"/>
  <c r="AU85" i="1"/>
  <c r="AV494" i="1"/>
  <c r="AU331" i="1"/>
  <c r="AV443" i="1"/>
  <c r="AU496" i="1"/>
  <c r="AV234" i="1"/>
  <c r="AU251" i="1"/>
  <c r="AU164" i="1"/>
  <c r="AU242" i="1"/>
  <c r="AU81" i="1"/>
  <c r="AV433" i="1"/>
  <c r="AU424" i="1"/>
  <c r="AV113" i="1"/>
  <c r="AV311" i="1"/>
  <c r="AU266" i="1"/>
  <c r="AU463" i="1"/>
  <c r="AV261" i="1"/>
  <c r="AU321" i="1"/>
  <c r="AJ480" i="1"/>
  <c r="AJ220" i="1"/>
  <c r="AI428" i="1"/>
  <c r="AJ277" i="1"/>
  <c r="AI360" i="1"/>
  <c r="AI100" i="1"/>
  <c r="AJ429" i="1"/>
  <c r="AJ169" i="1"/>
  <c r="AI258" i="1"/>
  <c r="AI499" i="1"/>
  <c r="AI259" i="1"/>
  <c r="AI458" i="1"/>
  <c r="AJ358" i="1"/>
  <c r="AJ98" i="1"/>
  <c r="AJ435" i="1"/>
  <c r="AJ175" i="1"/>
  <c r="AI425" i="1"/>
  <c r="AI165" i="1"/>
  <c r="AJ414" i="1"/>
  <c r="AI397" i="1"/>
  <c r="AJ311" i="1"/>
  <c r="AI187" i="1"/>
  <c r="AI61" i="1"/>
  <c r="AJ476" i="1"/>
  <c r="AJ16" i="1"/>
  <c r="AJ62" i="1"/>
  <c r="AI442" i="1"/>
  <c r="AI336" i="1"/>
  <c r="AJ46" i="1"/>
  <c r="AI97" i="1"/>
  <c r="AI42" i="1"/>
  <c r="AI474" i="1"/>
  <c r="AJ14" i="1"/>
  <c r="AI431" i="1"/>
  <c r="AJ353" i="1"/>
  <c r="AI213" i="1"/>
  <c r="AI407" i="1"/>
  <c r="AI253" i="1"/>
  <c r="AI432" i="1"/>
  <c r="AI46" i="1"/>
  <c r="AI423" i="1"/>
  <c r="X500" i="1"/>
  <c r="X300" i="1"/>
  <c r="X100" i="1"/>
  <c r="X28" i="1"/>
  <c r="W310" i="1"/>
  <c r="W110" i="1"/>
  <c r="W149" i="1"/>
  <c r="X419" i="1"/>
  <c r="X219" i="1"/>
  <c r="X19" i="1"/>
  <c r="W259" i="1"/>
  <c r="X468" i="1"/>
  <c r="X168" i="1"/>
  <c r="W388" i="1"/>
  <c r="W188" i="1"/>
  <c r="X477" i="1"/>
  <c r="X277" i="1"/>
  <c r="X415" i="1"/>
  <c r="X215" i="1"/>
  <c r="X15" i="1"/>
  <c r="W305" i="1"/>
  <c r="W105" i="1"/>
  <c r="X394" i="1"/>
  <c r="W477" i="1"/>
  <c r="W96" i="1"/>
  <c r="X106" i="1"/>
  <c r="W191" i="1"/>
  <c r="X416" i="1"/>
  <c r="X44" i="1"/>
  <c r="W94" i="1"/>
  <c r="X491" i="1"/>
  <c r="W54" i="1"/>
  <c r="W344" i="1"/>
  <c r="W171" i="1"/>
  <c r="W214" i="1"/>
  <c r="X313" i="1"/>
  <c r="W404" i="1"/>
  <c r="W161" i="1"/>
  <c r="X272" i="1"/>
  <c r="W292" i="1"/>
  <c r="W291" i="1"/>
  <c r="X286" i="1"/>
  <c r="X186" i="1"/>
  <c r="X241" i="1"/>
  <c r="X422" i="1"/>
  <c r="X381" i="1"/>
  <c r="CR266" i="1"/>
  <c r="CR419" i="1"/>
  <c r="CQ79" i="1"/>
  <c r="CQ397" i="1"/>
  <c r="CR137" i="1"/>
  <c r="CR72" i="1"/>
  <c r="CR414" i="1"/>
  <c r="CQ133" i="1"/>
  <c r="CQ451" i="1"/>
  <c r="CR85" i="1"/>
  <c r="DD200" i="1"/>
  <c r="DC325" i="1"/>
  <c r="DD39" i="1"/>
  <c r="DC109" i="1"/>
  <c r="DC28" i="1"/>
  <c r="DD307" i="1"/>
  <c r="DD394" i="1"/>
  <c r="DC72" i="1"/>
  <c r="DC404" i="1"/>
  <c r="DD373" i="1"/>
  <c r="DC351" i="1"/>
  <c r="DP346" i="1"/>
  <c r="DP489" i="1"/>
  <c r="DP296" i="1"/>
  <c r="DO268" i="1"/>
  <c r="DP115" i="1"/>
  <c r="DO41" i="1"/>
  <c r="DO472" i="1"/>
  <c r="DP101" i="1"/>
  <c r="DP22" i="1"/>
  <c r="DP433" i="1"/>
  <c r="DO232" i="1"/>
  <c r="EB280" i="1"/>
  <c r="EA100" i="1"/>
  <c r="EB109" i="1"/>
  <c r="EA99" i="1"/>
  <c r="EB128" i="1"/>
  <c r="EA188" i="1"/>
  <c r="EB137" i="1"/>
  <c r="EB85" i="1"/>
  <c r="EB186" i="1"/>
  <c r="EB365" i="1"/>
  <c r="EA172" i="1"/>
  <c r="EA371" i="1"/>
  <c r="EA334" i="1"/>
  <c r="EB441" i="1"/>
  <c r="EA461" i="1"/>
  <c r="EA411" i="1"/>
  <c r="EA24" i="1"/>
  <c r="EA74" i="1"/>
  <c r="CF150" i="1"/>
  <c r="CE160" i="1"/>
  <c r="CE178" i="1"/>
  <c r="CF456" i="1"/>
  <c r="CF257" i="1"/>
  <c r="CE107" i="1"/>
  <c r="CF345" i="1"/>
  <c r="CE415" i="1"/>
  <c r="CF414" i="1"/>
  <c r="CF222" i="1"/>
  <c r="CE402" i="1"/>
  <c r="CE69" i="1"/>
  <c r="CE384" i="1"/>
  <c r="CE19" i="1"/>
  <c r="CE341" i="1"/>
  <c r="CE179" i="1"/>
  <c r="CF28" i="1"/>
  <c r="CE492" i="1"/>
  <c r="CF154" i="1"/>
  <c r="CF262" i="1"/>
  <c r="CE299" i="1"/>
  <c r="CF442" i="1"/>
  <c r="CE64" i="1"/>
  <c r="CE289" i="1"/>
  <c r="CE362" i="1"/>
  <c r="BT420" i="1"/>
  <c r="BT100" i="1"/>
  <c r="BT378" i="1"/>
  <c r="BS340" i="1"/>
  <c r="BS40" i="1"/>
  <c r="BT259" i="1"/>
  <c r="BT308" i="1"/>
  <c r="BS19" i="1"/>
  <c r="BT405" i="1"/>
  <c r="BT85" i="1"/>
  <c r="BS275" i="1"/>
  <c r="BT444" i="1"/>
  <c r="BS398" i="1"/>
  <c r="BT164" i="1"/>
  <c r="BS276" i="1"/>
  <c r="BS484" i="1"/>
  <c r="BT347" i="1"/>
  <c r="BT12" i="1"/>
  <c r="BT392" i="1"/>
  <c r="BT156" i="1"/>
  <c r="BS397" i="1"/>
  <c r="BS228" i="1"/>
  <c r="BT86" i="1"/>
  <c r="BS286" i="1"/>
  <c r="BS363" i="1"/>
  <c r="BT443" i="1"/>
  <c r="BT241" i="1"/>
  <c r="BT206" i="1"/>
  <c r="BS206" i="1"/>
  <c r="BS174" i="1"/>
  <c r="BS82" i="1"/>
  <c r="BS77" i="1"/>
  <c r="BH260" i="1"/>
  <c r="BG257" i="1"/>
  <c r="BH475" i="1"/>
  <c r="BH104" i="1"/>
  <c r="BG290" i="1"/>
  <c r="BG417" i="1"/>
  <c r="BG96" i="1"/>
  <c r="BH74" i="1"/>
  <c r="BH269" i="1"/>
  <c r="BG77" i="1"/>
  <c r="BH335" i="1"/>
  <c r="BG344" i="1"/>
  <c r="BG219" i="1"/>
  <c r="BG45" i="1"/>
  <c r="BH218" i="1"/>
  <c r="BG448" i="1"/>
  <c r="BG128" i="1"/>
  <c r="BG306" i="1"/>
  <c r="BH464" i="1"/>
  <c r="BH307" i="1"/>
  <c r="BG497" i="1"/>
  <c r="BG363" i="1"/>
  <c r="BG162" i="1"/>
  <c r="BG451" i="1"/>
  <c r="BH401" i="1"/>
  <c r="BG461" i="1"/>
  <c r="BH61" i="1"/>
  <c r="BG202" i="1"/>
  <c r="BH201" i="1"/>
  <c r="BG141" i="1"/>
  <c r="BG411" i="1"/>
  <c r="AV400" i="1"/>
  <c r="AV100" i="1"/>
  <c r="AV498" i="1"/>
  <c r="AU147" i="1"/>
  <c r="AU200" i="1"/>
  <c r="AV358" i="1"/>
  <c r="AV259" i="1"/>
  <c r="AU199" i="1"/>
  <c r="AU478" i="1"/>
  <c r="AU178" i="1"/>
  <c r="AV347" i="1"/>
  <c r="AV47" i="1"/>
  <c r="AU137" i="1"/>
  <c r="AV205" i="1"/>
  <c r="AU375" i="1"/>
  <c r="AU75" i="1"/>
  <c r="AV434" i="1"/>
  <c r="AU291" i="1"/>
  <c r="AV303" i="1"/>
  <c r="AU476" i="1"/>
  <c r="AV174" i="1"/>
  <c r="AU211" i="1"/>
  <c r="AU144" i="1"/>
  <c r="AU162" i="1"/>
  <c r="AU62" i="1"/>
  <c r="AV413" i="1"/>
  <c r="AV363" i="1"/>
  <c r="AV94" i="1"/>
  <c r="AV291" i="1"/>
  <c r="AU206" i="1"/>
  <c r="AU363" i="1"/>
  <c r="AV241" i="1"/>
  <c r="AV301" i="1"/>
  <c r="AJ470" i="1"/>
  <c r="AJ210" i="1"/>
  <c r="AI418" i="1"/>
  <c r="AJ257" i="1"/>
  <c r="AI350" i="1"/>
  <c r="AI90" i="1"/>
  <c r="AJ419" i="1"/>
  <c r="AJ159" i="1"/>
  <c r="AI228" i="1"/>
  <c r="AI489" i="1"/>
  <c r="AI249" i="1"/>
  <c r="AI348" i="1"/>
  <c r="AJ348" i="1"/>
  <c r="AJ88" i="1"/>
  <c r="AJ425" i="1"/>
  <c r="AJ165" i="1"/>
  <c r="AI415" i="1"/>
  <c r="AI155" i="1"/>
  <c r="AJ404" i="1"/>
  <c r="AI377" i="1"/>
  <c r="AJ271" i="1"/>
  <c r="AJ133" i="1"/>
  <c r="AJ462" i="1"/>
  <c r="AJ456" i="1"/>
  <c r="AJ471" i="1"/>
  <c r="AI444" i="1"/>
  <c r="AI382" i="1"/>
  <c r="AI316" i="1"/>
  <c r="AI491" i="1"/>
  <c r="AJ43" i="1"/>
  <c r="AJ482" i="1"/>
  <c r="AI454" i="1"/>
  <c r="AI333" i="1"/>
  <c r="AI136" i="1"/>
  <c r="AJ333" i="1"/>
  <c r="AI104" i="1"/>
  <c r="AJ386" i="1"/>
  <c r="AI233" i="1"/>
  <c r="AI372" i="1"/>
  <c r="AI427" i="1"/>
  <c r="AJ422" i="1"/>
  <c r="X490" i="1"/>
  <c r="X290" i="1"/>
  <c r="X90" i="1"/>
  <c r="W500" i="1"/>
  <c r="W300" i="1"/>
  <c r="W100" i="1"/>
  <c r="W119" i="1"/>
  <c r="X409" i="1"/>
  <c r="X209" i="1"/>
  <c r="X9" i="1"/>
  <c r="W239" i="1"/>
  <c r="X458" i="1"/>
  <c r="X148" i="1"/>
  <c r="W378" i="1"/>
  <c r="W178" i="1"/>
  <c r="X467" i="1"/>
  <c r="X267" i="1"/>
  <c r="X405" i="1"/>
  <c r="X205" i="1"/>
  <c r="W495" i="1"/>
  <c r="W295" i="1"/>
  <c r="W95" i="1"/>
  <c r="X384" i="1"/>
  <c r="W457" i="1"/>
  <c r="W81" i="1"/>
  <c r="X41" i="1"/>
  <c r="X103" i="1"/>
  <c r="X396" i="1"/>
  <c r="X27" i="1"/>
  <c r="W62" i="1"/>
  <c r="X411" i="1"/>
  <c r="X486" i="1"/>
  <c r="W304" i="1"/>
  <c r="X52" i="1"/>
  <c r="W196" i="1"/>
  <c r="X293" i="1"/>
  <c r="X34" i="1"/>
  <c r="X142" i="1"/>
  <c r="X252" i="1"/>
  <c r="W232" i="1"/>
  <c r="W251" i="1"/>
  <c r="X246" i="1"/>
  <c r="X152" i="1"/>
  <c r="CR350" i="1"/>
  <c r="CQ446" i="1"/>
  <c r="CR438" i="1"/>
  <c r="CQ336" i="1"/>
  <c r="CR272" i="1"/>
  <c r="CR95" i="1"/>
  <c r="CR413" i="1"/>
  <c r="CQ86" i="1"/>
  <c r="DD80" i="1"/>
  <c r="DD439" i="1"/>
  <c r="DC219" i="1"/>
  <c r="DC317" i="1"/>
  <c r="DC326" i="1"/>
  <c r="DC144" i="1"/>
  <c r="DC181" i="1"/>
  <c r="DD361" i="1"/>
  <c r="DO207" i="1"/>
  <c r="DP319" i="1"/>
  <c r="DP317" i="1"/>
  <c r="DP205" i="1"/>
  <c r="DO293" i="1"/>
  <c r="DO124" i="1"/>
  <c r="DO376" i="1"/>
  <c r="DO71" i="1"/>
  <c r="DP41" i="1"/>
  <c r="EA210" i="1"/>
  <c r="EB49" i="1"/>
  <c r="EB388" i="1"/>
  <c r="EA218" i="1"/>
  <c r="EB27" i="1"/>
  <c r="EB396" i="1"/>
  <c r="EA96" i="1"/>
  <c r="EB221" i="1"/>
  <c r="EB464" i="1"/>
  <c r="EA393" i="1"/>
  <c r="EA223" i="1"/>
  <c r="EA254" i="1"/>
  <c r="EB153" i="1"/>
  <c r="CF60" i="1"/>
  <c r="CE348" i="1"/>
  <c r="CE137" i="1"/>
  <c r="CF237" i="1"/>
  <c r="CF276" i="1"/>
  <c r="CF75" i="1"/>
  <c r="CE25" i="1"/>
  <c r="CE122" i="1"/>
  <c r="CF102" i="1"/>
  <c r="CF18" i="1"/>
  <c r="CF19" i="1"/>
  <c r="CF268" i="1"/>
  <c r="CE484" i="1"/>
  <c r="CE229" i="1"/>
  <c r="CE82" i="1"/>
  <c r="CF109" i="1"/>
  <c r="CF199" i="1"/>
  <c r="CF64" i="1"/>
  <c r="CE462" i="1"/>
  <c r="CF281" i="1"/>
  <c r="BT320" i="1"/>
  <c r="BS129" i="1"/>
  <c r="BS420" i="1"/>
  <c r="BS69" i="1"/>
  <c r="BT159" i="1"/>
  <c r="BS309" i="1"/>
  <c r="BT465" i="1"/>
  <c r="BT65" i="1"/>
  <c r="BS175" i="1"/>
  <c r="BT264" i="1"/>
  <c r="BT73" i="1"/>
  <c r="BT407" i="1"/>
  <c r="BS367" i="1"/>
  <c r="BS31" i="1"/>
  <c r="BT226" i="1"/>
  <c r="BT17" i="1"/>
  <c r="BT231" i="1"/>
  <c r="BS227" i="1"/>
  <c r="BS321" i="1"/>
  <c r="BT296" i="1"/>
  <c r="BS436" i="1"/>
  <c r="BT406" i="1"/>
  <c r="BT272" i="1"/>
  <c r="BS113" i="1"/>
  <c r="BS126" i="1"/>
  <c r="BH400" i="1"/>
  <c r="BH20" i="1"/>
  <c r="BH305" i="1"/>
  <c r="BG490" i="1"/>
  <c r="BG90" i="1"/>
  <c r="BG266" i="1"/>
  <c r="BG494" i="1"/>
  <c r="BH169" i="1"/>
  <c r="BG326" i="1"/>
  <c r="BH214" i="1"/>
  <c r="BG159" i="1"/>
  <c r="BH418" i="1"/>
  <c r="BH18" i="1"/>
  <c r="BG208" i="1"/>
  <c r="BG196" i="1"/>
  <c r="BG454" i="1"/>
  <c r="BH127" i="1"/>
  <c r="BG152" i="1"/>
  <c r="BH43" i="1"/>
  <c r="BH411" i="1"/>
  <c r="BH42" i="1"/>
  <c r="BG232" i="1"/>
  <c r="BG143" i="1"/>
  <c r="BH253" i="1"/>
  <c r="BH192" i="1"/>
  <c r="AV480" i="1"/>
  <c r="AV60" i="1"/>
  <c r="AV368" i="1"/>
  <c r="AU320" i="1"/>
  <c r="AU119" i="1"/>
  <c r="AV219" i="1"/>
  <c r="AU337" i="1"/>
  <c r="AU318" i="1"/>
  <c r="AV427" i="1"/>
  <c r="AU497" i="1"/>
  <c r="AV405" i="1"/>
  <c r="AU495" i="1"/>
  <c r="AU115" i="1"/>
  <c r="AV334" i="1"/>
  <c r="AV126" i="1"/>
  <c r="AV162" i="1"/>
  <c r="AV474" i="1"/>
  <c r="AV166" i="1"/>
  <c r="AU14" i="1"/>
  <c r="AU334" i="1"/>
  <c r="AV493" i="1"/>
  <c r="AV422" i="1"/>
  <c r="AV332" i="1"/>
  <c r="AV366" i="1"/>
  <c r="AV263" i="1"/>
  <c r="AU31" i="1"/>
  <c r="AU361" i="1"/>
  <c r="AJ310" i="1"/>
  <c r="AJ10" i="1"/>
  <c r="AJ197" i="1"/>
  <c r="AI270" i="1"/>
  <c r="AI78" i="1"/>
  <c r="AJ219" i="1"/>
  <c r="AI98" i="1"/>
  <c r="AI409" i="1"/>
  <c r="AI89" i="1"/>
  <c r="AJ388" i="1"/>
  <c r="AJ68" i="1"/>
  <c r="AJ345" i="1"/>
  <c r="AJ25" i="1"/>
  <c r="AI215" i="1"/>
  <c r="AJ364" i="1"/>
  <c r="AI217" i="1"/>
  <c r="AJ366" i="1"/>
  <c r="AI223" i="1"/>
  <c r="AJ416" i="1"/>
  <c r="AJ11" i="1"/>
  <c r="AJ76" i="1"/>
  <c r="AI436" i="1"/>
  <c r="AI83" i="1"/>
  <c r="AJ463" i="1"/>
  <c r="AI74" i="1"/>
  <c r="AJ71" i="1"/>
  <c r="AJ406" i="1"/>
  <c r="AJ213" i="1"/>
  <c r="AI193" i="1"/>
  <c r="AI313" i="1"/>
  <c r="AI312" i="1"/>
  <c r="AJ426" i="1"/>
  <c r="AI93" i="1"/>
  <c r="X330" i="1"/>
  <c r="X70" i="1"/>
  <c r="W440" i="1"/>
  <c r="W180" i="1"/>
  <c r="W249" i="1"/>
  <c r="X389" i="1"/>
  <c r="X149" i="1"/>
  <c r="W359" i="1"/>
  <c r="W19" i="1"/>
  <c r="X108" i="1"/>
  <c r="W318" i="1"/>
  <c r="W58" i="1"/>
  <c r="X307" i="1"/>
  <c r="X385" i="1"/>
  <c r="X145" i="1"/>
  <c r="W375" i="1"/>
  <c r="W135" i="1"/>
  <c r="X364" i="1"/>
  <c r="W337" i="1"/>
  <c r="X353" i="1"/>
  <c r="W87" i="1"/>
  <c r="X356" i="1"/>
  <c r="W396" i="1"/>
  <c r="W352" i="1"/>
  <c r="W427" i="1"/>
  <c r="W384" i="1"/>
  <c r="W186" i="1"/>
  <c r="X93" i="1"/>
  <c r="X431" i="1"/>
  <c r="W273" i="1"/>
  <c r="X332" i="1"/>
  <c r="X156" i="1"/>
  <c r="X72" i="1"/>
  <c r="W326" i="1"/>
  <c r="W323" i="1"/>
  <c r="X282" i="1"/>
  <c r="X33" i="1"/>
  <c r="W421" i="1"/>
  <c r="W184" i="1"/>
  <c r="X63" i="1"/>
  <c r="X13" i="1"/>
  <c r="L390" i="1"/>
  <c r="L190" i="1"/>
  <c r="L479" i="1"/>
  <c r="L79" i="1"/>
  <c r="K306" i="1"/>
  <c r="K415" i="1"/>
  <c r="K430" i="1"/>
  <c r="K230" i="1"/>
  <c r="K30" i="1"/>
  <c r="L149" i="1"/>
  <c r="L76" i="1"/>
  <c r="L225" i="1"/>
  <c r="K225" i="1"/>
  <c r="K309" i="1"/>
  <c r="K109" i="1"/>
  <c r="L46" i="1"/>
  <c r="L368" i="1"/>
  <c r="L168" i="1"/>
  <c r="K247" i="1"/>
  <c r="K428" i="1"/>
  <c r="K228" i="1"/>
  <c r="K28" i="1"/>
  <c r="K297" i="1"/>
  <c r="L56" i="1"/>
  <c r="L75" i="1"/>
  <c r="L467" i="1"/>
  <c r="L257" i="1"/>
  <c r="K307" i="1"/>
  <c r="K396" i="1"/>
  <c r="L35" i="1"/>
  <c r="K332" i="1"/>
  <c r="L121" i="1"/>
  <c r="K472" i="1"/>
  <c r="L131" i="1"/>
  <c r="K263" i="1"/>
  <c r="L463" i="1"/>
  <c r="K294" i="1"/>
  <c r="K212" i="1"/>
  <c r="L224" i="1"/>
  <c r="K492" i="1"/>
  <c r="K373" i="1"/>
  <c r="L223" i="1"/>
  <c r="K491" i="1"/>
  <c r="K461" i="1"/>
  <c r="K422" i="1"/>
  <c r="L471" i="1"/>
  <c r="K43" i="1"/>
  <c r="L14" i="1"/>
  <c r="L391" i="1"/>
  <c r="CR279" i="1"/>
  <c r="CQ478" i="1"/>
  <c r="CR497" i="1"/>
  <c r="CR71" i="1"/>
  <c r="CR54" i="1"/>
  <c r="CQ261" i="1"/>
  <c r="CR481" i="1"/>
  <c r="DC250" i="1"/>
  <c r="DD289" i="1"/>
  <c r="DD366" i="1"/>
  <c r="DC246" i="1"/>
  <c r="DC434" i="1"/>
  <c r="DC343" i="1"/>
  <c r="DO450" i="1"/>
  <c r="DP189" i="1"/>
  <c r="DO465" i="1"/>
  <c r="DO463" i="1"/>
  <c r="DP412" i="1"/>
  <c r="EB500" i="1"/>
  <c r="EB445" i="1"/>
  <c r="EA88" i="1"/>
  <c r="EB376" i="1"/>
  <c r="EB413" i="1"/>
  <c r="EA324" i="1"/>
  <c r="EB31" i="1"/>
  <c r="CE328" i="1"/>
  <c r="CF167" i="1"/>
  <c r="CF474" i="1"/>
  <c r="CF52" i="1"/>
  <c r="CE119" i="1"/>
  <c r="CF411" i="1"/>
  <c r="CF228" i="1"/>
  <c r="CF451" i="1"/>
  <c r="CF371" i="1"/>
  <c r="BT300" i="1"/>
  <c r="BS360" i="1"/>
  <c r="BT119" i="1"/>
  <c r="BT445" i="1"/>
  <c r="BS155" i="1"/>
  <c r="BT307" i="1"/>
  <c r="BS74" i="1"/>
  <c r="BT267" i="1"/>
  <c r="BS411" i="1"/>
  <c r="BS263" i="1"/>
  <c r="BS373" i="1"/>
  <c r="BT82" i="1"/>
  <c r="BH340" i="1"/>
  <c r="BH145" i="1"/>
  <c r="BG70" i="1"/>
  <c r="BG374" i="1"/>
  <c r="BG166" i="1"/>
  <c r="BH378" i="1"/>
  <c r="BG188" i="1"/>
  <c r="BG254" i="1"/>
  <c r="BG34" i="1"/>
  <c r="BH272" i="1"/>
  <c r="BH291" i="1"/>
  <c r="BG74" i="1"/>
  <c r="AV40" i="1"/>
  <c r="AU300" i="1"/>
  <c r="AV199" i="1"/>
  <c r="AU258" i="1"/>
  <c r="AU457" i="1"/>
  <c r="AU475" i="1"/>
  <c r="AV254" i="1"/>
  <c r="AU322" i="1"/>
  <c r="AU54" i="1"/>
  <c r="AU254" i="1"/>
  <c r="AU493" i="1"/>
  <c r="AV146" i="1"/>
  <c r="AV201" i="1"/>
  <c r="AJ290" i="1"/>
  <c r="AJ147" i="1"/>
  <c r="AJ479" i="1"/>
  <c r="AI28" i="1"/>
  <c r="AI69" i="1"/>
  <c r="AJ48" i="1"/>
  <c r="AI475" i="1"/>
  <c r="AJ344" i="1"/>
  <c r="AJ246" i="1"/>
  <c r="AJ376" i="1"/>
  <c r="AJ302" i="1"/>
  <c r="AI367" i="1"/>
  <c r="AI381" i="1"/>
  <c r="AI404" i="1"/>
  <c r="AJ411" i="1"/>
  <c r="AI252" i="1"/>
  <c r="AI421" i="1"/>
  <c r="X310" i="1"/>
  <c r="W420" i="1"/>
  <c r="W179" i="1"/>
  <c r="X129" i="1"/>
  <c r="X498" i="1"/>
  <c r="W298" i="1"/>
  <c r="X287" i="1"/>
  <c r="X125" i="1"/>
  <c r="W115" i="1"/>
  <c r="W297" i="1"/>
  <c r="X446" i="1"/>
  <c r="W356" i="1"/>
  <c r="X172" i="1"/>
  <c r="W494" i="1"/>
  <c r="W451" i="1"/>
  <c r="X292" i="1"/>
  <c r="W407" i="1"/>
  <c r="W167" i="1"/>
  <c r="X382" i="1"/>
  <c r="X51" i="1"/>
  <c r="W343" i="1"/>
  <c r="L170" i="1"/>
  <c r="L439" i="1"/>
  <c r="K236" i="1"/>
  <c r="K410" i="1"/>
  <c r="K10" i="1"/>
  <c r="K476" i="1"/>
  <c r="K489" i="1"/>
  <c r="K89" i="1"/>
  <c r="L348" i="1"/>
  <c r="K107" i="1"/>
  <c r="K208" i="1"/>
  <c r="K237" i="1"/>
  <c r="K465" i="1"/>
  <c r="L217" i="1"/>
  <c r="K326" i="1"/>
  <c r="K282" i="1"/>
  <c r="K33" i="1"/>
  <c r="K113" i="1"/>
  <c r="K144" i="1"/>
  <c r="L174" i="1"/>
  <c r="K64" i="1"/>
  <c r="K432" i="1"/>
  <c r="L113" i="1"/>
  <c r="K482" i="1"/>
  <c r="CR170" i="1"/>
  <c r="CR407" i="1"/>
  <c r="CQ185" i="1"/>
  <c r="DC170" i="1"/>
  <c r="DD498" i="1"/>
  <c r="DD35" i="1"/>
  <c r="DC243" i="1"/>
  <c r="DO400" i="1"/>
  <c r="DO488" i="1"/>
  <c r="DO253" i="1"/>
  <c r="EB400" i="1"/>
  <c r="EA499" i="1"/>
  <c r="EA78" i="1"/>
  <c r="EB336" i="1"/>
  <c r="EA292" i="1"/>
  <c r="EA301" i="1"/>
  <c r="EA312" i="1"/>
  <c r="CE460" i="1"/>
  <c r="CF406" i="1"/>
  <c r="CF26" i="1"/>
  <c r="CF404" i="1"/>
  <c r="CF382" i="1"/>
  <c r="CE432" i="1"/>
  <c r="CE283" i="1"/>
  <c r="CF114" i="1"/>
  <c r="CF491" i="1"/>
  <c r="CF98" i="1"/>
  <c r="BT230" i="1"/>
  <c r="BS330" i="1"/>
  <c r="BT89" i="1"/>
  <c r="BT375" i="1"/>
  <c r="BS85" i="1"/>
  <c r="BT26" i="1"/>
  <c r="BT77" i="1"/>
  <c r="BS496" i="1"/>
  <c r="BT63" i="1"/>
  <c r="BS361" i="1"/>
  <c r="BS213" i="1"/>
  <c r="BT356" i="1"/>
  <c r="BS36" i="1"/>
  <c r="BH330" i="1"/>
  <c r="BH105" i="1"/>
  <c r="BG40" i="1"/>
  <c r="BH479" i="1"/>
  <c r="BG146" i="1"/>
  <c r="BH348" i="1"/>
  <c r="BG98" i="1"/>
  <c r="BH437" i="1"/>
  <c r="BG204" i="1"/>
  <c r="BG442" i="1"/>
  <c r="BH113" i="1"/>
  <c r="BG253" i="1"/>
  <c r="AV390" i="1"/>
  <c r="AV208" i="1"/>
  <c r="AV88" i="1"/>
  <c r="AU129" i="1"/>
  <c r="AV337" i="1"/>
  <c r="AV335" i="1"/>
  <c r="AU25" i="1"/>
  <c r="AV484" i="1"/>
  <c r="AV134" i="1"/>
  <c r="AU234" i="1"/>
  <c r="AU433" i="1"/>
  <c r="AU92" i="1"/>
  <c r="AU201" i="1"/>
  <c r="AJ280" i="1"/>
  <c r="AJ37" i="1"/>
  <c r="AJ469" i="1"/>
  <c r="AJ487" i="1"/>
  <c r="AI59" i="1"/>
  <c r="AJ18" i="1"/>
  <c r="AI465" i="1"/>
  <c r="AJ334" i="1"/>
  <c r="AI172" i="1"/>
  <c r="AJ316" i="1"/>
  <c r="AJ262" i="1"/>
  <c r="AI287" i="1"/>
  <c r="AI167" i="1"/>
  <c r="AJ492" i="1"/>
  <c r="AI123" i="1"/>
  <c r="AI194" i="1"/>
  <c r="AI116" i="1"/>
  <c r="X280" i="1"/>
  <c r="W390" i="1"/>
  <c r="W79" i="1"/>
  <c r="X99" i="1"/>
  <c r="X448" i="1"/>
  <c r="W268" i="1"/>
  <c r="X257" i="1"/>
  <c r="X95" i="1"/>
  <c r="W85" i="1"/>
  <c r="W237" i="1"/>
  <c r="X21" i="1"/>
  <c r="W296" i="1"/>
  <c r="W104" i="1"/>
  <c r="W474" i="1"/>
  <c r="X137" i="1"/>
  <c r="X232" i="1"/>
  <c r="W387" i="1"/>
  <c r="X101" i="1"/>
  <c r="W83" i="1"/>
  <c r="W183" i="1"/>
  <c r="X262" i="1"/>
  <c r="L160" i="1"/>
  <c r="L19" i="1"/>
  <c r="K315" i="1"/>
  <c r="K200" i="1"/>
  <c r="L89" i="1"/>
  <c r="L105" i="1"/>
  <c r="K279" i="1"/>
  <c r="L445" i="1"/>
  <c r="L138" i="1"/>
  <c r="K398" i="1"/>
  <c r="L167" i="1"/>
  <c r="K376" i="1"/>
  <c r="L437" i="1"/>
  <c r="K227" i="1"/>
  <c r="K365" i="1"/>
  <c r="K42" i="1"/>
  <c r="L53" i="1"/>
  <c r="CR280" i="1"/>
  <c r="CR499" i="1"/>
  <c r="CQ456" i="1"/>
  <c r="CQ316" i="1"/>
  <c r="CR253" i="1"/>
  <c r="CQ36" i="1"/>
  <c r="CR393" i="1"/>
  <c r="CQ464" i="1"/>
  <c r="DC270" i="1"/>
  <c r="DD299" i="1"/>
  <c r="DC149" i="1"/>
  <c r="DD396" i="1"/>
  <c r="DC286" i="1"/>
  <c r="DC122" i="1"/>
  <c r="DC371" i="1"/>
  <c r="DD233" i="1"/>
  <c r="DO177" i="1"/>
  <c r="DP199" i="1"/>
  <c r="DP297" i="1"/>
  <c r="DP135" i="1"/>
  <c r="DO13" i="1"/>
  <c r="DO44" i="1"/>
  <c r="DO474" i="1"/>
  <c r="DO383" i="1"/>
  <c r="DP161" i="1"/>
  <c r="EA200" i="1"/>
  <c r="EA36" i="1"/>
  <c r="EB378" i="1"/>
  <c r="EA208" i="1"/>
  <c r="EA367" i="1"/>
  <c r="EB386" i="1"/>
  <c r="EB485" i="1"/>
  <c r="EB442" i="1"/>
  <c r="EA193" i="1"/>
  <c r="EA51" i="1"/>
  <c r="EA382" i="1"/>
  <c r="EB131" i="1"/>
  <c r="EB81" i="1"/>
  <c r="CE480" i="1"/>
  <c r="CE338" i="1"/>
  <c r="CF496" i="1"/>
  <c r="CF177" i="1"/>
  <c r="CF256" i="1"/>
  <c r="CE495" i="1"/>
  <c r="CF484" i="1"/>
  <c r="CE104" i="1"/>
  <c r="CF84" i="1"/>
  <c r="CF492" i="1"/>
  <c r="CE184" i="1"/>
  <c r="CF212" i="1"/>
  <c r="CF429" i="1"/>
  <c r="CE143" i="1"/>
  <c r="CE271" i="1"/>
  <c r="CE481" i="1"/>
  <c r="CE91" i="1"/>
  <c r="CF31" i="1"/>
  <c r="CE414" i="1"/>
  <c r="CF242" i="1"/>
  <c r="BT310" i="1"/>
  <c r="BS49" i="1"/>
  <c r="BS370" i="1"/>
  <c r="BT468" i="1"/>
  <c r="BT129" i="1"/>
  <c r="BS269" i="1"/>
  <c r="BT455" i="1"/>
  <c r="BT55" i="1"/>
  <c r="BS165" i="1"/>
  <c r="BT234" i="1"/>
  <c r="BS362" i="1"/>
  <c r="BT357" i="1"/>
  <c r="BS317" i="1"/>
  <c r="BS14" i="1"/>
  <c r="BS56" i="1"/>
  <c r="BS302" i="1"/>
  <c r="BT213" i="1"/>
  <c r="BT476" i="1"/>
  <c r="BT126" i="1"/>
  <c r="BS281" i="1"/>
  <c r="BT94" i="1"/>
  <c r="BS391" i="1"/>
  <c r="BS256" i="1"/>
  <c r="BS97" i="1"/>
  <c r="BS334" i="1"/>
  <c r="BH350" i="1"/>
  <c r="BG397" i="1"/>
  <c r="BH175" i="1"/>
  <c r="BG480" i="1"/>
  <c r="BG80" i="1"/>
  <c r="BG226" i="1"/>
  <c r="BG424" i="1"/>
  <c r="BH159" i="1"/>
  <c r="BG206" i="1"/>
  <c r="BH14" i="1"/>
  <c r="BG149" i="1"/>
  <c r="BH388" i="1"/>
  <c r="BG147" i="1"/>
  <c r="BG198" i="1"/>
  <c r="BG156" i="1"/>
  <c r="BG324" i="1"/>
  <c r="BH97" i="1"/>
  <c r="BH63" i="1"/>
  <c r="BG472" i="1"/>
  <c r="BH373" i="1"/>
  <c r="BH402" i="1"/>
  <c r="BH143" i="1"/>
  <c r="BG483" i="1"/>
  <c r="BH171" i="1"/>
  <c r="BH162" i="1"/>
  <c r="AV450" i="1"/>
  <c r="AV50" i="1"/>
  <c r="AV338" i="1"/>
  <c r="AU310" i="1"/>
  <c r="AU79" i="1"/>
  <c r="AV209" i="1"/>
  <c r="AU429" i="1"/>
  <c r="AU268" i="1"/>
  <c r="AV377" i="1"/>
  <c r="AU467" i="1"/>
  <c r="AV395" i="1"/>
  <c r="AU485" i="1"/>
  <c r="AU105" i="1"/>
  <c r="AV294" i="1"/>
  <c r="AU73" i="1"/>
  <c r="AU442" i="1"/>
  <c r="AV314" i="1"/>
  <c r="AU111" i="1"/>
  <c r="AU283" i="1"/>
  <c r="AU274" i="1"/>
  <c r="AV473" i="1"/>
  <c r="AU422" i="1"/>
  <c r="AV292" i="1"/>
  <c r="AV206" i="1"/>
  <c r="AV123" i="1"/>
  <c r="AU221" i="1"/>
  <c r="AU341" i="1"/>
  <c r="AJ300" i="1"/>
  <c r="AI468" i="1"/>
  <c r="AJ177" i="1"/>
  <c r="AI260" i="1"/>
  <c r="AJ489" i="1"/>
  <c r="AJ189" i="1"/>
  <c r="AI68" i="1"/>
  <c r="AI399" i="1"/>
  <c r="AI79" i="1"/>
  <c r="AJ378" i="1"/>
  <c r="AJ58" i="1"/>
  <c r="AJ335" i="1"/>
  <c r="AI485" i="1"/>
  <c r="AI185" i="1"/>
  <c r="AJ354" i="1"/>
  <c r="AI201" i="1"/>
  <c r="AJ306" i="1"/>
  <c r="AJ166" i="1"/>
  <c r="AJ396" i="1"/>
  <c r="AI467" i="1"/>
  <c r="AJ362" i="1"/>
  <c r="AI376" i="1"/>
  <c r="AI447" i="1"/>
  <c r="AJ343" i="1"/>
  <c r="AI441" i="1"/>
  <c r="AJ52" i="1"/>
  <c r="AI386" i="1"/>
  <c r="AJ194" i="1"/>
  <c r="AI103" i="1"/>
  <c r="AI293" i="1"/>
  <c r="AI272" i="1"/>
  <c r="AJ206" i="1"/>
  <c r="AJ21" i="1"/>
  <c r="X320" i="1"/>
  <c r="X60" i="1"/>
  <c r="W430" i="1"/>
  <c r="W170" i="1"/>
  <c r="W219" i="1"/>
  <c r="X379" i="1"/>
  <c r="X139" i="1"/>
  <c r="W349" i="1"/>
  <c r="W9" i="1"/>
  <c r="X88" i="1"/>
  <c r="W308" i="1"/>
  <c r="W48" i="1"/>
  <c r="X297" i="1"/>
  <c r="X375" i="1"/>
  <c r="X135" i="1"/>
  <c r="W365" i="1"/>
  <c r="W125" i="1"/>
  <c r="X354" i="1"/>
  <c r="W317" i="1"/>
  <c r="X176" i="1"/>
  <c r="W37" i="1"/>
  <c r="X336" i="1"/>
  <c r="W376" i="1"/>
  <c r="W312" i="1"/>
  <c r="W247" i="1"/>
  <c r="W264" i="1"/>
  <c r="W117" i="1"/>
  <c r="X76" i="1"/>
  <c r="W56" i="1"/>
  <c r="W253" i="1"/>
  <c r="X312" i="1"/>
  <c r="X123" i="1"/>
  <c r="W487" i="1"/>
  <c r="W286" i="1"/>
  <c r="W243" i="1"/>
  <c r="W442" i="1"/>
  <c r="W303" i="1"/>
  <c r="W482" i="1"/>
  <c r="W342" i="1"/>
  <c r="W116" i="1"/>
  <c r="W281" i="1"/>
  <c r="L380" i="1"/>
  <c r="L180" i="1"/>
  <c r="L459" i="1"/>
  <c r="L59" i="1"/>
  <c r="K276" i="1"/>
  <c r="K375" i="1"/>
  <c r="K420" i="1"/>
  <c r="K220" i="1"/>
  <c r="K20" i="1"/>
  <c r="L129" i="1"/>
  <c r="L26" i="1"/>
  <c r="L185" i="1"/>
  <c r="K499" i="1"/>
  <c r="K299" i="1"/>
  <c r="K99" i="1"/>
  <c r="K446" i="1"/>
  <c r="L358" i="1"/>
  <c r="L158" i="1"/>
  <c r="K187" i="1"/>
  <c r="K418" i="1"/>
  <c r="K218" i="1"/>
  <c r="K18" i="1"/>
  <c r="K267" i="1"/>
  <c r="K466" i="1"/>
  <c r="L25" i="1"/>
  <c r="L457" i="1"/>
  <c r="L227" i="1"/>
  <c r="K277" i="1"/>
  <c r="K356" i="1"/>
  <c r="K495" i="1"/>
  <c r="K304" i="1"/>
  <c r="L43" i="1"/>
  <c r="K233" i="1"/>
  <c r="L103" i="1"/>
  <c r="K191" i="1"/>
  <c r="K434" i="1"/>
  <c r="K222" i="1"/>
  <c r="K34" i="1"/>
  <c r="L202" i="1"/>
  <c r="L462" i="1"/>
  <c r="L343" i="1"/>
  <c r="L201" i="1"/>
  <c r="L461" i="1"/>
  <c r="L322" i="1"/>
  <c r="L241" i="1"/>
  <c r="L254" i="1"/>
  <c r="K21" i="1"/>
  <c r="L481" i="1"/>
  <c r="K334" i="1"/>
  <c r="CR270" i="1"/>
  <c r="DC9" i="1"/>
  <c r="DD133" i="1"/>
  <c r="DP237" i="1"/>
  <c r="DO481" i="1"/>
  <c r="DO361" i="1"/>
  <c r="EA30" i="1"/>
  <c r="EB368" i="1"/>
  <c r="EA337" i="1"/>
  <c r="EB95" i="1"/>
  <c r="EA171" i="1"/>
  <c r="EB352" i="1"/>
  <c r="EB303" i="1"/>
  <c r="CE470" i="1"/>
  <c r="CF476" i="1"/>
  <c r="CF236" i="1"/>
  <c r="CE485" i="1"/>
  <c r="CE89" i="1"/>
  <c r="CE453" i="1"/>
  <c r="CF194" i="1"/>
  <c r="CE126" i="1"/>
  <c r="CE389" i="1"/>
  <c r="CE471" i="1"/>
  <c r="CE164" i="1"/>
  <c r="BS29" i="1"/>
  <c r="BT499" i="1"/>
  <c r="BS249" i="1"/>
  <c r="BT45" i="1"/>
  <c r="BT224" i="1"/>
  <c r="BS294" i="1"/>
  <c r="BS267" i="1"/>
  <c r="BS11" i="1"/>
  <c r="BT197" i="1"/>
  <c r="BT64" i="1"/>
  <c r="BT417" i="1"/>
  <c r="BS238" i="1"/>
  <c r="BS252" i="1"/>
  <c r="BG357" i="1"/>
  <c r="BG470" i="1"/>
  <c r="BG186" i="1"/>
  <c r="BH149" i="1"/>
  <c r="BG474" i="1"/>
  <c r="BG139" i="1"/>
  <c r="BH446" i="1"/>
  <c r="BG116" i="1"/>
  <c r="BH87" i="1"/>
  <c r="BG243" i="1"/>
  <c r="BH281" i="1"/>
  <c r="BG114" i="1"/>
  <c r="BH112" i="1"/>
  <c r="AV440" i="1"/>
  <c r="AV318" i="1"/>
  <c r="AU39" i="1"/>
  <c r="AU389" i="1"/>
  <c r="AV367" i="1"/>
  <c r="AV385" i="1"/>
  <c r="AU95" i="1"/>
  <c r="AU466" i="1"/>
  <c r="AV274" i="1"/>
  <c r="AU223" i="1"/>
  <c r="AV453" i="1"/>
  <c r="AV232" i="1"/>
  <c r="AU52" i="1"/>
  <c r="AU121" i="1"/>
  <c r="AI448" i="1"/>
  <c r="AI250" i="1"/>
  <c r="AJ179" i="1"/>
  <c r="AI389" i="1"/>
  <c r="AJ368" i="1"/>
  <c r="AJ325" i="1"/>
  <c r="AI175" i="1"/>
  <c r="AI182" i="1"/>
  <c r="AJ113" i="1"/>
  <c r="AI347" i="1"/>
  <c r="AI356" i="1"/>
  <c r="AJ303" i="1"/>
  <c r="AJ33" i="1"/>
  <c r="AJ176" i="1"/>
  <c r="AI273" i="1"/>
  <c r="AI101" i="1"/>
  <c r="X50" i="1"/>
  <c r="W160" i="1"/>
  <c r="X369" i="1"/>
  <c r="W329" i="1"/>
  <c r="X68" i="1"/>
  <c r="W38" i="1"/>
  <c r="X365" i="1"/>
  <c r="W355" i="1"/>
  <c r="X344" i="1"/>
  <c r="W93" i="1"/>
  <c r="X316" i="1"/>
  <c r="W252" i="1"/>
  <c r="X204" i="1"/>
  <c r="X61" i="1"/>
  <c r="W233" i="1"/>
  <c r="X73" i="1"/>
  <c r="W226" i="1"/>
  <c r="W14" i="1"/>
  <c r="W402" i="1"/>
  <c r="W114" i="1"/>
  <c r="L370" i="1"/>
  <c r="L39" i="1"/>
  <c r="K335" i="1"/>
  <c r="K210" i="1"/>
  <c r="L109" i="1"/>
  <c r="L145" i="1"/>
  <c r="K289" i="1"/>
  <c r="K116" i="1"/>
  <c r="L148" i="1"/>
  <c r="K408" i="1"/>
  <c r="L267" i="1"/>
  <c r="K416" i="1"/>
  <c r="L447" i="1"/>
  <c r="K257" i="1"/>
  <c r="K405" i="1"/>
  <c r="K342" i="1"/>
  <c r="L81" i="1"/>
  <c r="K411" i="1"/>
  <c r="K362" i="1"/>
  <c r="K433" i="1"/>
  <c r="L173" i="1"/>
  <c r="L294" i="1"/>
  <c r="L104" i="1"/>
  <c r="K452" i="1"/>
  <c r="K184" i="1"/>
  <c r="CR209" i="1"/>
  <c r="CQ468" i="1"/>
  <c r="CQ484" i="1"/>
  <c r="CQ431" i="1"/>
  <c r="CQ283" i="1"/>
  <c r="DD279" i="1"/>
  <c r="DD326" i="1"/>
  <c r="DC433" i="1"/>
  <c r="DD61" i="1"/>
  <c r="DP179" i="1"/>
  <c r="DO455" i="1"/>
  <c r="DP132" i="1"/>
  <c r="DO212" i="1"/>
  <c r="DO283" i="1"/>
  <c r="EA20" i="1"/>
  <c r="EB318" i="1"/>
  <c r="EA297" i="1"/>
  <c r="EB75" i="1"/>
  <c r="EA143" i="1"/>
  <c r="EA323" i="1"/>
  <c r="EB122" i="1"/>
  <c r="CE318" i="1"/>
  <c r="CF137" i="1"/>
  <c r="CE465" i="1"/>
  <c r="CF138" i="1"/>
  <c r="CE434" i="1"/>
  <c r="CF144" i="1"/>
  <c r="CE111" i="1"/>
  <c r="CF342" i="1"/>
  <c r="CF333" i="1"/>
  <c r="CE452" i="1"/>
  <c r="BS9" i="1"/>
  <c r="BT489" i="1"/>
  <c r="BS229" i="1"/>
  <c r="BS485" i="1"/>
  <c r="BT482" i="1"/>
  <c r="BT257" i="1"/>
  <c r="BS258" i="1"/>
  <c r="BT91" i="1"/>
  <c r="BS236" i="1"/>
  <c r="BS457" i="1"/>
  <c r="BS128" i="1"/>
  <c r="BT433" i="1"/>
  <c r="BG217" i="1"/>
  <c r="BG420" i="1"/>
  <c r="BH365" i="1"/>
  <c r="BH59" i="1"/>
  <c r="BG294" i="1"/>
  <c r="BG129" i="1"/>
  <c r="BG346" i="1"/>
  <c r="BH405" i="1"/>
  <c r="BH57" i="1"/>
  <c r="BH131" i="1"/>
  <c r="BH153" i="1"/>
  <c r="BH451" i="1"/>
  <c r="BG473" i="1"/>
  <c r="AV10" i="1"/>
  <c r="AU290" i="1"/>
  <c r="AV169" i="1"/>
  <c r="AU248" i="1"/>
  <c r="AU447" i="1"/>
  <c r="AU445" i="1"/>
  <c r="AV81" i="1"/>
  <c r="AU262" i="1"/>
  <c r="AU446" i="1"/>
  <c r="AV32" i="1"/>
  <c r="AV353" i="1"/>
  <c r="AU452" i="1"/>
  <c r="AU303" i="1"/>
  <c r="AV11" i="1"/>
  <c r="AI338" i="1"/>
  <c r="AI200" i="1"/>
  <c r="AJ149" i="1"/>
  <c r="AI359" i="1"/>
  <c r="AJ318" i="1"/>
  <c r="AJ275" i="1"/>
  <c r="AI145" i="1"/>
  <c r="AI126" i="1"/>
  <c r="AI203" i="1"/>
  <c r="AJ486" i="1"/>
  <c r="AI296" i="1"/>
  <c r="AI301" i="1"/>
  <c r="AJ403" i="1"/>
  <c r="AJ154" i="1"/>
  <c r="AI212" i="1"/>
  <c r="AI281" i="1"/>
  <c r="X40" i="1"/>
  <c r="W150" i="1"/>
  <c r="X359" i="1"/>
  <c r="W319" i="1"/>
  <c r="X58" i="1"/>
  <c r="W28" i="1"/>
  <c r="X355" i="1"/>
  <c r="W345" i="1"/>
  <c r="X334" i="1"/>
  <c r="W26" i="1"/>
  <c r="X296" i="1"/>
  <c r="W193" i="1"/>
  <c r="X134" i="1"/>
  <c r="X43" i="1"/>
  <c r="W213" i="1"/>
  <c r="X451" i="1"/>
  <c r="W136" i="1"/>
  <c r="X361" i="1"/>
  <c r="W322" i="1"/>
  <c r="X113" i="1"/>
  <c r="L360" i="1"/>
  <c r="L419" i="1"/>
  <c r="K196" i="1"/>
  <c r="K400" i="1"/>
  <c r="L489" i="1"/>
  <c r="K406" i="1"/>
  <c r="K479" i="1"/>
  <c r="K79" i="1"/>
  <c r="L338" i="1"/>
  <c r="K47" i="1"/>
  <c r="K198" i="1"/>
  <c r="K207" i="1"/>
  <c r="K445" i="1"/>
  <c r="L207" i="1"/>
  <c r="K296" i="1"/>
  <c r="K254" i="1"/>
  <c r="K361" i="1"/>
  <c r="CQ360" i="1"/>
  <c r="CQ486" i="1"/>
  <c r="CQ18" i="1"/>
  <c r="CR47" i="1"/>
  <c r="CQ395" i="1"/>
  <c r="CR242" i="1"/>
  <c r="CQ156" i="1"/>
  <c r="CQ45" i="1"/>
  <c r="DD335" i="1"/>
  <c r="DD306" i="1"/>
  <c r="DC408" i="1"/>
  <c r="DD427" i="1"/>
  <c r="DD484" i="1"/>
  <c r="DD243" i="1"/>
  <c r="DD374" i="1"/>
  <c r="DP410" i="1"/>
  <c r="DO299" i="1"/>
  <c r="DO197" i="1"/>
  <c r="DO138" i="1"/>
  <c r="DP454" i="1"/>
  <c r="DO102" i="1"/>
  <c r="DO136" i="1"/>
  <c r="DP53" i="1"/>
  <c r="DO354" i="1"/>
  <c r="EB130" i="1"/>
  <c r="EB369" i="1"/>
  <c r="EA239" i="1"/>
  <c r="EB88" i="1"/>
  <c r="EB377" i="1"/>
  <c r="EB185" i="1"/>
  <c r="EB86" i="1"/>
  <c r="EA25" i="1"/>
  <c r="EB103" i="1"/>
  <c r="EB473" i="1"/>
  <c r="EA283" i="1"/>
  <c r="EA484" i="1"/>
  <c r="EB222" i="1"/>
  <c r="CF350" i="1"/>
  <c r="CE240" i="1"/>
  <c r="CE118" i="1"/>
  <c r="CF136" i="1"/>
  <c r="CE347" i="1"/>
  <c r="CF395" i="1"/>
  <c r="CE295" i="1"/>
  <c r="CF274" i="1"/>
  <c r="CF239" i="1"/>
  <c r="CE102" i="1"/>
  <c r="CE241" i="1"/>
  <c r="CF303" i="1"/>
  <c r="CF321" i="1"/>
  <c r="CF93" i="1"/>
  <c r="CF233" i="1"/>
  <c r="CE114" i="1"/>
  <c r="CF261" i="1"/>
  <c r="CE443" i="1"/>
  <c r="CE291" i="1"/>
  <c r="CE206" i="1"/>
  <c r="BT500" i="1"/>
  <c r="BT120" i="1"/>
  <c r="BT188" i="1"/>
  <c r="BS220" i="1"/>
  <c r="BT359" i="1"/>
  <c r="BS89" i="1"/>
  <c r="BT388" i="1"/>
  <c r="BT285" i="1"/>
  <c r="BS355" i="1"/>
  <c r="BT464" i="1"/>
  <c r="BS266" i="1"/>
  <c r="BT11" i="1"/>
  <c r="BS112" i="1"/>
  <c r="BS414" i="1"/>
  <c r="BS344" i="1"/>
  <c r="BS324" i="1"/>
  <c r="BT316" i="1"/>
  <c r="BT312" i="1"/>
  <c r="BT116" i="1"/>
  <c r="BT333" i="1"/>
  <c r="BS428" i="1"/>
  <c r="BT273" i="1"/>
  <c r="BS114" i="1"/>
  <c r="BS22" i="1"/>
  <c r="BS237" i="1"/>
  <c r="BS16" i="1"/>
  <c r="BH200" i="1"/>
  <c r="BH226" i="1"/>
  <c r="BG75" i="1"/>
  <c r="BG310" i="1"/>
  <c r="BG167" i="1"/>
  <c r="BG425" i="1"/>
  <c r="BH349" i="1"/>
  <c r="BG187" i="1"/>
  <c r="BG495" i="1"/>
  <c r="BG399" i="1"/>
  <c r="BG158" i="1"/>
  <c r="BH238" i="1"/>
  <c r="BG408" i="1"/>
  <c r="BG367" i="1"/>
  <c r="BG365" i="1"/>
  <c r="BH327" i="1"/>
  <c r="BH254" i="1"/>
  <c r="BH121" i="1"/>
  <c r="BH152" i="1"/>
  <c r="BG183" i="1"/>
  <c r="BH331" i="1"/>
  <c r="BH352" i="1"/>
  <c r="BH452" i="1"/>
  <c r="BH193" i="1"/>
  <c r="BH471" i="1"/>
  <c r="AV280" i="1"/>
  <c r="AU229" i="1"/>
  <c r="AU187" i="1"/>
  <c r="AU140" i="1"/>
  <c r="AV459" i="1"/>
  <c r="AV19" i="1"/>
  <c r="AV28" i="1"/>
  <c r="AU118" i="1"/>
  <c r="AV227" i="1"/>
  <c r="AU277" i="1"/>
  <c r="AV225" i="1"/>
  <c r="AU315" i="1"/>
  <c r="AV356" i="1"/>
  <c r="AV471" i="1"/>
  <c r="AV14" i="1"/>
  <c r="AU316" i="1"/>
  <c r="AV22" i="1"/>
  <c r="AV106" i="1"/>
  <c r="AU302" i="1"/>
  <c r="AV153" i="1"/>
  <c r="AV193" i="1"/>
  <c r="AU213" i="1"/>
  <c r="AV371" i="1"/>
  <c r="AV324" i="1"/>
  <c r="AV122" i="1"/>
  <c r="AU241" i="1"/>
  <c r="AJ490" i="1"/>
  <c r="AJ170" i="1"/>
  <c r="AI108" i="1"/>
  <c r="AI410" i="1"/>
  <c r="AI110" i="1"/>
  <c r="AJ359" i="1"/>
  <c r="AJ59" i="1"/>
  <c r="AJ187" i="1"/>
  <c r="AI269" i="1"/>
  <c r="AI38" i="1"/>
  <c r="AJ248" i="1"/>
  <c r="AJ485" i="1"/>
  <c r="AJ185" i="1"/>
  <c r="AI355" i="1"/>
  <c r="AI55" i="1"/>
  <c r="AJ224" i="1"/>
  <c r="AJ351" i="1"/>
  <c r="AI244" i="1"/>
  <c r="AJ56" i="1"/>
  <c r="AI107" i="1"/>
  <c r="AJ152" i="1"/>
  <c r="AJ461" i="1"/>
  <c r="AI124" i="1"/>
  <c r="AI26" i="1"/>
  <c r="AJ94" i="1"/>
  <c r="AI374" i="1"/>
  <c r="AJ66" i="1"/>
  <c r="AJ453" i="1"/>
  <c r="AI373" i="1"/>
  <c r="AI383" i="1"/>
  <c r="AJ472" i="1"/>
  <c r="AJ251" i="1"/>
  <c r="AI77" i="1"/>
  <c r="X450" i="1"/>
  <c r="X210" i="1"/>
  <c r="X208" i="1"/>
  <c r="W320" i="1"/>
  <c r="W60" i="1"/>
  <c r="X138" i="1"/>
  <c r="X269" i="1"/>
  <c r="X29" i="1"/>
  <c r="W189" i="1"/>
  <c r="X378" i="1"/>
  <c r="W438" i="1"/>
  <c r="W198" i="1"/>
  <c r="X427" i="1"/>
  <c r="X187" i="1"/>
  <c r="X265" i="1"/>
  <c r="X25" i="1"/>
  <c r="W255" i="1"/>
  <c r="W15" i="1"/>
  <c r="X244" i="1"/>
  <c r="W113" i="1"/>
  <c r="W141" i="1"/>
  <c r="W244" i="1"/>
  <c r="X127" i="1"/>
  <c r="W127" i="1"/>
  <c r="X192" i="1"/>
  <c r="X136" i="1"/>
  <c r="W152" i="1"/>
  <c r="W314" i="1"/>
  <c r="X373" i="1"/>
  <c r="W493" i="1"/>
  <c r="X57" i="1"/>
  <c r="W107" i="1"/>
  <c r="W73" i="1"/>
  <c r="W22" i="1"/>
  <c r="W224" i="1"/>
  <c r="X151" i="1"/>
  <c r="W341" i="1"/>
  <c r="X442" i="1"/>
  <c r="W302" i="1"/>
  <c r="W241" i="1"/>
  <c r="W17" i="1"/>
  <c r="L490" i="1"/>
  <c r="L290" i="1"/>
  <c r="L90" i="1"/>
  <c r="L279" i="1"/>
  <c r="L296" i="1"/>
  <c r="L385" i="1"/>
  <c r="L474" i="1"/>
  <c r="K330" i="1"/>
  <c r="K130" i="1"/>
  <c r="L349" i="1"/>
  <c r="L476" i="1"/>
  <c r="K96" i="1"/>
  <c r="K255" i="1"/>
  <c r="K409" i="1"/>
  <c r="K209" i="1"/>
  <c r="K9" i="1"/>
  <c r="L468" i="1"/>
  <c r="L268" i="1"/>
  <c r="L68" i="1"/>
  <c r="L85" i="1"/>
  <c r="K328" i="1"/>
  <c r="K128" i="1"/>
  <c r="K497" i="1"/>
  <c r="L436" i="1"/>
  <c r="K36" i="1"/>
  <c r="K145" i="1"/>
  <c r="L367" i="1"/>
  <c r="L97" i="1"/>
  <c r="L446" i="1"/>
  <c r="L495" i="1"/>
  <c r="K55" i="1"/>
  <c r="K82" i="1"/>
  <c r="K363" i="1"/>
  <c r="K383" i="1"/>
  <c r="K44" i="1"/>
  <c r="L211" i="1"/>
  <c r="K203" i="1"/>
  <c r="L63" i="1"/>
  <c r="L492" i="1"/>
  <c r="K72" i="1"/>
  <c r="K224" i="1"/>
  <c r="L491" i="1"/>
  <c r="K344" i="1"/>
  <c r="K223" i="1"/>
  <c r="L44" i="1"/>
  <c r="K284" i="1"/>
  <c r="K293" i="1"/>
  <c r="L264" i="1"/>
  <c r="K142" i="1"/>
  <c r="K384" i="1"/>
  <c r="CS7" i="1"/>
  <c r="CQ379" i="1"/>
  <c r="CQ247" i="1"/>
  <c r="CR281" i="1"/>
  <c r="CQ393" i="1"/>
  <c r="DC75" i="1"/>
  <c r="DC388" i="1"/>
  <c r="DD433" i="1"/>
  <c r="DD242" i="1"/>
  <c r="DP240" i="1"/>
  <c r="DP378" i="1"/>
  <c r="DP477" i="1"/>
  <c r="DO222" i="1"/>
  <c r="DO324" i="1"/>
  <c r="EB70" i="1"/>
  <c r="EB309" i="1"/>
  <c r="EB475" i="1"/>
  <c r="EA225" i="1"/>
  <c r="EB334" i="1"/>
  <c r="EB52" i="1"/>
  <c r="EB44" i="1"/>
  <c r="EB351" i="1"/>
  <c r="CE110" i="1"/>
  <c r="CF447" i="1"/>
  <c r="CF305" i="1"/>
  <c r="CF214" i="1"/>
  <c r="CE401" i="1"/>
  <c r="CE131" i="1"/>
  <c r="CF483" i="1"/>
  <c r="CE306" i="1"/>
  <c r="CE426" i="1"/>
  <c r="CE461" i="1"/>
  <c r="BT80" i="1"/>
  <c r="BS160" i="1"/>
  <c r="BS489" i="1"/>
  <c r="BT205" i="1"/>
  <c r="BT424" i="1"/>
  <c r="BS343" i="1"/>
  <c r="BS282" i="1"/>
  <c r="BS403" i="1"/>
  <c r="BS43" i="1"/>
  <c r="BS108" i="1"/>
  <c r="BT176" i="1"/>
  <c r="BS372" i="1"/>
  <c r="BS32" i="1"/>
  <c r="BG456" i="1"/>
  <c r="BG230" i="1"/>
  <c r="BG145" i="1"/>
  <c r="BH496" i="1"/>
  <c r="BG339" i="1"/>
  <c r="BH158" i="1"/>
  <c r="BH486" i="1"/>
  <c r="BH287" i="1"/>
  <c r="BG62" i="1"/>
  <c r="BH492" i="1"/>
  <c r="BG161" i="1"/>
  <c r="BH481" i="1"/>
  <c r="AV240" i="1"/>
  <c r="AU480" i="1"/>
  <c r="AV379" i="1"/>
  <c r="AU458" i="1"/>
  <c r="AV167" i="1"/>
  <c r="AV145" i="1"/>
  <c r="AV236" i="1"/>
  <c r="AV163" i="1"/>
  <c r="AV74" i="1"/>
  <c r="AV404" i="1"/>
  <c r="AV212" i="1"/>
  <c r="AV211" i="1"/>
  <c r="AU342" i="1"/>
  <c r="AJ430" i="1"/>
  <c r="AJ427" i="1"/>
  <c r="AI70" i="1"/>
  <c r="AJ19" i="1"/>
  <c r="AI209" i="1"/>
  <c r="AJ188" i="1"/>
  <c r="AJ145" i="1"/>
  <c r="AI15" i="1"/>
  <c r="AI471" i="1"/>
  <c r="AJ72" i="1"/>
  <c r="AJ281" i="1"/>
  <c r="AI366" i="1"/>
  <c r="AI294" i="1"/>
  <c r="AJ413" i="1"/>
  <c r="AI302" i="1"/>
  <c r="AI411" i="1"/>
  <c r="X430" i="1"/>
  <c r="X158" i="1"/>
  <c r="W40" i="1"/>
  <c r="X249" i="1"/>
  <c r="W159" i="1"/>
  <c r="W418" i="1"/>
  <c r="X407" i="1"/>
  <c r="X245" i="1"/>
  <c r="W235" i="1"/>
  <c r="X224" i="1"/>
  <c r="W431" i="1"/>
  <c r="X94" i="1"/>
  <c r="W41" i="1"/>
  <c r="X406" i="1"/>
  <c r="X273" i="1"/>
  <c r="X24" i="1"/>
  <c r="W491" i="1"/>
  <c r="X67" i="1"/>
  <c r="X402" i="1"/>
  <c r="X221" i="1"/>
  <c r="X81" i="1"/>
  <c r="L270" i="1"/>
  <c r="L239" i="1"/>
  <c r="L305" i="1"/>
  <c r="K310" i="1"/>
  <c r="L309" i="1"/>
  <c r="K16" i="1"/>
  <c r="K389" i="1"/>
  <c r="L77" i="1"/>
  <c r="L248" i="1"/>
  <c r="K35" i="1"/>
  <c r="K108" i="1"/>
  <c r="L376" i="1"/>
  <c r="K45" i="1"/>
  <c r="L37" i="1"/>
  <c r="L355" i="1"/>
  <c r="K32" i="1"/>
  <c r="L331" i="1"/>
  <c r="L384" i="1"/>
  <c r="K241" i="1"/>
  <c r="L341" i="1"/>
  <c r="L432" i="1"/>
  <c r="K173" i="1"/>
  <c r="K12" i="1"/>
  <c r="L214" i="1"/>
  <c r="L82" i="1"/>
  <c r="CQ180" i="1"/>
  <c r="CR34" i="1"/>
  <c r="CQ75" i="1"/>
  <c r="DC500" i="1"/>
  <c r="DC268" i="1"/>
  <c r="DD332" i="1"/>
  <c r="DD64" i="1"/>
  <c r="DO19" i="1"/>
  <c r="DP247" i="1"/>
  <c r="DP196" i="1"/>
  <c r="DP323" i="1"/>
  <c r="EA470" i="1"/>
  <c r="EA59" i="1"/>
  <c r="EB317" i="1"/>
  <c r="EA446" i="1"/>
  <c r="EB422" i="1"/>
  <c r="EA441" i="1"/>
  <c r="EA263" i="1"/>
  <c r="CE100" i="1"/>
  <c r="CF417" i="1"/>
  <c r="CF275" i="1"/>
  <c r="CF422" i="1"/>
  <c r="CF103" i="1"/>
  <c r="CE266" i="1"/>
  <c r="CE49" i="1"/>
  <c r="CE472" i="1"/>
  <c r="CE24" i="1"/>
  <c r="BT470" i="1"/>
  <c r="BT108" i="1"/>
  <c r="BT289" i="1"/>
  <c r="BT248" i="1"/>
  <c r="BS305" i="1"/>
  <c r="BS216" i="1"/>
  <c r="BT302" i="1"/>
  <c r="BT461" i="1"/>
  <c r="BS447" i="1"/>
  <c r="BS342" i="1"/>
  <c r="BS444" i="1"/>
  <c r="BS37" i="1"/>
  <c r="BT173" i="1"/>
  <c r="BH150" i="1"/>
  <c r="BH234" i="1"/>
  <c r="BH306" i="1"/>
  <c r="BH319" i="1"/>
  <c r="BG295" i="1"/>
  <c r="BG26" i="1"/>
  <c r="BG338" i="1"/>
  <c r="BG125" i="1"/>
  <c r="BG464" i="1"/>
  <c r="BH393" i="1"/>
  <c r="BH372" i="1"/>
  <c r="BG292" i="1"/>
  <c r="BH303" i="1"/>
  <c r="AU59" i="1"/>
  <c r="AU90" i="1"/>
  <c r="AU359" i="1"/>
  <c r="AU68" i="1"/>
  <c r="AU197" i="1"/>
  <c r="AU245" i="1"/>
  <c r="AV151" i="1"/>
  <c r="AU256" i="1"/>
  <c r="AU244" i="1"/>
  <c r="AV411" i="1"/>
  <c r="AU153" i="1"/>
  <c r="AV124" i="1"/>
  <c r="AV161" i="1"/>
  <c r="AJ120" i="1"/>
  <c r="AI380" i="1"/>
  <c r="AJ329" i="1"/>
  <c r="AJ57" i="1"/>
  <c r="AJ498" i="1"/>
  <c r="AJ455" i="1"/>
  <c r="AI325" i="1"/>
  <c r="AI437" i="1"/>
  <c r="AJ363" i="1"/>
  <c r="AJ53" i="1"/>
  <c r="AI202" i="1"/>
  <c r="AI206" i="1"/>
  <c r="AI274" i="1"/>
  <c r="AJ393" i="1"/>
  <c r="AJ381" i="1"/>
  <c r="AI251" i="1"/>
  <c r="X420" i="1"/>
  <c r="X128" i="1"/>
  <c r="W30" i="1"/>
  <c r="X239" i="1"/>
  <c r="W139" i="1"/>
  <c r="W408" i="1"/>
  <c r="X397" i="1"/>
  <c r="X235" i="1"/>
  <c r="W225" i="1"/>
  <c r="X214" i="1"/>
  <c r="W192" i="1"/>
  <c r="X77" i="1"/>
  <c r="W471" i="1"/>
  <c r="X53" i="1"/>
  <c r="X233" i="1"/>
  <c r="X492" i="1"/>
  <c r="W391" i="1"/>
  <c r="X463" i="1"/>
  <c r="X322" i="1"/>
  <c r="X203" i="1"/>
  <c r="W283" i="1"/>
  <c r="L460" i="1"/>
  <c r="L60" i="1"/>
  <c r="L136" i="1"/>
  <c r="K500" i="1"/>
  <c r="K100" i="1"/>
  <c r="L356" i="1"/>
  <c r="K135" i="1"/>
  <c r="K179" i="1"/>
  <c r="L438" i="1"/>
  <c r="L38" i="1"/>
  <c r="K298" i="1"/>
  <c r="K437" i="1"/>
  <c r="L365" i="1"/>
  <c r="L337" i="1"/>
  <c r="L226" i="1"/>
  <c r="L374" i="1"/>
  <c r="K473" i="1"/>
  <c r="L171" i="1"/>
  <c r="CQ310" i="1"/>
  <c r="CQ389" i="1"/>
  <c r="CR147" i="1"/>
  <c r="CR435" i="1"/>
  <c r="CQ335" i="1"/>
  <c r="CR185" i="1"/>
  <c r="CQ413" i="1"/>
  <c r="CR154" i="1"/>
  <c r="DD295" i="1"/>
  <c r="DC66" i="1"/>
  <c r="DC398" i="1"/>
  <c r="DD417" i="1"/>
  <c r="DC284" i="1"/>
  <c r="DD22" i="1"/>
  <c r="DD252" i="1"/>
  <c r="DP250" i="1"/>
  <c r="DO129" i="1"/>
  <c r="DO167" i="1"/>
  <c r="DP497" i="1"/>
  <c r="DP384" i="1"/>
  <c r="DO42" i="1"/>
  <c r="DP174" i="1"/>
  <c r="DP302" i="1"/>
  <c r="DO282" i="1"/>
  <c r="EB80" i="1"/>
  <c r="EB319" i="1"/>
  <c r="EA229" i="1"/>
  <c r="EA27" i="1"/>
  <c r="EB337" i="1"/>
  <c r="EB145" i="1"/>
  <c r="EB56" i="1"/>
  <c r="EB354" i="1"/>
  <c r="EB53" i="1"/>
  <c r="EB383" i="1"/>
  <c r="EA304" i="1"/>
  <c r="EA462" i="1"/>
  <c r="EA381" i="1"/>
  <c r="CF320" i="1"/>
  <c r="CE230" i="1"/>
  <c r="CE48" i="1"/>
  <c r="CF457" i="1"/>
  <c r="CE287" i="1"/>
  <c r="CF315" i="1"/>
  <c r="CE255" i="1"/>
  <c r="CF224" i="1"/>
  <c r="CE203" i="1"/>
  <c r="CE419" i="1"/>
  <c r="CF188" i="1"/>
  <c r="CE146" i="1"/>
  <c r="CF302" i="1"/>
  <c r="CF11" i="1"/>
  <c r="CE123" i="1"/>
  <c r="CF343" i="1"/>
  <c r="CF218" i="1"/>
  <c r="CF428" i="1"/>
  <c r="CF173" i="1"/>
  <c r="CF22" i="1"/>
  <c r="BT490" i="1"/>
  <c r="BT90" i="1"/>
  <c r="BT158" i="1"/>
  <c r="BS170" i="1"/>
  <c r="BT329" i="1"/>
  <c r="BS499" i="1"/>
  <c r="BT288" i="1"/>
  <c r="BT215" i="1"/>
  <c r="BS345" i="1"/>
  <c r="BT434" i="1"/>
  <c r="BS248" i="1"/>
  <c r="BT376" i="1"/>
  <c r="BS51" i="1"/>
  <c r="BT297" i="1"/>
  <c r="BT103" i="1"/>
  <c r="BT486" i="1"/>
  <c r="BT481" i="1"/>
  <c r="BS104" i="1"/>
  <c r="BS41" i="1"/>
  <c r="BT171" i="1"/>
  <c r="BS378" i="1"/>
  <c r="BT192" i="1"/>
  <c r="BT67" i="1"/>
  <c r="BT387" i="1"/>
  <c r="BT221" i="1"/>
  <c r="BT62" i="1"/>
  <c r="BH170" i="1"/>
  <c r="BG496" i="1"/>
  <c r="BG35" i="1"/>
  <c r="BG240" i="1"/>
  <c r="BG17" i="1"/>
  <c r="BG185" i="1"/>
  <c r="BH339" i="1"/>
  <c r="BG37" i="1"/>
  <c r="BG415" i="1"/>
  <c r="BG349" i="1"/>
  <c r="BG97" i="1"/>
  <c r="BH168" i="1"/>
  <c r="BG358" i="1"/>
  <c r="BG47" i="1"/>
  <c r="BG315" i="1"/>
  <c r="BH297" i="1"/>
  <c r="BH494" i="1"/>
  <c r="BH293" i="1"/>
  <c r="BG41" i="1"/>
  <c r="BG64" i="1"/>
  <c r="BH32" i="1"/>
  <c r="BH243" i="1"/>
  <c r="BG354" i="1"/>
  <c r="BH52" i="1"/>
  <c r="BG342" i="1"/>
  <c r="AV250" i="1"/>
  <c r="AU209" i="1"/>
  <c r="AU490" i="1"/>
  <c r="AU110" i="1"/>
  <c r="AV389" i="1"/>
  <c r="AV9" i="1"/>
  <c r="AU468" i="1"/>
  <c r="AU88" i="1"/>
  <c r="AV177" i="1"/>
  <c r="AU267" i="1"/>
  <c r="AV155" i="1"/>
  <c r="AU285" i="1"/>
  <c r="AV256" i="1"/>
  <c r="AV331" i="1"/>
  <c r="AV243" i="1"/>
  <c r="AU296" i="1"/>
  <c r="AU152" i="1"/>
  <c r="AU444" i="1"/>
  <c r="AU406" i="1"/>
  <c r="AU432" i="1"/>
  <c r="AV432" i="1"/>
  <c r="AU193" i="1"/>
  <c r="AV251" i="1"/>
  <c r="AV264" i="1"/>
  <c r="AU462" i="1"/>
  <c r="AV421" i="1"/>
  <c r="AJ440" i="1"/>
  <c r="AJ140" i="1"/>
  <c r="AJ457" i="1"/>
  <c r="AI400" i="1"/>
  <c r="AI80" i="1"/>
  <c r="AJ349" i="1"/>
  <c r="AJ29" i="1"/>
  <c r="AJ167" i="1"/>
  <c r="AI219" i="1"/>
  <c r="AJ157" i="1"/>
  <c r="AJ198" i="1"/>
  <c r="AJ475" i="1"/>
  <c r="AJ155" i="1"/>
  <c r="AI345" i="1"/>
  <c r="AI25" i="1"/>
  <c r="AJ214" i="1"/>
  <c r="AI31" i="1"/>
  <c r="AI62" i="1"/>
  <c r="AI183" i="1"/>
  <c r="AJ91" i="1"/>
  <c r="AI364" i="1"/>
  <c r="AJ361" i="1"/>
  <c r="AI72" i="1"/>
  <c r="AI446" i="1"/>
  <c r="AI166" i="1"/>
  <c r="AI314" i="1"/>
  <c r="AI412" i="1"/>
  <c r="AJ433" i="1"/>
  <c r="AJ13" i="1"/>
  <c r="AJ382" i="1"/>
  <c r="AJ352" i="1"/>
  <c r="AJ64" i="1"/>
  <c r="AJ242" i="1"/>
  <c r="X440" i="1"/>
  <c r="X180" i="1"/>
  <c r="X188" i="1"/>
  <c r="W290" i="1"/>
  <c r="W50" i="1"/>
  <c r="X499" i="1"/>
  <c r="X259" i="1"/>
  <c r="W499" i="1"/>
  <c r="W169" i="1"/>
  <c r="X328" i="1"/>
  <c r="W428" i="1"/>
  <c r="W168" i="1"/>
  <c r="X417" i="1"/>
  <c r="X495" i="1"/>
  <c r="X255" i="1"/>
  <c r="W485" i="1"/>
  <c r="W245" i="1"/>
  <c r="X474" i="1"/>
  <c r="X234" i="1"/>
  <c r="W63" i="1"/>
  <c r="W91" i="1"/>
  <c r="X303" i="1"/>
  <c r="X112" i="1"/>
  <c r="W27" i="1"/>
  <c r="W106" i="1"/>
  <c r="X86" i="1"/>
  <c r="W411" i="1"/>
  <c r="W294" i="1"/>
  <c r="X333" i="1"/>
  <c r="W473" i="1"/>
  <c r="X42" i="1"/>
  <c r="W92" i="1"/>
  <c r="W23" i="1"/>
  <c r="X466" i="1"/>
  <c r="X117" i="1"/>
  <c r="X32" i="1"/>
  <c r="X482" i="1"/>
  <c r="W133" i="1"/>
  <c r="X31" i="1"/>
  <c r="W164" i="1"/>
  <c r="W301" i="1"/>
  <c r="L480" i="1"/>
  <c r="L280" i="1"/>
  <c r="L80" i="1"/>
  <c r="L259" i="1"/>
  <c r="L236" i="1"/>
  <c r="L345" i="1"/>
  <c r="L434" i="1"/>
  <c r="K320" i="1"/>
  <c r="K120" i="1"/>
  <c r="L339" i="1"/>
  <c r="L416" i="1"/>
  <c r="K56" i="1"/>
  <c r="K215" i="1"/>
  <c r="K399" i="1"/>
  <c r="K199" i="1"/>
  <c r="L237" i="1"/>
  <c r="L458" i="1"/>
  <c r="L258" i="1"/>
  <c r="L58" i="1"/>
  <c r="K455" i="1"/>
  <c r="K318" i="1"/>
  <c r="K118" i="1"/>
  <c r="K457" i="1"/>
  <c r="L406" i="1"/>
  <c r="L485" i="1"/>
  <c r="K85" i="1"/>
  <c r="L357" i="1"/>
  <c r="L57" i="1"/>
  <c r="L306" i="1"/>
  <c r="L405" i="1"/>
  <c r="L494" i="1"/>
  <c r="K54" i="1"/>
  <c r="L184" i="1"/>
  <c r="L353" i="1"/>
  <c r="K424" i="1"/>
  <c r="L33" i="1"/>
  <c r="K181" i="1"/>
  <c r="L421" i="1"/>
  <c r="K463" i="1"/>
  <c r="L321" i="1"/>
  <c r="K202" i="1"/>
  <c r="K462" i="1"/>
  <c r="L372" i="1"/>
  <c r="K201" i="1"/>
  <c r="L483" i="1"/>
  <c r="K112" i="1"/>
  <c r="K271" i="1"/>
  <c r="L242" i="1"/>
  <c r="K114" i="1"/>
  <c r="L232" i="1"/>
  <c r="AK7" i="1"/>
  <c r="CQ280" i="1"/>
  <c r="CR375" i="1"/>
  <c r="CQ55" i="1"/>
  <c r="CQ154" i="1"/>
  <c r="DC16" i="1"/>
  <c r="DD167" i="1"/>
  <c r="DD114" i="1"/>
  <c r="DO109" i="1"/>
  <c r="DP354" i="1"/>
  <c r="DP114" i="1"/>
  <c r="DP381" i="1"/>
  <c r="EA69" i="1"/>
  <c r="EB327" i="1"/>
  <c r="EB46" i="1"/>
  <c r="EA354" i="1"/>
  <c r="EB184" i="1"/>
  <c r="CF310" i="1"/>
  <c r="CE38" i="1"/>
  <c r="CE227" i="1"/>
  <c r="CE245" i="1"/>
  <c r="CE186" i="1"/>
  <c r="CF171" i="1"/>
  <c r="CF283" i="1"/>
  <c r="CE83" i="1"/>
  <c r="CE182" i="1"/>
  <c r="CF139" i="1"/>
  <c r="BT480" i="1"/>
  <c r="BT138" i="1"/>
  <c r="BT319" i="1"/>
  <c r="BT268" i="1"/>
  <c r="BS335" i="1"/>
  <c r="BT232" i="1"/>
  <c r="BS486" i="1"/>
  <c r="BT42" i="1"/>
  <c r="BT463" i="1"/>
  <c r="BT457" i="1"/>
  <c r="BS296" i="1"/>
  <c r="BS53" i="1"/>
  <c r="BS188" i="1"/>
  <c r="BH160" i="1"/>
  <c r="BH484" i="1"/>
  <c r="BH466" i="1"/>
  <c r="BH329" i="1"/>
  <c r="BG355" i="1"/>
  <c r="BH426" i="1"/>
  <c r="BG348" i="1"/>
  <c r="BG265" i="1"/>
  <c r="BH134" i="1"/>
  <c r="BG493" i="1"/>
  <c r="BG352" i="1"/>
  <c r="BG323" i="1"/>
  <c r="BH183" i="1"/>
  <c r="AU189" i="1"/>
  <c r="AU100" i="1"/>
  <c r="AU469" i="1"/>
  <c r="AU78" i="1"/>
  <c r="AU257" i="1"/>
  <c r="AU275" i="1"/>
  <c r="AV231" i="1"/>
  <c r="AU276" i="1"/>
  <c r="AU344" i="1"/>
  <c r="AU132" i="1"/>
  <c r="AU173" i="1"/>
  <c r="AV204" i="1"/>
  <c r="AU421" i="1"/>
  <c r="AJ130" i="1"/>
  <c r="AI390" i="1"/>
  <c r="AJ339" i="1"/>
  <c r="AJ137" i="1"/>
  <c r="AJ77" i="1"/>
  <c r="AJ465" i="1"/>
  <c r="AI335" i="1"/>
  <c r="AI497" i="1"/>
  <c r="AJ483" i="1"/>
  <c r="AI112" i="1"/>
  <c r="AI304" i="1"/>
  <c r="AI53" i="1"/>
  <c r="AI94" i="1"/>
  <c r="AI332" i="1"/>
  <c r="AJ452" i="1"/>
  <c r="AJ312" i="1"/>
  <c r="AI147" i="1"/>
  <c r="X170" i="1"/>
  <c r="W280" i="1"/>
  <c r="X489" i="1"/>
  <c r="W479" i="1"/>
  <c r="X318" i="1"/>
  <c r="W158" i="1"/>
  <c r="X485" i="1"/>
  <c r="W475" i="1"/>
  <c r="X464" i="1"/>
  <c r="W46" i="1"/>
  <c r="X223" i="1"/>
  <c r="X413" i="1"/>
  <c r="W466" i="1"/>
  <c r="W274" i="1"/>
  <c r="W453" i="1"/>
  <c r="W57" i="1"/>
  <c r="X366" i="1"/>
  <c r="X462" i="1"/>
  <c r="W362" i="1"/>
  <c r="X96" i="1"/>
  <c r="L470" i="1"/>
  <c r="L70" i="1"/>
  <c r="L176" i="1"/>
  <c r="L364" i="1"/>
  <c r="K110" i="1"/>
  <c r="L386" i="1"/>
  <c r="K175" i="1"/>
  <c r="K189" i="1"/>
  <c r="L448" i="1"/>
  <c r="L48" i="1"/>
  <c r="K308" i="1"/>
  <c r="K447" i="1"/>
  <c r="L415" i="1"/>
  <c r="L347" i="1"/>
  <c r="L266" i="1"/>
  <c r="L424" i="1"/>
  <c r="L84" i="1"/>
  <c r="L243" i="1"/>
  <c r="K153" i="1"/>
  <c r="L433" i="1"/>
  <c r="K174" i="1"/>
  <c r="K14" i="1"/>
  <c r="K272" i="1"/>
  <c r="K243" i="1"/>
  <c r="K393" i="1"/>
  <c r="DQ7" i="1"/>
  <c r="CQ349" i="1"/>
  <c r="CQ227" i="1"/>
  <c r="CR355" i="1"/>
  <c r="CR111" i="1"/>
  <c r="CQ136" i="1"/>
  <c r="DD485" i="1"/>
  <c r="DD157" i="1"/>
  <c r="DC292" i="1"/>
  <c r="DP210" i="1"/>
  <c r="DP348" i="1"/>
  <c r="DP274" i="1"/>
  <c r="DP34" i="1"/>
  <c r="DP353" i="1"/>
  <c r="EB249" i="1"/>
  <c r="EB165" i="1"/>
  <c r="EA205" i="1"/>
  <c r="EB294" i="1"/>
  <c r="EA331" i="1"/>
  <c r="EB162" i="1"/>
  <c r="CF270" i="1"/>
  <c r="CE487" i="1"/>
  <c r="CE207" i="1"/>
  <c r="CE215" i="1"/>
  <c r="CE456" i="1"/>
  <c r="CE344" i="1"/>
  <c r="CE81" i="1"/>
  <c r="CF463" i="1"/>
  <c r="CF189" i="1"/>
  <c r="CF408" i="1"/>
  <c r="CF323" i="1"/>
  <c r="BT70" i="1"/>
  <c r="BS130" i="1"/>
  <c r="BS449" i="1"/>
  <c r="BT195" i="1"/>
  <c r="BT394" i="1"/>
  <c r="BS117" i="1"/>
  <c r="BS264" i="1"/>
  <c r="BS371" i="1"/>
  <c r="BS494" i="1"/>
  <c r="BT266" i="1"/>
  <c r="BT131" i="1"/>
  <c r="BS354" i="1"/>
  <c r="BT201" i="1"/>
  <c r="BG356" i="1"/>
  <c r="BG220" i="1"/>
  <c r="BG25" i="1"/>
  <c r="BH416" i="1"/>
  <c r="BG309" i="1"/>
  <c r="BH148" i="1"/>
  <c r="BH436" i="1"/>
  <c r="BH257" i="1"/>
  <c r="BG22" i="1"/>
  <c r="BH461" i="1"/>
  <c r="BH242" i="1"/>
  <c r="BG382" i="1"/>
  <c r="AV190" i="1"/>
  <c r="AU450" i="1"/>
  <c r="AV369" i="1"/>
  <c r="AU448" i="1"/>
  <c r="AV137" i="1"/>
  <c r="AV135" i="1"/>
  <c r="AV176" i="1"/>
  <c r="AV104" i="1"/>
  <c r="AV271" i="1"/>
  <c r="AU404" i="1"/>
  <c r="AU57" i="1"/>
  <c r="AV171" i="1"/>
  <c r="AU122" i="1"/>
  <c r="AJ420" i="1"/>
  <c r="AJ417" i="1"/>
  <c r="AI60" i="1"/>
  <c r="AI438" i="1"/>
  <c r="AI199" i="1"/>
  <c r="AJ178" i="1"/>
  <c r="AJ135" i="1"/>
  <c r="AJ474" i="1"/>
  <c r="AI351" i="1"/>
  <c r="AI56" i="1"/>
  <c r="AI264" i="1"/>
  <c r="AJ491" i="1"/>
  <c r="AJ41" i="1"/>
  <c r="AI232" i="1"/>
  <c r="AJ332" i="1"/>
  <c r="AJ272" i="1"/>
  <c r="AI57" i="1"/>
  <c r="X160" i="1"/>
  <c r="W270" i="1"/>
  <c r="X479" i="1"/>
  <c r="W469" i="1"/>
  <c r="X298" i="1"/>
  <c r="W148" i="1"/>
  <c r="X475" i="1"/>
  <c r="W465" i="1"/>
  <c r="X454" i="1"/>
  <c r="W31" i="1"/>
  <c r="X167" i="1"/>
  <c r="X253" i="1"/>
  <c r="W346" i="1"/>
  <c r="W254" i="1"/>
  <c r="W433" i="1"/>
  <c r="W42" i="1"/>
  <c r="X326" i="1"/>
  <c r="W462" i="1"/>
  <c r="X441" i="1"/>
  <c r="X222" i="1"/>
  <c r="L260" i="1"/>
  <c r="L219" i="1"/>
  <c r="L255" i="1"/>
  <c r="K300" i="1"/>
  <c r="L289" i="1"/>
  <c r="L465" i="1"/>
  <c r="K379" i="1"/>
  <c r="K487" i="1"/>
  <c r="L238" i="1"/>
  <c r="K498" i="1"/>
  <c r="K98" i="1"/>
  <c r="L346" i="1"/>
  <c r="L464" i="1"/>
  <c r="L17" i="1"/>
  <c r="L315" i="1"/>
  <c r="L24" i="1"/>
  <c r="L303" i="1"/>
  <c r="K283" i="1"/>
  <c r="CR100" i="1"/>
  <c r="CQ209" i="1"/>
  <c r="CR87" i="1"/>
  <c r="CQ331" i="1"/>
  <c r="CR292" i="1"/>
  <c r="DC346" i="1"/>
  <c r="DD408" i="1"/>
  <c r="DC487" i="1"/>
  <c r="DC124" i="1"/>
  <c r="DC411" i="1"/>
  <c r="DP226" i="1"/>
  <c r="DO168" i="1"/>
  <c r="DO486" i="1"/>
  <c r="DO32" i="1"/>
  <c r="DO86" i="1"/>
  <c r="EA287" i="1"/>
  <c r="EA127" i="1"/>
  <c r="EB435" i="1"/>
  <c r="EB326" i="1"/>
  <c r="EA362" i="1"/>
  <c r="EB172" i="1"/>
  <c r="EB293" i="1"/>
  <c r="EB481" i="1"/>
  <c r="CE280" i="1"/>
  <c r="CF346" i="1"/>
  <c r="CF446" i="1"/>
  <c r="CE315" i="1"/>
  <c r="CF53" i="1"/>
  <c r="CF291" i="1"/>
  <c r="CF341" i="1"/>
  <c r="CE264" i="1"/>
  <c r="CF232" i="1"/>
  <c r="CE342" i="1"/>
  <c r="CE296" i="1"/>
  <c r="CF204" i="1"/>
  <c r="BT180" i="1"/>
  <c r="BS320" i="1"/>
  <c r="BT219" i="1"/>
  <c r="BT438" i="1"/>
  <c r="BS475" i="1"/>
  <c r="BT344" i="1"/>
  <c r="BT211" i="1"/>
  <c r="BT16" i="1"/>
  <c r="BS87" i="1"/>
  <c r="BT32" i="1"/>
  <c r="BS311" i="1"/>
  <c r="BS463" i="1"/>
  <c r="BT341" i="1"/>
  <c r="BT113" i="1"/>
  <c r="BT81" i="1"/>
  <c r="BH220" i="1"/>
  <c r="BH65" i="1"/>
  <c r="BG190" i="1"/>
  <c r="BH125" i="1"/>
  <c r="BH49" i="1"/>
  <c r="BH414" i="1"/>
  <c r="BG19" i="1"/>
  <c r="BH285" i="1"/>
  <c r="BH286" i="1"/>
  <c r="BH387" i="1"/>
  <c r="BG181" i="1"/>
  <c r="BH251" i="1"/>
  <c r="BH392" i="1"/>
  <c r="BG112" i="1"/>
  <c r="BG193" i="1"/>
  <c r="AV300" i="1"/>
  <c r="AV198" i="1"/>
  <c r="AU20" i="1"/>
  <c r="AV79" i="1"/>
  <c r="AU238" i="1"/>
  <c r="AV107" i="1"/>
  <c r="AV245" i="1"/>
  <c r="AU15" i="1"/>
  <c r="AV36" i="1"/>
  <c r="AU396" i="1"/>
  <c r="AU366" i="1"/>
  <c r="AV342" i="1"/>
  <c r="AV233" i="1"/>
  <c r="AU372" i="1"/>
  <c r="AV52" i="1"/>
  <c r="AV64" i="1"/>
  <c r="AJ270" i="1"/>
  <c r="AJ377" i="1"/>
  <c r="AI150" i="1"/>
  <c r="AJ139" i="1"/>
  <c r="AI469" i="1"/>
  <c r="AI198" i="1"/>
  <c r="AI498" i="1"/>
  <c r="AJ85" i="1"/>
  <c r="AI75" i="1"/>
  <c r="AI111" i="1"/>
  <c r="AJ151" i="1"/>
  <c r="AJ181" i="1"/>
  <c r="AI184" i="1"/>
  <c r="AJ211" i="1"/>
  <c r="AJ203" i="1"/>
  <c r="AJ412" i="1"/>
  <c r="AJ293" i="1"/>
  <c r="AI384" i="1"/>
  <c r="AI174" i="1"/>
  <c r="AJ183" i="1"/>
  <c r="X230" i="1"/>
  <c r="W380" i="1"/>
  <c r="W369" i="1"/>
  <c r="X289" i="1"/>
  <c r="W299" i="1"/>
  <c r="X248" i="1"/>
  <c r="W218" i="1"/>
  <c r="X247" i="1"/>
  <c r="X185" i="1"/>
  <c r="W275" i="1"/>
  <c r="X324" i="1"/>
  <c r="W216" i="1"/>
  <c r="W36" i="1"/>
  <c r="W276" i="1"/>
  <c r="X154" i="1"/>
  <c r="X363" i="1"/>
  <c r="X11" i="1"/>
  <c r="W373" i="1"/>
  <c r="W142" i="1"/>
  <c r="W367" i="1"/>
  <c r="W204" i="1"/>
  <c r="X114" i="1"/>
  <c r="W242" i="1"/>
  <c r="X133" i="1"/>
  <c r="X47" i="1"/>
  <c r="L150" i="1"/>
  <c r="L159" i="1"/>
  <c r="L475" i="1"/>
  <c r="K390" i="1"/>
  <c r="K70" i="1"/>
  <c r="K157" i="1"/>
  <c r="L45" i="1"/>
  <c r="K349" i="1"/>
  <c r="K29" i="1"/>
  <c r="L328" i="1"/>
  <c r="L247" i="1"/>
  <c r="K348" i="1"/>
  <c r="L137" i="1"/>
  <c r="L246" i="1"/>
  <c r="K235" i="1"/>
  <c r="L197" i="1"/>
  <c r="L66" i="1"/>
  <c r="K155" i="1"/>
  <c r="K364" i="1"/>
  <c r="L231" i="1"/>
  <c r="L362" i="1"/>
  <c r="K31" i="1"/>
  <c r="K161" i="1"/>
  <c r="L312" i="1"/>
  <c r="K291" i="1"/>
  <c r="L313" i="1"/>
  <c r="K484" i="1"/>
  <c r="L134" i="1"/>
  <c r="K121" i="1"/>
  <c r="K264" i="1"/>
  <c r="CQ415" i="1"/>
  <c r="BS313" i="1"/>
  <c r="BH217" i="1"/>
  <c r="BH21" i="1"/>
  <c r="BG214" i="1"/>
  <c r="AV170" i="1"/>
  <c r="AU169" i="1"/>
  <c r="AU148" i="1"/>
  <c r="AV115" i="1"/>
  <c r="AU101" i="1"/>
  <c r="AU354" i="1"/>
  <c r="AU212" i="1"/>
  <c r="AU461" i="1"/>
  <c r="AI20" i="1"/>
  <c r="AI419" i="1"/>
  <c r="AJ477" i="1"/>
  <c r="AI17" i="1"/>
  <c r="AI331" i="1"/>
  <c r="AI362" i="1"/>
  <c r="AI453" i="1"/>
  <c r="X140" i="1"/>
  <c r="X199" i="1"/>
  <c r="W128" i="1"/>
  <c r="X274" i="1"/>
  <c r="X196" i="1"/>
  <c r="X453" i="1"/>
  <c r="W207" i="1"/>
  <c r="X131" i="1"/>
  <c r="L99" i="1"/>
  <c r="K40" i="1"/>
  <c r="K319" i="1"/>
  <c r="K317" i="1"/>
  <c r="L116" i="1"/>
  <c r="K436" i="1"/>
  <c r="L153" i="1"/>
  <c r="K94" i="1"/>
  <c r="L333" i="1"/>
  <c r="L183" i="1"/>
  <c r="CQ476" i="1"/>
  <c r="DC110" i="1"/>
  <c r="DC24" i="1"/>
  <c r="DP202" i="1"/>
  <c r="EA135" i="1"/>
  <c r="EB116" i="1"/>
  <c r="EA253" i="1"/>
  <c r="CF186" i="1"/>
  <c r="CE274" i="1"/>
  <c r="CF161" i="1"/>
  <c r="CF372" i="1"/>
  <c r="BS240" i="1"/>
  <c r="BS395" i="1"/>
  <c r="BT447" i="1"/>
  <c r="BS226" i="1"/>
  <c r="BT52" i="1"/>
  <c r="BG155" i="1"/>
  <c r="BG487" i="1"/>
  <c r="BG428" i="1"/>
  <c r="BG332" i="1"/>
  <c r="BG184" i="1"/>
  <c r="CR50" i="1"/>
  <c r="CQ29" i="1"/>
  <c r="CR67" i="1"/>
  <c r="CQ252" i="1"/>
  <c r="CQ221" i="1"/>
  <c r="DC306" i="1"/>
  <c r="DD398" i="1"/>
  <c r="DC437" i="1"/>
  <c r="DC52" i="1"/>
  <c r="DC452" i="1"/>
  <c r="DP479" i="1"/>
  <c r="DO148" i="1"/>
  <c r="DP111" i="1"/>
  <c r="DO462" i="1"/>
  <c r="DO66" i="1"/>
  <c r="EA227" i="1"/>
  <c r="EA47" i="1"/>
  <c r="EB115" i="1"/>
  <c r="EB236" i="1"/>
  <c r="EA144" i="1"/>
  <c r="EA53" i="1"/>
  <c r="EA13" i="1"/>
  <c r="EA343" i="1"/>
  <c r="CE270" i="1"/>
  <c r="CF246" i="1"/>
  <c r="CF376" i="1"/>
  <c r="CE305" i="1"/>
  <c r="CF21" i="1"/>
  <c r="CE236" i="1"/>
  <c r="CF322" i="1"/>
  <c r="CF211" i="1"/>
  <c r="CE192" i="1"/>
  <c r="CF299" i="1"/>
  <c r="CE174" i="1"/>
  <c r="CE92" i="1"/>
  <c r="BT130" i="1"/>
  <c r="BS290" i="1"/>
  <c r="BT209" i="1"/>
  <c r="BT408" i="1"/>
  <c r="BS465" i="1"/>
  <c r="BT334" i="1"/>
  <c r="BT56" i="1"/>
  <c r="BT497" i="1"/>
  <c r="BS393" i="1"/>
  <c r="BS351" i="1"/>
  <c r="BS261" i="1"/>
  <c r="BT446" i="1"/>
  <c r="BT291" i="1"/>
  <c r="BT97" i="1"/>
  <c r="BS18" i="1"/>
  <c r="BH210" i="1"/>
  <c r="BH25" i="1"/>
  <c r="BG180" i="1"/>
  <c r="BG485" i="1"/>
  <c r="BH39" i="1"/>
  <c r="BH374" i="1"/>
  <c r="BG9" i="1"/>
  <c r="BG498" i="1"/>
  <c r="BH66" i="1"/>
  <c r="BH337" i="1"/>
  <c r="BH151" i="1"/>
  <c r="BG163" i="1"/>
  <c r="BG362" i="1"/>
  <c r="BH382" i="1"/>
  <c r="BH81" i="1"/>
  <c r="AV290" i="1"/>
  <c r="AV118" i="1"/>
  <c r="AU379" i="1"/>
  <c r="AV29" i="1"/>
  <c r="AU228" i="1"/>
  <c r="AV77" i="1"/>
  <c r="AV235" i="1"/>
  <c r="AV496" i="1"/>
  <c r="AV486" i="1"/>
  <c r="AU336" i="1"/>
  <c r="AU306" i="1"/>
  <c r="AU474" i="1"/>
  <c r="AV213" i="1"/>
  <c r="AU312" i="1"/>
  <c r="AV463" i="1"/>
  <c r="AV441" i="1"/>
  <c r="AJ240" i="1"/>
  <c r="AJ317" i="1"/>
  <c r="AI120" i="1"/>
  <c r="AJ129" i="1"/>
  <c r="AI459" i="1"/>
  <c r="AI118" i="1"/>
  <c r="AI318" i="1"/>
  <c r="AJ75" i="1"/>
  <c r="AI65" i="1"/>
  <c r="AI54" i="1"/>
  <c r="AI483" i="1"/>
  <c r="AJ124" i="1"/>
  <c r="AI113" i="1"/>
  <c r="AJ136" i="1"/>
  <c r="AI151" i="1"/>
  <c r="AJ372" i="1"/>
  <c r="AJ273" i="1"/>
  <c r="AJ383" i="1"/>
  <c r="AI156" i="1"/>
  <c r="AJ112" i="1"/>
  <c r="X220" i="1"/>
  <c r="W370" i="1"/>
  <c r="W339" i="1"/>
  <c r="X279" i="1"/>
  <c r="W289" i="1"/>
  <c r="X218" i="1"/>
  <c r="W208" i="1"/>
  <c r="X237" i="1"/>
  <c r="X175" i="1"/>
  <c r="W265" i="1"/>
  <c r="X314" i="1"/>
  <c r="X162" i="1"/>
  <c r="W444" i="1"/>
  <c r="W256" i="1"/>
  <c r="X104" i="1"/>
  <c r="X323" i="1"/>
  <c r="X493" i="1"/>
  <c r="W353" i="1"/>
  <c r="W124" i="1"/>
  <c r="W327" i="1"/>
  <c r="W134" i="1"/>
  <c r="X421" i="1"/>
  <c r="W166" i="1"/>
  <c r="X66" i="1"/>
  <c r="L500" i="1"/>
  <c r="L140" i="1"/>
  <c r="L139" i="1"/>
  <c r="L425" i="1"/>
  <c r="K380" i="1"/>
  <c r="K60" i="1"/>
  <c r="K17" i="1"/>
  <c r="K485" i="1"/>
  <c r="K339" i="1"/>
  <c r="K19" i="1"/>
  <c r="L318" i="1"/>
  <c r="L67" i="1"/>
  <c r="K338" i="1"/>
  <c r="L117" i="1"/>
  <c r="L216" i="1"/>
  <c r="K195" i="1"/>
  <c r="L187" i="1"/>
  <c r="L16" i="1"/>
  <c r="K115" i="1"/>
  <c r="L213" i="1"/>
  <c r="L203" i="1"/>
  <c r="K162" i="1"/>
  <c r="L431" i="1"/>
  <c r="L412" i="1"/>
  <c r="K262" i="1"/>
  <c r="L334" i="1"/>
  <c r="K341" i="1"/>
  <c r="L272" i="1"/>
  <c r="K414" i="1"/>
  <c r="K93" i="1"/>
  <c r="K214" i="1"/>
  <c r="CR468" i="1"/>
  <c r="BS101" i="1"/>
  <c r="BH33" i="1"/>
  <c r="BH453" i="1"/>
  <c r="BH282" i="1"/>
  <c r="AV78" i="1"/>
  <c r="AV288" i="1"/>
  <c r="AV17" i="1"/>
  <c r="AV456" i="1"/>
  <c r="AV284" i="1"/>
  <c r="AU41" i="1"/>
  <c r="AV323" i="1"/>
  <c r="AJ200" i="1"/>
  <c r="AJ89" i="1"/>
  <c r="AJ458" i="1"/>
  <c r="AJ35" i="1"/>
  <c r="AI283" i="1"/>
  <c r="AI211" i="1"/>
  <c r="AJ232" i="1"/>
  <c r="AI47" i="1"/>
  <c r="W350" i="1"/>
  <c r="W229" i="1"/>
  <c r="X217" i="1"/>
  <c r="W185" i="1"/>
  <c r="W12" i="1"/>
  <c r="X22" i="1"/>
  <c r="W293" i="1"/>
  <c r="W483" i="1"/>
  <c r="W223" i="1"/>
  <c r="L440" i="1"/>
  <c r="L175" i="1"/>
  <c r="L286" i="1"/>
  <c r="K217" i="1"/>
  <c r="K278" i="1"/>
  <c r="L414" i="1"/>
  <c r="K471" i="1"/>
  <c r="K111" i="1"/>
  <c r="K211" i="1"/>
  <c r="K312" i="1"/>
  <c r="L452" i="1"/>
  <c r="CQ458" i="1"/>
  <c r="CQ354" i="1"/>
  <c r="DD278" i="1"/>
  <c r="DC461" i="1"/>
  <c r="DP265" i="1"/>
  <c r="DO144" i="1"/>
  <c r="EB177" i="1"/>
  <c r="EB432" i="1"/>
  <c r="CE40" i="1"/>
  <c r="CE105" i="1"/>
  <c r="CE489" i="1"/>
  <c r="CE216" i="1"/>
  <c r="BS469" i="1"/>
  <c r="BT118" i="1"/>
  <c r="BT492" i="1"/>
  <c r="BS297" i="1"/>
  <c r="BS84" i="1"/>
  <c r="BH60" i="1"/>
  <c r="BH404" i="1"/>
  <c r="BH478" i="1"/>
  <c r="BH207" i="1"/>
  <c r="BG423" i="1"/>
  <c r="CR40" i="1"/>
  <c r="CQ19" i="1"/>
  <c r="CQ263" i="1"/>
  <c r="CQ343" i="1"/>
  <c r="CR425" i="1"/>
  <c r="DC410" i="1"/>
  <c r="DD318" i="1"/>
  <c r="DC307" i="1"/>
  <c r="DC64" i="1"/>
  <c r="DD251" i="1"/>
  <c r="DP469" i="1"/>
  <c r="DP217" i="1"/>
  <c r="DP63" i="1"/>
  <c r="DO334" i="1"/>
  <c r="DP303" i="1"/>
  <c r="EA17" i="1"/>
  <c r="EA276" i="1"/>
  <c r="EB307" i="1"/>
  <c r="EB226" i="1"/>
  <c r="EA122" i="1"/>
  <c r="EB301" i="1"/>
  <c r="EB111" i="1"/>
  <c r="EA481" i="1"/>
  <c r="CE80" i="1"/>
  <c r="CF226" i="1"/>
  <c r="CF356" i="1"/>
  <c r="CE205" i="1"/>
  <c r="CF498" i="1"/>
  <c r="CF201" i="1"/>
  <c r="CE63" i="1"/>
  <c r="CF193" i="1"/>
  <c r="CE156" i="1"/>
  <c r="CE381" i="1"/>
  <c r="CE141" i="1"/>
  <c r="CE56" i="1"/>
  <c r="BT60" i="1"/>
  <c r="BS280" i="1"/>
  <c r="BT199" i="1"/>
  <c r="BT218" i="1"/>
  <c r="BS455" i="1"/>
  <c r="BT324" i="1"/>
  <c r="BS72" i="1"/>
  <c r="BS482" i="1"/>
  <c r="BT326" i="1"/>
  <c r="BT431" i="1"/>
  <c r="BS194" i="1"/>
  <c r="BS431" i="1"/>
  <c r="BT114" i="1"/>
  <c r="BS83" i="1"/>
  <c r="BS418" i="1"/>
  <c r="BH140" i="1"/>
  <c r="BG465" i="1"/>
  <c r="BG170" i="1"/>
  <c r="BH454" i="1"/>
  <c r="BH29" i="1"/>
  <c r="BH334" i="1"/>
  <c r="BH385" i="1"/>
  <c r="BG488" i="1"/>
  <c r="BH16" i="1"/>
  <c r="BH247" i="1"/>
  <c r="BG122" i="1"/>
  <c r="BH51" i="1"/>
  <c r="BH101" i="1"/>
  <c r="BG444" i="1"/>
  <c r="BH22" i="1"/>
  <c r="AV180" i="1"/>
  <c r="AV98" i="1"/>
  <c r="AU329" i="1"/>
  <c r="AU309" i="1"/>
  <c r="AU218" i="1"/>
  <c r="AV67" i="1"/>
  <c r="AV125" i="1"/>
  <c r="AV476" i="1"/>
  <c r="AV346" i="1"/>
  <c r="AU236" i="1"/>
  <c r="AU246" i="1"/>
  <c r="AU454" i="1"/>
  <c r="AU412" i="1"/>
  <c r="AU272" i="1"/>
  <c r="AV383" i="1"/>
  <c r="AV341" i="1"/>
  <c r="AJ230" i="1"/>
  <c r="AJ297" i="1"/>
  <c r="AI50" i="1"/>
  <c r="AJ119" i="1"/>
  <c r="AI449" i="1"/>
  <c r="AJ488" i="1"/>
  <c r="AI218" i="1"/>
  <c r="AJ65" i="1"/>
  <c r="AJ464" i="1"/>
  <c r="AI36" i="1"/>
  <c r="AI343" i="1"/>
  <c r="AJ34" i="1"/>
  <c r="AJ22" i="1"/>
  <c r="AJ83" i="1"/>
  <c r="AI462" i="1"/>
  <c r="AJ292" i="1"/>
  <c r="AJ253" i="1"/>
  <c r="AI361" i="1"/>
  <c r="AJ121" i="1"/>
  <c r="AI41" i="1"/>
  <c r="X150" i="1"/>
  <c r="W360" i="1"/>
  <c r="W309" i="1"/>
  <c r="X229" i="1"/>
  <c r="W269" i="1"/>
  <c r="X198" i="1"/>
  <c r="W138" i="1"/>
  <c r="X227" i="1"/>
  <c r="X165" i="1"/>
  <c r="W215" i="1"/>
  <c r="X304" i="1"/>
  <c r="W112" i="1"/>
  <c r="W102" i="1"/>
  <c r="W236" i="1"/>
  <c r="X54" i="1"/>
  <c r="W426" i="1"/>
  <c r="X473" i="1"/>
  <c r="W313" i="1"/>
  <c r="W24" i="1"/>
  <c r="W267" i="1"/>
  <c r="W84" i="1"/>
  <c r="X242" i="1"/>
  <c r="X97" i="1"/>
  <c r="W66" i="1"/>
  <c r="L450" i="1"/>
  <c r="L130" i="1"/>
  <c r="L119" i="1"/>
  <c r="L215" i="1"/>
  <c r="K370" i="1"/>
  <c r="K50" i="1"/>
  <c r="L326" i="1"/>
  <c r="K425" i="1"/>
  <c r="K329" i="1"/>
  <c r="K287" i="1"/>
  <c r="L308" i="1"/>
  <c r="K477" i="1"/>
  <c r="K288" i="1"/>
  <c r="L107" i="1"/>
  <c r="L156" i="1"/>
  <c r="L454" i="1"/>
  <c r="L177" i="1"/>
  <c r="K496" i="1"/>
  <c r="K494" i="1"/>
  <c r="L91" i="1"/>
  <c r="L181" i="1"/>
  <c r="K443" i="1"/>
  <c r="K431" i="1"/>
  <c r="L282" i="1"/>
  <c r="L233" i="1"/>
  <c r="K134" i="1"/>
  <c r="L284" i="1"/>
  <c r="L244" i="1"/>
  <c r="L472" i="1"/>
  <c r="K71" i="1"/>
  <c r="K192" i="1"/>
  <c r="CR56" i="1"/>
  <c r="CR265" i="1"/>
  <c r="CQ465" i="1"/>
  <c r="DC400" i="1"/>
  <c r="DD288" i="1"/>
  <c r="DC207" i="1"/>
  <c r="DD333" i="1"/>
  <c r="DC123" i="1"/>
  <c r="DP329" i="1"/>
  <c r="DP465" i="1"/>
  <c r="DP452" i="1"/>
  <c r="DO262" i="1"/>
  <c r="DP253" i="1"/>
  <c r="EA256" i="1"/>
  <c r="EA46" i="1"/>
  <c r="EB187" i="1"/>
  <c r="EB126" i="1"/>
  <c r="EA22" i="1"/>
  <c r="EB14" i="1"/>
  <c r="EB373" i="1"/>
  <c r="EB283" i="1"/>
  <c r="CE70" i="1"/>
  <c r="CF206" i="1"/>
  <c r="CF296" i="1"/>
  <c r="CE115" i="1"/>
  <c r="CE293" i="1"/>
  <c r="CF33" i="1"/>
  <c r="CE13" i="1"/>
  <c r="CF178" i="1"/>
  <c r="CE116" i="1"/>
  <c r="CE261" i="1"/>
  <c r="CE423" i="1"/>
  <c r="CE323" i="1"/>
  <c r="BT10" i="1"/>
  <c r="BS250" i="1"/>
  <c r="BT169" i="1"/>
  <c r="BT148" i="1"/>
  <c r="BS405" i="1"/>
  <c r="BT274" i="1"/>
  <c r="BT41" i="1"/>
  <c r="BS464" i="1"/>
  <c r="BT276" i="1"/>
  <c r="BT313" i="1"/>
  <c r="BT292" i="1"/>
  <c r="BS67" i="1"/>
  <c r="BS218" i="1"/>
  <c r="BH70" i="1"/>
  <c r="BG205" i="1"/>
  <c r="BG100" i="1"/>
  <c r="BH444" i="1"/>
  <c r="BH9" i="1"/>
  <c r="BH284" i="1"/>
  <c r="BH488" i="1"/>
  <c r="BG438" i="1"/>
  <c r="BG236" i="1"/>
  <c r="AV186" i="1"/>
  <c r="AJ217" i="1"/>
  <c r="AJ454" i="1"/>
  <c r="AJ164" i="1"/>
  <c r="AJ233" i="1"/>
  <c r="AI164" i="1"/>
  <c r="W279" i="1"/>
  <c r="X118" i="1"/>
  <c r="X155" i="1"/>
  <c r="X496" i="1"/>
  <c r="W153" i="1"/>
  <c r="W452" i="1"/>
  <c r="X166" i="1"/>
  <c r="L120" i="1"/>
  <c r="K360" i="1"/>
  <c r="K385" i="1"/>
  <c r="L298" i="1"/>
  <c r="L87" i="1"/>
  <c r="L157" i="1"/>
  <c r="K474" i="1"/>
  <c r="L132" i="1"/>
  <c r="L222" i="1"/>
  <c r="K164" i="1"/>
  <c r="CQ134" i="1"/>
  <c r="CQ83" i="1"/>
  <c r="DC395" i="1"/>
  <c r="DP129" i="1"/>
  <c r="DP492" i="1"/>
  <c r="EB308" i="1"/>
  <c r="EB233" i="1"/>
  <c r="EA152" i="1"/>
  <c r="CF16" i="1"/>
  <c r="CF418" i="1"/>
  <c r="CF81" i="1"/>
  <c r="CE319" i="1"/>
  <c r="BT79" i="1"/>
  <c r="BS466" i="1"/>
  <c r="BS208" i="1"/>
  <c r="BS197" i="1"/>
  <c r="BS217" i="1"/>
  <c r="BG30" i="1"/>
  <c r="BG499" i="1"/>
  <c r="BH355" i="1"/>
  <c r="BG343" i="1"/>
  <c r="CR26" i="1"/>
  <c r="CQ187" i="1"/>
  <c r="CQ85" i="1"/>
  <c r="CR214" i="1"/>
  <c r="DD380" i="1"/>
  <c r="DD78" i="1"/>
  <c r="DC337" i="1"/>
  <c r="DC424" i="1"/>
  <c r="DD382" i="1"/>
  <c r="DO407" i="1"/>
  <c r="DP268" i="1"/>
  <c r="DO265" i="1"/>
  <c r="DP341" i="1"/>
  <c r="DO352" i="1"/>
  <c r="EB230" i="1"/>
  <c r="EB59" i="1"/>
  <c r="EA408" i="1"/>
  <c r="EB385" i="1"/>
  <c r="EA156" i="1"/>
  <c r="EB73" i="1"/>
  <c r="EA14" i="1"/>
  <c r="EA83" i="1"/>
  <c r="CF210" i="1"/>
  <c r="CE168" i="1"/>
  <c r="CF247" i="1"/>
  <c r="CF215" i="1"/>
  <c r="CF304" i="1"/>
  <c r="CF134" i="1"/>
  <c r="CF221" i="1"/>
  <c r="CF468" i="1"/>
  <c r="CE246" i="1"/>
  <c r="CF113" i="1"/>
  <c r="CF158" i="1"/>
  <c r="CF23" i="1"/>
  <c r="BT390" i="1"/>
  <c r="BT298" i="1"/>
  <c r="BS189" i="1"/>
  <c r="BS429" i="1"/>
  <c r="BT315" i="1"/>
  <c r="BS185" i="1"/>
  <c r="BT92" i="1"/>
  <c r="BT386" i="1"/>
  <c r="BT44" i="1"/>
  <c r="BT236" i="1"/>
  <c r="BT43" i="1"/>
  <c r="BS353" i="1"/>
  <c r="BT133" i="1"/>
  <c r="BS192" i="1"/>
  <c r="BT127" i="1"/>
  <c r="BH470" i="1"/>
  <c r="BH356" i="1"/>
  <c r="BG500" i="1"/>
  <c r="BH166" i="1"/>
  <c r="BH419" i="1"/>
  <c r="BG376" i="1"/>
  <c r="BG269" i="1"/>
  <c r="BH268" i="1"/>
  <c r="BG218" i="1"/>
  <c r="BH354" i="1"/>
  <c r="BG366" i="1"/>
  <c r="BG132" i="1"/>
  <c r="BG301" i="1"/>
  <c r="BG24" i="1"/>
  <c r="BH322" i="1"/>
  <c r="BG12" i="1"/>
  <c r="AU289" i="1"/>
  <c r="AU330" i="1"/>
  <c r="AV329" i="1"/>
  <c r="AV268" i="1"/>
  <c r="AV437" i="1"/>
  <c r="AV495" i="1"/>
  <c r="AU345" i="1"/>
  <c r="AV374" i="1"/>
  <c r="AU183" i="1"/>
  <c r="AV252" i="1"/>
  <c r="AV86" i="1"/>
  <c r="AU17" i="1"/>
  <c r="AU313" i="1"/>
  <c r="AV466" i="1"/>
  <c r="AV31" i="1"/>
  <c r="AV102" i="1"/>
  <c r="AJ20" i="1"/>
  <c r="AI320" i="1"/>
  <c r="AJ389" i="1"/>
  <c r="AI128" i="1"/>
  <c r="AI179" i="1"/>
  <c r="AJ278" i="1"/>
  <c r="AJ355" i="1"/>
  <c r="AI265" i="1"/>
  <c r="AJ254" i="1"/>
  <c r="AJ466" i="1"/>
  <c r="AI321" i="1"/>
  <c r="AI153" i="1"/>
  <c r="AI456" i="1"/>
  <c r="AI464" i="1"/>
  <c r="AI434" i="1"/>
  <c r="AI387" i="1"/>
  <c r="AJ193" i="1"/>
  <c r="AI86" i="1"/>
  <c r="AI11" i="1"/>
  <c r="X380" i="1"/>
  <c r="X308" i="1"/>
  <c r="W190" i="1"/>
  <c r="X459" i="1"/>
  <c r="X59" i="1"/>
  <c r="W29" i="1"/>
  <c r="W368" i="1"/>
  <c r="X457" i="1"/>
  <c r="X395" i="1"/>
  <c r="W445" i="1"/>
  <c r="W45" i="1"/>
  <c r="W357" i="1"/>
  <c r="W347" i="1"/>
  <c r="X181" i="1"/>
  <c r="W432" i="1"/>
  <c r="W246" i="1"/>
  <c r="W374" i="1"/>
  <c r="X56" i="1"/>
  <c r="X432" i="1"/>
  <c r="X251" i="1"/>
  <c r="W366" i="1"/>
  <c r="W147" i="1"/>
  <c r="W381" i="1"/>
  <c r="W423" i="1"/>
  <c r="W203" i="1"/>
  <c r="L320" i="1"/>
  <c r="L499" i="1"/>
  <c r="L36" i="1"/>
  <c r="K125" i="1"/>
  <c r="K240" i="1"/>
  <c r="L249" i="1"/>
  <c r="K226" i="1"/>
  <c r="L394" i="1"/>
  <c r="K159" i="1"/>
  <c r="L498" i="1"/>
  <c r="L178" i="1"/>
  <c r="K478" i="1"/>
  <c r="K158" i="1"/>
  <c r="K327" i="1"/>
  <c r="L285" i="1"/>
  <c r="L397" i="1"/>
  <c r="K337" i="1"/>
  <c r="L235" i="1"/>
  <c r="K154" i="1"/>
  <c r="L61" i="1"/>
  <c r="K242" i="1"/>
  <c r="K331" i="1"/>
  <c r="K13" i="1"/>
  <c r="L152" i="1"/>
  <c r="K252" i="1"/>
  <c r="L273" i="1"/>
  <c r="K301" i="1"/>
  <c r="L293" i="1"/>
  <c r="L423" i="1"/>
  <c r="L164" i="1"/>
  <c r="K62" i="1"/>
  <c r="A7" i="1"/>
  <c r="CR149" i="1"/>
  <c r="CR416" i="1"/>
  <c r="CR284" i="1"/>
  <c r="CQ166" i="1"/>
  <c r="DD370" i="1"/>
  <c r="DD496" i="1"/>
  <c r="DD286" i="1"/>
  <c r="DC423" i="1"/>
  <c r="DD82" i="1"/>
  <c r="DO330" i="1"/>
  <c r="DP258" i="1"/>
  <c r="DO165" i="1"/>
  <c r="DO476" i="1"/>
  <c r="DO182" i="1"/>
  <c r="EB220" i="1"/>
  <c r="EA489" i="1"/>
  <c r="EA328" i="1"/>
  <c r="EB255" i="1"/>
  <c r="EB45" i="1"/>
  <c r="EA23" i="1"/>
  <c r="EA353" i="1"/>
  <c r="EB174" i="1"/>
  <c r="CF200" i="1"/>
  <c r="CE158" i="1"/>
  <c r="CF127" i="1"/>
  <c r="CF205" i="1"/>
  <c r="CF294" i="1"/>
  <c r="CF363" i="1"/>
  <c r="CE171" i="1"/>
  <c r="CE449" i="1"/>
  <c r="CE93" i="1"/>
  <c r="CE74" i="1"/>
  <c r="CF122" i="1"/>
  <c r="CE59" i="1"/>
  <c r="BT380" i="1"/>
  <c r="BT278" i="1"/>
  <c r="BT479" i="1"/>
  <c r="BS419" i="1"/>
  <c r="BT305" i="1"/>
  <c r="BS75" i="1"/>
  <c r="BT76" i="1"/>
  <c r="BT336" i="1"/>
  <c r="BS396" i="1"/>
  <c r="BT187" i="1"/>
  <c r="BS478" i="1"/>
  <c r="BT172" i="1"/>
  <c r="BS443" i="1"/>
  <c r="BS176" i="1"/>
  <c r="BT21" i="1"/>
  <c r="BH460" i="1"/>
  <c r="BH316" i="1"/>
  <c r="BG410" i="1"/>
  <c r="BH126" i="1"/>
  <c r="BH409" i="1"/>
  <c r="BG106" i="1"/>
  <c r="BG259" i="1"/>
  <c r="BH258" i="1"/>
  <c r="BG88" i="1"/>
  <c r="BH304" i="1"/>
  <c r="BH255" i="1"/>
  <c r="BG43" i="1"/>
  <c r="BG263" i="1"/>
  <c r="BG421" i="1"/>
  <c r="BH223" i="1"/>
  <c r="BG364" i="1"/>
  <c r="AU279" i="1"/>
  <c r="AU280" i="1"/>
  <c r="AV319" i="1"/>
  <c r="AV218" i="1"/>
  <c r="AV327" i="1"/>
  <c r="AV485" i="1"/>
  <c r="AU335" i="1"/>
  <c r="AV43" i="1"/>
  <c r="AU123" i="1"/>
  <c r="AV172" i="1"/>
  <c r="AV482" i="1"/>
  <c r="AU386" i="1"/>
  <c r="AU293" i="1"/>
  <c r="AU36" i="1"/>
  <c r="AV481" i="1"/>
  <c r="AU102" i="1"/>
  <c r="AI298" i="1"/>
  <c r="AI310" i="1"/>
  <c r="AJ379" i="1"/>
  <c r="AJ447" i="1"/>
  <c r="AI169" i="1"/>
  <c r="AJ268" i="1"/>
  <c r="AJ265" i="1"/>
  <c r="AI255" i="1"/>
  <c r="AJ244" i="1"/>
  <c r="AJ116" i="1"/>
  <c r="AI241" i="1"/>
  <c r="AI82" i="1"/>
  <c r="AI276" i="1"/>
  <c r="AI344" i="1"/>
  <c r="AI414" i="1"/>
  <c r="AJ61" i="1"/>
  <c r="AI141" i="1"/>
  <c r="AJ51" i="1"/>
  <c r="AJ24" i="1"/>
  <c r="X370" i="1"/>
  <c r="X268" i="1"/>
  <c r="W140" i="1"/>
  <c r="X449" i="1"/>
  <c r="X49" i="1"/>
  <c r="X438" i="1"/>
  <c r="W358" i="1"/>
  <c r="X447" i="1"/>
  <c r="X345" i="1"/>
  <c r="W435" i="1"/>
  <c r="W35" i="1"/>
  <c r="W217" i="1"/>
  <c r="W287" i="1"/>
  <c r="W163" i="1"/>
  <c r="X141" i="1"/>
  <c r="W187" i="1"/>
  <c r="W354" i="1"/>
  <c r="W447" i="1"/>
  <c r="X412" i="1"/>
  <c r="X231" i="1"/>
  <c r="W86" i="1"/>
  <c r="W461" i="1"/>
  <c r="X16" i="1"/>
  <c r="X182" i="1"/>
  <c r="X14" i="1"/>
  <c r="L310" i="1"/>
  <c r="L399" i="1"/>
  <c r="K486" i="1"/>
  <c r="K95" i="1"/>
  <c r="K190" i="1"/>
  <c r="L229" i="1"/>
  <c r="K186" i="1"/>
  <c r="K469" i="1"/>
  <c r="K149" i="1"/>
  <c r="L488" i="1"/>
  <c r="L128" i="1"/>
  <c r="K468" i="1"/>
  <c r="K148" i="1"/>
  <c r="K177" i="1"/>
  <c r="L245" i="1"/>
  <c r="L387" i="1"/>
  <c r="K197" i="1"/>
  <c r="L205" i="1"/>
  <c r="K132" i="1"/>
  <c r="L204" i="1"/>
  <c r="K92" i="1"/>
  <c r="K303" i="1"/>
  <c r="K392" i="1"/>
  <c r="L124" i="1"/>
  <c r="K152" i="1"/>
  <c r="L251" i="1"/>
  <c r="K273" i="1"/>
  <c r="L143" i="1"/>
  <c r="K401" i="1"/>
  <c r="L142" i="1"/>
  <c r="L413" i="1"/>
  <c r="AW7" i="1"/>
  <c r="CQ390" i="1"/>
  <c r="CR396" i="1"/>
  <c r="CR73" i="1"/>
  <c r="DD110" i="1"/>
  <c r="DC118" i="1"/>
  <c r="DD482" i="1"/>
  <c r="DO89" i="1"/>
  <c r="DO408" i="1"/>
  <c r="DP73" i="1"/>
  <c r="DP232" i="1"/>
  <c r="EB69" i="1"/>
  <c r="EA77" i="1"/>
  <c r="EB25" i="1"/>
  <c r="EB11" i="1"/>
  <c r="EB311" i="1"/>
  <c r="CE468" i="1"/>
  <c r="CF17" i="1"/>
  <c r="CE35" i="1"/>
  <c r="CF238" i="1"/>
  <c r="CF129" i="1"/>
  <c r="CE279" i="1"/>
  <c r="CE314" i="1"/>
  <c r="CE282" i="1"/>
  <c r="BT418" i="1"/>
  <c r="BT229" i="1"/>
  <c r="BT295" i="1"/>
  <c r="BS448" i="1"/>
  <c r="BT252" i="1"/>
  <c r="BT54" i="1"/>
  <c r="BS244" i="1"/>
  <c r="BT27" i="1"/>
  <c r="BS406" i="1"/>
  <c r="BT184" i="1"/>
  <c r="BG136" i="1"/>
  <c r="BG227" i="1"/>
  <c r="BH209" i="1"/>
  <c r="BG299" i="1"/>
  <c r="BH28" i="1"/>
  <c r="BH144" i="1"/>
  <c r="BG174" i="1"/>
  <c r="BG33" i="1"/>
  <c r="BG261" i="1"/>
  <c r="AV500" i="1"/>
  <c r="AV48" i="1"/>
  <c r="AV359" i="1"/>
  <c r="AU358" i="1"/>
  <c r="AU297" i="1"/>
  <c r="AU195" i="1"/>
  <c r="AV184" i="1"/>
  <c r="AV191" i="1"/>
  <c r="AU214" i="1"/>
  <c r="AU373" i="1"/>
  <c r="AU72" i="1"/>
  <c r="AU381" i="1"/>
  <c r="AI168" i="1"/>
  <c r="AI378" i="1"/>
  <c r="AJ367" i="1"/>
  <c r="AJ448" i="1"/>
  <c r="AJ365" i="1"/>
  <c r="AI115" i="1"/>
  <c r="AJ117" i="1"/>
  <c r="AJ296" i="1"/>
  <c r="AI127" i="1"/>
  <c r="AI224" i="1"/>
  <c r="AJ174" i="1"/>
  <c r="AJ252" i="1"/>
  <c r="AI452" i="1"/>
  <c r="X470" i="1"/>
  <c r="W480" i="1"/>
  <c r="X358" i="1"/>
  <c r="W459" i="1"/>
  <c r="X38" i="1"/>
  <c r="X487" i="1"/>
  <c r="X225" i="1"/>
  <c r="W75" i="1"/>
  <c r="W146" i="1"/>
  <c r="X436" i="1"/>
  <c r="X23" i="1"/>
  <c r="W71" i="1"/>
  <c r="W212" i="1"/>
  <c r="X174" i="1"/>
  <c r="X121" i="1"/>
  <c r="W441" i="1"/>
  <c r="X362" i="1"/>
  <c r="X132" i="1"/>
  <c r="L110" i="1"/>
  <c r="L96" i="1"/>
  <c r="K450" i="1"/>
  <c r="L389" i="1"/>
  <c r="L375" i="1"/>
  <c r="K249" i="1"/>
  <c r="L428" i="1"/>
  <c r="L456" i="1"/>
  <c r="K168" i="1"/>
  <c r="L316" i="1"/>
  <c r="L427" i="1"/>
  <c r="K57" i="1"/>
  <c r="L383" i="1"/>
  <c r="L493" i="1"/>
  <c r="K11" i="1"/>
  <c r="K141" i="1"/>
  <c r="L41" i="1"/>
  <c r="L351" i="1"/>
  <c r="K101" i="1"/>
  <c r="K311" i="1"/>
  <c r="L92" i="1"/>
  <c r="K464" i="1"/>
  <c r="L212" i="1"/>
  <c r="L323" i="1"/>
  <c r="K73" i="1"/>
  <c r="K133" i="1"/>
  <c r="CQ70" i="1"/>
  <c r="DD132" i="1"/>
  <c r="DO401" i="1"/>
  <c r="EB87" i="1"/>
  <c r="EB402" i="1"/>
  <c r="CE308" i="1"/>
  <c r="CF384" i="1"/>
  <c r="CF29" i="1"/>
  <c r="CF48" i="1"/>
  <c r="BT88" i="1"/>
  <c r="BT175" i="1"/>
  <c r="BT367" i="1"/>
  <c r="BS477" i="1"/>
  <c r="BS338" i="1"/>
  <c r="BH345" i="1"/>
  <c r="BG247" i="1"/>
  <c r="BG328" i="1"/>
  <c r="BH221" i="1"/>
  <c r="BG31" i="1"/>
  <c r="AU440" i="1"/>
  <c r="AU177" i="1"/>
  <c r="AU91" i="1"/>
  <c r="AU134" i="1"/>
  <c r="AU243" i="1"/>
  <c r="AJ397" i="1"/>
  <c r="AJ227" i="1"/>
  <c r="AJ245" i="1"/>
  <c r="AI487" i="1"/>
  <c r="AJ92" i="1"/>
  <c r="AI137" i="1"/>
  <c r="AJ12" i="1"/>
  <c r="W460" i="1"/>
  <c r="W439" i="1"/>
  <c r="X387" i="1"/>
  <c r="W55" i="1"/>
  <c r="X276" i="1"/>
  <c r="X443" i="1"/>
  <c r="W412" i="1"/>
  <c r="X184" i="1"/>
  <c r="W52" i="1"/>
  <c r="K386" i="1"/>
  <c r="L269" i="1"/>
  <c r="K229" i="1"/>
  <c r="L86" i="1"/>
  <c r="K336" i="1"/>
  <c r="L166" i="1"/>
  <c r="K441" i="1"/>
  <c r="L112" i="1"/>
  <c r="L301" i="1"/>
  <c r="K61" i="1"/>
  <c r="CR237" i="1"/>
  <c r="CR163" i="1"/>
  <c r="DD97" i="1"/>
  <c r="DC432" i="1"/>
  <c r="DP235" i="1"/>
  <c r="DO326" i="1"/>
  <c r="EB37" i="1"/>
  <c r="EA92" i="1"/>
  <c r="CE218" i="1"/>
  <c r="CF374" i="1"/>
  <c r="CF339" i="1"/>
  <c r="CE51" i="1"/>
  <c r="BS470" i="1"/>
  <c r="BT165" i="1"/>
  <c r="BS352" i="1"/>
  <c r="BS427" i="1"/>
  <c r="BS288" i="1"/>
  <c r="BG115" i="1"/>
  <c r="BH376" i="1"/>
  <c r="BG298" i="1"/>
  <c r="BG133" i="1"/>
  <c r="BH421" i="1"/>
  <c r="AU430" i="1"/>
  <c r="AU128" i="1"/>
  <c r="AU125" i="1"/>
  <c r="AU371" i="1"/>
  <c r="AU42" i="1"/>
  <c r="AJ500" i="1"/>
  <c r="AJ449" i="1"/>
  <c r="AJ398" i="1"/>
  <c r="AJ434" i="1"/>
  <c r="AI197" i="1"/>
  <c r="AI363" i="1"/>
  <c r="AI292" i="1"/>
  <c r="X360" i="1"/>
  <c r="X178" i="1"/>
  <c r="W468" i="1"/>
  <c r="BS479" i="1"/>
  <c r="AI311" i="1"/>
  <c r="X347" i="1"/>
  <c r="W454" i="1"/>
  <c r="W101" i="1"/>
  <c r="L30" i="1"/>
  <c r="L189" i="1"/>
  <c r="L388" i="1"/>
  <c r="K68" i="1"/>
  <c r="L327" i="1"/>
  <c r="K182" i="1"/>
  <c r="K493" i="1"/>
  <c r="L381" i="1"/>
  <c r="L194" i="1"/>
  <c r="L393" i="1"/>
  <c r="CR97" i="1"/>
  <c r="CR392" i="1"/>
  <c r="DC90" i="1"/>
  <c r="DC431" i="1"/>
  <c r="DO250" i="1"/>
  <c r="DP271" i="1"/>
  <c r="EA249" i="1"/>
  <c r="EB274" i="1"/>
  <c r="EA133" i="1"/>
  <c r="CE496" i="1"/>
  <c r="CE422" i="1"/>
  <c r="CE226" i="1"/>
  <c r="CE406" i="1"/>
  <c r="BS219" i="1"/>
  <c r="BS201" i="1"/>
  <c r="BS318" i="1"/>
  <c r="BT442" i="1"/>
  <c r="BH410" i="1"/>
  <c r="BH325" i="1"/>
  <c r="BG109" i="1"/>
  <c r="BH407" i="1"/>
  <c r="BH423" i="1"/>
  <c r="AV310" i="1"/>
  <c r="AV129" i="1"/>
  <c r="AV415" i="1"/>
  <c r="AU67" i="1"/>
  <c r="AV313" i="1"/>
  <c r="AV442" i="1"/>
  <c r="AI500" i="1"/>
  <c r="AI479" i="1"/>
  <c r="AJ195" i="1"/>
  <c r="AJ81" i="1"/>
  <c r="AI256" i="1"/>
  <c r="AJ231" i="1"/>
  <c r="AI307" i="1"/>
  <c r="W330" i="1"/>
  <c r="W379" i="1"/>
  <c r="X337" i="1"/>
  <c r="X434" i="1"/>
  <c r="X144" i="1"/>
  <c r="W434" i="1"/>
  <c r="W332" i="1"/>
  <c r="X46" i="1"/>
  <c r="W261" i="1"/>
  <c r="K106" i="1"/>
  <c r="L169" i="1"/>
  <c r="K139" i="1"/>
  <c r="L455" i="1"/>
  <c r="K206" i="1"/>
  <c r="K216" i="1"/>
  <c r="L253" i="1"/>
  <c r="L283" i="1"/>
  <c r="L101" i="1"/>
  <c r="K372" i="1"/>
  <c r="CR139" i="1"/>
  <c r="CR332" i="1"/>
  <c r="DC70" i="1"/>
  <c r="DC375" i="1"/>
  <c r="DO200" i="1"/>
  <c r="DP243" i="1"/>
  <c r="EA49" i="1"/>
  <c r="EB405" i="1"/>
  <c r="EB163" i="1"/>
  <c r="CE477" i="1"/>
  <c r="CE351" i="1"/>
  <c r="CE79" i="1"/>
  <c r="CE424" i="1"/>
  <c r="BS440" i="1"/>
  <c r="BT75" i="1"/>
  <c r="BS432" i="1"/>
  <c r="BS292" i="1"/>
  <c r="BT287" i="1"/>
  <c r="BH24" i="1"/>
  <c r="BH106" i="1"/>
  <c r="BG228" i="1"/>
  <c r="BG213" i="1"/>
  <c r="BG171" i="1"/>
  <c r="AU400" i="1"/>
  <c r="AV467" i="1"/>
  <c r="AV156" i="1"/>
  <c r="AV224" i="1"/>
  <c r="AV392" i="1"/>
  <c r="AJ390" i="1"/>
  <c r="AJ319" i="1"/>
  <c r="AJ288" i="1"/>
  <c r="AJ125" i="1"/>
  <c r="AI484" i="1"/>
  <c r="AI236" i="1"/>
  <c r="AI64" i="1"/>
  <c r="X270" i="1"/>
  <c r="X429" i="1"/>
  <c r="W398" i="1"/>
  <c r="X45" i="1"/>
  <c r="W174" i="1"/>
  <c r="X386" i="1"/>
  <c r="W413" i="1"/>
  <c r="W324" i="1"/>
  <c r="W51" i="1"/>
  <c r="L10" i="1"/>
  <c r="L69" i="1"/>
  <c r="K129" i="1"/>
  <c r="K488" i="1"/>
  <c r="K126" i="1"/>
  <c r="L402" i="1"/>
  <c r="K353" i="1"/>
  <c r="L73" i="1"/>
  <c r="L263" i="1"/>
  <c r="CQ273" i="1"/>
  <c r="DD28" i="1"/>
  <c r="DC221" i="1"/>
  <c r="DO325" i="1"/>
  <c r="EA39" i="1"/>
  <c r="EA211" i="1"/>
  <c r="CE357" i="1"/>
  <c r="CF349" i="1"/>
  <c r="CF379" i="1"/>
  <c r="BS389" i="1"/>
  <c r="BT247" i="1"/>
  <c r="BS71" i="1"/>
  <c r="BH310" i="1"/>
  <c r="BH76" i="1"/>
  <c r="BH197" i="1"/>
  <c r="BH23" i="1"/>
  <c r="AV89" i="1"/>
  <c r="AV295" i="1"/>
  <c r="AV222" i="1"/>
  <c r="AV372" i="1"/>
  <c r="AI460" i="1"/>
  <c r="AI319" i="1"/>
  <c r="AJ95" i="1"/>
  <c r="AI102" i="1"/>
  <c r="AI403" i="1"/>
  <c r="X260" i="1"/>
  <c r="X399" i="1"/>
  <c r="W348" i="1"/>
  <c r="X414" i="1"/>
  <c r="X12" i="1"/>
  <c r="W393" i="1"/>
  <c r="X164" i="1"/>
  <c r="L379" i="1"/>
  <c r="L49" i="1"/>
  <c r="L278" i="1"/>
  <c r="K76" i="1"/>
  <c r="K136" i="1"/>
  <c r="K281" i="1"/>
  <c r="L51" i="1"/>
  <c r="L141" i="1"/>
  <c r="CQ384" i="1"/>
  <c r="DD209" i="1"/>
  <c r="DP227" i="1"/>
  <c r="DO436" i="1"/>
  <c r="EA185" i="1"/>
  <c r="EA392" i="1"/>
  <c r="CE313" i="1"/>
  <c r="CF149" i="1"/>
  <c r="BS230" i="1"/>
  <c r="BS198" i="1"/>
  <c r="BS222" i="1"/>
  <c r="BH485" i="1"/>
  <c r="BH187" i="1"/>
  <c r="BG482" i="1"/>
  <c r="AV447" i="1"/>
  <c r="AU204" i="1"/>
  <c r="AU66" i="1"/>
  <c r="AJ259" i="1"/>
  <c r="AI455" i="1"/>
  <c r="AJ346" i="1"/>
  <c r="AJ402" i="1"/>
  <c r="X250" i="1"/>
  <c r="W129" i="1"/>
  <c r="W455" i="1"/>
  <c r="W496" i="1"/>
  <c r="W194" i="1"/>
  <c r="W382" i="1"/>
  <c r="L359" i="1"/>
  <c r="L29" i="1"/>
  <c r="L228" i="1"/>
  <c r="L325" i="1"/>
  <c r="K22" i="1"/>
  <c r="L404" i="1"/>
  <c r="K194" i="1"/>
  <c r="M7" i="1"/>
  <c r="CQ383" i="1"/>
  <c r="DP386" i="1"/>
  <c r="EA460" i="1"/>
  <c r="EB313" i="1"/>
  <c r="CE197" i="1"/>
  <c r="CF88" i="1"/>
  <c r="CE333" i="1"/>
  <c r="BS329" i="1"/>
  <c r="BT183" i="1"/>
  <c r="BT373" i="1"/>
  <c r="BG380" i="1"/>
  <c r="CQ170" i="1"/>
  <c r="CR376" i="1"/>
  <c r="CQ471" i="1"/>
  <c r="DC50" i="1"/>
  <c r="DC108" i="1"/>
  <c r="DD282" i="1"/>
  <c r="DO59" i="1"/>
  <c r="DO398" i="1"/>
  <c r="DP491" i="1"/>
  <c r="DO206" i="1"/>
  <c r="EA429" i="1"/>
  <c r="EB97" i="1"/>
  <c r="EA495" i="1"/>
  <c r="EA321" i="1"/>
  <c r="EA201" i="1"/>
  <c r="CE458" i="1"/>
  <c r="CE497" i="1"/>
  <c r="CF394" i="1"/>
  <c r="CE134" i="1"/>
  <c r="CF44" i="1"/>
  <c r="CF9" i="1"/>
  <c r="CE272" i="1"/>
  <c r="CE243" i="1"/>
  <c r="BT208" i="1"/>
  <c r="BT29" i="1"/>
  <c r="BT185" i="1"/>
  <c r="BT432" i="1"/>
  <c r="BS402" i="1"/>
  <c r="BS24" i="1"/>
  <c r="BT181" i="1"/>
  <c r="BS13" i="1"/>
  <c r="BS356" i="1"/>
  <c r="BS93" i="1"/>
  <c r="BG86" i="1"/>
  <c r="BH276" i="1"/>
  <c r="BH179" i="1"/>
  <c r="BG249" i="1"/>
  <c r="BG418" i="1"/>
  <c r="BH94" i="1"/>
  <c r="BG443" i="1"/>
  <c r="BG154" i="1"/>
  <c r="BG54" i="1"/>
  <c r="AV490" i="1"/>
  <c r="AU217" i="1"/>
  <c r="AV289" i="1"/>
  <c r="AU328" i="1"/>
  <c r="AU287" i="1"/>
  <c r="AU145" i="1"/>
  <c r="AV144" i="1"/>
  <c r="AV21" i="1"/>
  <c r="AU154" i="1"/>
  <c r="AU233" i="1"/>
  <c r="AU124" i="1"/>
  <c r="AU141" i="1"/>
  <c r="AI148" i="1"/>
  <c r="AI178" i="1"/>
  <c r="AJ267" i="1"/>
  <c r="AJ418" i="1"/>
  <c r="AJ255" i="1"/>
  <c r="AI85" i="1"/>
  <c r="AI27" i="1"/>
  <c r="AJ276" i="1"/>
  <c r="AJ182" i="1"/>
  <c r="AI24" i="1"/>
  <c r="AI122" i="1"/>
  <c r="AJ84" i="1"/>
  <c r="AI352" i="1"/>
  <c r="X460" i="1"/>
  <c r="W470" i="1"/>
  <c r="X288" i="1"/>
  <c r="W449" i="1"/>
  <c r="X18" i="1"/>
  <c r="X437" i="1"/>
  <c r="X195" i="1"/>
  <c r="W65" i="1"/>
  <c r="W131" i="1"/>
  <c r="X376" i="1"/>
  <c r="X371" i="1"/>
  <c r="W424" i="1"/>
  <c r="W154" i="1"/>
  <c r="W157" i="1"/>
  <c r="X71" i="1"/>
  <c r="W64" i="1"/>
  <c r="X202" i="1"/>
  <c r="W202" i="1"/>
  <c r="L100" i="1"/>
  <c r="K426" i="1"/>
  <c r="K440" i="1"/>
  <c r="L369" i="1"/>
  <c r="L335" i="1"/>
  <c r="K239" i="1"/>
  <c r="L418" i="1"/>
  <c r="L206" i="1"/>
  <c r="K138" i="1"/>
  <c r="L276" i="1"/>
  <c r="L417" i="1"/>
  <c r="K27" i="1"/>
  <c r="K354" i="1"/>
  <c r="K442" i="1"/>
  <c r="L363" i="1"/>
  <c r="L64" i="1"/>
  <c r="CR397" i="1"/>
  <c r="CQ292" i="1"/>
  <c r="DD118" i="1"/>
  <c r="DC18" i="1"/>
  <c r="DO29" i="1"/>
  <c r="DO178" i="1"/>
  <c r="DO64" i="1"/>
  <c r="EA289" i="1"/>
  <c r="EA415" i="1"/>
  <c r="EA101" i="1"/>
  <c r="CE367" i="1"/>
  <c r="CF328" i="1"/>
  <c r="CF271" i="1"/>
  <c r="CE281" i="1"/>
  <c r="BT19" i="1"/>
  <c r="BS316" i="1"/>
  <c r="BS474" i="1"/>
  <c r="BT462" i="1"/>
  <c r="BT107" i="1"/>
  <c r="BG396" i="1"/>
  <c r="BG239" i="1"/>
  <c r="BH44" i="1"/>
  <c r="BH71" i="1"/>
  <c r="AV380" i="1"/>
  <c r="AV279" i="1"/>
  <c r="AU138" i="1"/>
  <c r="AU135" i="1"/>
  <c r="AU451" i="1"/>
  <c r="AU133" i="1"/>
  <c r="AV121" i="1"/>
  <c r="AJ459" i="1"/>
  <c r="AJ408" i="1"/>
  <c r="AJ444" i="1"/>
  <c r="AJ256" i="1"/>
  <c r="AI114" i="1"/>
  <c r="AI32" i="1"/>
  <c r="X410" i="1"/>
  <c r="X228" i="1"/>
  <c r="W498" i="1"/>
  <c r="X85" i="1"/>
  <c r="W13" i="1"/>
  <c r="X331" i="1"/>
  <c r="X426" i="1"/>
  <c r="W486" i="1"/>
  <c r="X281" i="1"/>
  <c r="L50" i="1"/>
  <c r="K350" i="1"/>
  <c r="L295" i="1"/>
  <c r="L408" i="1"/>
  <c r="K88" i="1"/>
  <c r="L407" i="1"/>
  <c r="K232" i="1"/>
  <c r="L182" i="1"/>
  <c r="L332" i="1"/>
  <c r="K51" i="1"/>
  <c r="L42" i="1"/>
  <c r="CR188" i="1"/>
  <c r="DD56" i="1"/>
  <c r="DO300" i="1"/>
  <c r="DO351" i="1"/>
  <c r="EA279" i="1"/>
  <c r="EA295" i="1"/>
  <c r="EA472" i="1"/>
  <c r="CE187" i="1"/>
  <c r="CF309" i="1"/>
  <c r="CE42" i="1"/>
  <c r="CE242" i="1"/>
  <c r="BT9" i="1"/>
  <c r="BS298" i="1"/>
  <c r="BS392" i="1"/>
  <c r="BS196" i="1"/>
  <c r="BH450" i="1"/>
  <c r="BG336" i="1"/>
  <c r="BG169" i="1"/>
  <c r="BH427" i="1"/>
  <c r="BH211" i="1"/>
  <c r="AV370" i="1"/>
  <c r="AV229" i="1"/>
  <c r="AV455" i="1"/>
  <c r="AU87" i="1"/>
  <c r="AU43" i="1"/>
  <c r="AU203" i="1"/>
  <c r="AJ387" i="1"/>
  <c r="AJ207" i="1"/>
  <c r="AJ235" i="1"/>
  <c r="AI346" i="1"/>
  <c r="AI496" i="1"/>
  <c r="AJ31" i="1"/>
  <c r="AJ431" i="1"/>
  <c r="W450" i="1"/>
  <c r="W429" i="1"/>
  <c r="X357" i="1"/>
  <c r="X75" i="1"/>
  <c r="W25" i="1"/>
  <c r="W476" i="1"/>
  <c r="X256" i="1"/>
  <c r="X271" i="1"/>
  <c r="X263" i="1"/>
  <c r="X36" i="1"/>
  <c r="W392" i="1"/>
  <c r="W21" i="1"/>
  <c r="X183" i="1"/>
  <c r="X64" i="1"/>
  <c r="W262" i="1"/>
  <c r="L40" i="1"/>
  <c r="K346" i="1"/>
  <c r="K340" i="1"/>
  <c r="L209" i="1"/>
  <c r="L265" i="1"/>
  <c r="K219" i="1"/>
  <c r="L398" i="1"/>
  <c r="K456" i="1"/>
  <c r="K78" i="1"/>
  <c r="K286" i="1"/>
  <c r="L377" i="1"/>
  <c r="L126" i="1"/>
  <c r="K204" i="1"/>
  <c r="L411" i="1"/>
  <c r="L32" i="1"/>
  <c r="L34" i="1"/>
  <c r="K404" i="1"/>
  <c r="L151" i="1"/>
  <c r="K23" i="1"/>
  <c r="L482" i="1"/>
  <c r="L422" i="1"/>
  <c r="CR98" i="1"/>
  <c r="CR227" i="1"/>
  <c r="CQ286" i="1"/>
  <c r="DC476" i="1"/>
  <c r="DD245" i="1"/>
  <c r="DC32" i="1"/>
  <c r="DO260" i="1"/>
  <c r="DP225" i="1"/>
  <c r="DP293" i="1"/>
  <c r="DO183" i="1"/>
  <c r="EA259" i="1"/>
  <c r="EA267" i="1"/>
  <c r="EA275" i="1"/>
  <c r="EA64" i="1"/>
  <c r="EA212" i="1"/>
  <c r="CE208" i="1"/>
  <c r="CF486" i="1"/>
  <c r="CF284" i="1"/>
  <c r="CE441" i="1"/>
  <c r="CE249" i="1"/>
  <c r="CF482" i="1"/>
  <c r="CE361" i="1"/>
  <c r="CE14" i="1"/>
  <c r="BS460" i="1"/>
  <c r="BT115" i="1"/>
  <c r="BT282" i="1"/>
  <c r="BS284" i="1"/>
  <c r="BS303" i="1"/>
  <c r="BS277" i="1"/>
  <c r="BT102" i="1"/>
  <c r="BT36" i="1"/>
  <c r="BH440" i="1"/>
  <c r="BH194" i="1"/>
  <c r="BG296" i="1"/>
  <c r="BH176" i="1"/>
  <c r="BG119" i="1"/>
  <c r="BG288" i="1"/>
  <c r="BH417" i="1"/>
  <c r="BG51" i="1"/>
  <c r="BH93" i="1"/>
  <c r="BH383" i="1"/>
  <c r="AV360" i="1"/>
  <c r="AU420" i="1"/>
  <c r="AV159" i="1"/>
  <c r="AU58" i="1"/>
  <c r="AV445" i="1"/>
  <c r="AV436" i="1"/>
  <c r="AU71" i="1"/>
  <c r="AU311" i="1"/>
  <c r="AU24" i="1"/>
  <c r="AU23" i="1"/>
  <c r="AU143" i="1"/>
  <c r="AJ410" i="1"/>
  <c r="AJ17" i="1"/>
  <c r="AJ439" i="1"/>
  <c r="AJ27" i="1"/>
  <c r="AJ308" i="1"/>
  <c r="AJ225" i="1"/>
  <c r="AJ424" i="1"/>
  <c r="AI266" i="1"/>
  <c r="AI476" i="1"/>
  <c r="AI303" i="1"/>
  <c r="AJ391" i="1"/>
  <c r="AI12" i="1"/>
  <c r="AI154" i="1"/>
  <c r="X350" i="1"/>
  <c r="W340" i="1"/>
  <c r="X469" i="1"/>
  <c r="W419" i="1"/>
  <c r="W458" i="1"/>
  <c r="X65" i="1"/>
  <c r="X444" i="1"/>
  <c r="W492" i="1"/>
  <c r="X236" i="1"/>
  <c r="W331" i="1"/>
  <c r="W406" i="1"/>
  <c r="W372" i="1"/>
  <c r="W464" i="1"/>
  <c r="X201" i="1"/>
  <c r="X341" i="1"/>
  <c r="K166" i="1"/>
  <c r="K290" i="1"/>
  <c r="K345" i="1"/>
  <c r="K169" i="1"/>
  <c r="K156" i="1"/>
  <c r="K246" i="1"/>
  <c r="K256" i="1"/>
  <c r="L281" i="1"/>
  <c r="L443" i="1"/>
  <c r="L123" i="1"/>
  <c r="K453" i="1"/>
  <c r="CR106" i="1"/>
  <c r="DC435" i="1"/>
  <c r="DP215" i="1"/>
  <c r="EB390" i="1"/>
  <c r="EA176" i="1"/>
  <c r="EA42" i="1"/>
  <c r="CE128" i="1"/>
  <c r="CF403" i="1"/>
  <c r="CE94" i="1"/>
  <c r="CF471" i="1"/>
  <c r="BS450" i="1"/>
  <c r="BT105" i="1"/>
  <c r="BS467" i="1"/>
  <c r="BS163" i="1"/>
  <c r="BT337" i="1"/>
  <c r="BH64" i="1"/>
  <c r="BH136" i="1"/>
  <c r="BG238" i="1"/>
  <c r="BH442" i="1"/>
  <c r="BG194" i="1"/>
  <c r="AU410" i="1"/>
  <c r="AV477" i="1"/>
  <c r="AV376" i="1"/>
  <c r="AV226" i="1"/>
  <c r="AV472" i="1"/>
  <c r="AJ400" i="1"/>
  <c r="AJ369" i="1"/>
  <c r="AJ298" i="1"/>
  <c r="AJ374" i="1"/>
  <c r="AI231" i="1"/>
  <c r="AI263" i="1"/>
  <c r="AI391" i="1"/>
  <c r="X340" i="1"/>
  <c r="X439" i="1"/>
  <c r="W448" i="1"/>
  <c r="X55" i="1"/>
  <c r="W272" i="1"/>
  <c r="W271" i="1"/>
  <c r="X403" i="1"/>
  <c r="W364" i="1"/>
  <c r="X116" i="1"/>
  <c r="L20" i="1"/>
  <c r="K280" i="1"/>
  <c r="K305" i="1"/>
  <c r="L378" i="1"/>
  <c r="K58" i="1"/>
  <c r="L317" i="1"/>
  <c r="K104" i="1"/>
  <c r="L382" i="1"/>
  <c r="K352" i="1"/>
  <c r="L172" i="1"/>
  <c r="K371" i="1"/>
  <c r="CR62" i="1"/>
  <c r="DC303" i="1"/>
  <c r="DO375" i="1"/>
  <c r="EB310" i="1"/>
  <c r="EB391" i="1"/>
  <c r="EB444" i="1"/>
  <c r="CE476" i="1"/>
  <c r="CF368" i="1"/>
  <c r="CE191" i="1"/>
  <c r="CF13" i="1"/>
  <c r="BS439" i="1"/>
  <c r="BS62" i="1"/>
  <c r="BS268" i="1"/>
  <c r="BS157" i="1"/>
  <c r="BH320" i="1"/>
  <c r="BH275" i="1"/>
  <c r="BG99" i="1"/>
  <c r="BH397" i="1"/>
  <c r="BG331" i="1"/>
  <c r="AV160" i="1"/>
  <c r="AV119" i="1"/>
  <c r="AV325" i="1"/>
  <c r="AV13" i="1"/>
  <c r="AU74" i="1"/>
  <c r="AV262" i="1"/>
  <c r="AI490" i="1"/>
  <c r="AI349" i="1"/>
  <c r="AJ324" i="1"/>
  <c r="AI173" i="1"/>
  <c r="AJ102" i="1"/>
  <c r="AI207" i="1"/>
  <c r="W260" i="1"/>
  <c r="W209" i="1"/>
  <c r="X327" i="1"/>
  <c r="X424" i="1"/>
  <c r="X62" i="1"/>
  <c r="W414" i="1"/>
  <c r="X391" i="1"/>
  <c r="X481" i="1"/>
  <c r="L430" i="1"/>
  <c r="K66" i="1"/>
  <c r="K105" i="1"/>
  <c r="L288" i="1"/>
  <c r="K48" i="1"/>
  <c r="K176" i="1"/>
  <c r="L31" i="1"/>
  <c r="K324" i="1"/>
  <c r="L94" i="1"/>
  <c r="CR129" i="1"/>
  <c r="DD467" i="1"/>
  <c r="DO190" i="1"/>
  <c r="DO392" i="1"/>
  <c r="EB235" i="1"/>
  <c r="EA173" i="1"/>
  <c r="CF445" i="1"/>
  <c r="CE62" i="1"/>
  <c r="BT460" i="1"/>
  <c r="BS365" i="1"/>
  <c r="BS81" i="1"/>
  <c r="BS272" i="1"/>
  <c r="BH215" i="1"/>
  <c r="BG78" i="1"/>
  <c r="BG293" i="1"/>
  <c r="AU230" i="1"/>
  <c r="AV136" i="1"/>
  <c r="AU423" i="1"/>
  <c r="AJ380" i="1"/>
  <c r="AJ258" i="1"/>
  <c r="AI324" i="1"/>
  <c r="AJ202" i="1"/>
  <c r="AJ134" i="1"/>
  <c r="W199" i="1"/>
  <c r="X35" i="1"/>
  <c r="X346" i="1"/>
  <c r="X351" i="1"/>
  <c r="W481" i="1"/>
  <c r="K26" i="1"/>
  <c r="K75" i="1"/>
  <c r="K458" i="1"/>
  <c r="L297" i="1"/>
  <c r="L373" i="1"/>
  <c r="K302" i="1"/>
  <c r="K321" i="1"/>
  <c r="CQ111" i="1"/>
  <c r="DD457" i="1"/>
  <c r="DO275" i="1"/>
  <c r="EB208" i="1"/>
  <c r="EA402" i="1"/>
  <c r="CE337" i="1"/>
  <c r="CE259" i="1"/>
  <c r="CF104" i="1"/>
  <c r="BS379" i="1"/>
  <c r="BS446" i="1"/>
  <c r="BT451" i="1"/>
  <c r="BT391" i="1"/>
  <c r="BH300" i="1"/>
  <c r="BH165" i="1"/>
  <c r="BH468" i="1"/>
  <c r="BH241" i="1"/>
  <c r="AV140" i="1"/>
  <c r="AV228" i="1"/>
  <c r="AV285" i="1"/>
  <c r="AU202" i="1"/>
  <c r="AU172" i="1"/>
  <c r="AI450" i="1"/>
  <c r="AJ168" i="1"/>
  <c r="AJ323" i="1"/>
  <c r="AJ146" i="1"/>
  <c r="AJ63" i="1"/>
  <c r="X349" i="1"/>
  <c r="X207" i="1"/>
  <c r="X291" i="1"/>
  <c r="W234" i="1"/>
  <c r="X343" i="1"/>
  <c r="L410" i="1"/>
  <c r="K250" i="1"/>
  <c r="K69" i="1"/>
  <c r="L47" i="1"/>
  <c r="K86" i="1"/>
  <c r="K253" i="1"/>
  <c r="K274" i="1"/>
  <c r="K221" i="1"/>
  <c r="CR29" i="1"/>
  <c r="DD107" i="1"/>
  <c r="DO466" i="1"/>
  <c r="EA165" i="1"/>
  <c r="CF450" i="1"/>
  <c r="CE294" i="1"/>
  <c r="CF389" i="1"/>
  <c r="BS120" i="1"/>
  <c r="BS12" i="1"/>
  <c r="BS21" i="1"/>
  <c r="BH230" i="1"/>
  <c r="AI262" i="1"/>
  <c r="K270" i="1"/>
  <c r="L307" i="1"/>
  <c r="L111" i="1"/>
  <c r="K343" i="1"/>
  <c r="CR143" i="1"/>
  <c r="EB300" i="1"/>
  <c r="EB382" i="1"/>
  <c r="CE332" i="1"/>
  <c r="CE151" i="1"/>
  <c r="BS430" i="1"/>
  <c r="BS46" i="1"/>
  <c r="BT441" i="1"/>
  <c r="BG414" i="1"/>
  <c r="BG29" i="1"/>
  <c r="BG72" i="1"/>
  <c r="AV150" i="1"/>
  <c r="AV457" i="1"/>
  <c r="AV164" i="1"/>
  <c r="AV182" i="1"/>
  <c r="AJ269" i="1"/>
  <c r="AJ314" i="1"/>
  <c r="AI181" i="1"/>
  <c r="AI406" i="1"/>
  <c r="W250" i="1"/>
  <c r="X317" i="1"/>
  <c r="X471" i="1"/>
  <c r="W334" i="1"/>
  <c r="W284" i="1"/>
  <c r="L420" i="1"/>
  <c r="K260" i="1"/>
  <c r="K119" i="1"/>
  <c r="K38" i="1"/>
  <c r="K322" i="1"/>
  <c r="L442" i="1"/>
  <c r="L72" i="1"/>
  <c r="CR119" i="1"/>
  <c r="DC242" i="1"/>
  <c r="EB140" i="1"/>
  <c r="EB191" i="1"/>
  <c r="CF435" i="1"/>
  <c r="CE44" i="1"/>
  <c r="BT370" i="1"/>
  <c r="BS295" i="1"/>
  <c r="BT23" i="1"/>
  <c r="BG384" i="1"/>
  <c r="BG68" i="1"/>
  <c r="BG262" i="1"/>
  <c r="AU220" i="1"/>
  <c r="AU117" i="1"/>
  <c r="AV362" i="1"/>
  <c r="AJ370" i="1"/>
  <c r="AI309" i="1"/>
  <c r="AJ304" i="1"/>
  <c r="AI162" i="1"/>
  <c r="AI433" i="1"/>
  <c r="W240" i="1"/>
  <c r="W338" i="1"/>
  <c r="X404" i="1"/>
  <c r="X306" i="1"/>
  <c r="X311" i="1"/>
  <c r="W401" i="1"/>
  <c r="L135" i="1"/>
  <c r="K15" i="1"/>
  <c r="K448" i="1"/>
  <c r="L287" i="1"/>
  <c r="L22" i="1"/>
  <c r="L23" i="1"/>
  <c r="L13" i="1"/>
  <c r="CQ324" i="1"/>
  <c r="DD69" i="1"/>
  <c r="DC61" i="1"/>
  <c r="DO155" i="1"/>
  <c r="EB198" i="1"/>
  <c r="EB113" i="1"/>
  <c r="CF405" i="1"/>
  <c r="CE12" i="1"/>
  <c r="BT360" i="1"/>
  <c r="BS245" i="1"/>
  <c r="BT401" i="1"/>
  <c r="BT204" i="1"/>
  <c r="BH264" i="1"/>
  <c r="CR19" i="1"/>
  <c r="CQ14" i="1"/>
  <c r="CR22" i="1"/>
  <c r="DD59" i="1"/>
  <c r="DD87" i="1"/>
  <c r="DC382" i="1"/>
  <c r="DO429" i="1"/>
  <c r="DP264" i="1"/>
  <c r="DO366" i="1"/>
  <c r="EA370" i="1"/>
  <c r="EB118" i="1"/>
  <c r="EA115" i="1"/>
  <c r="EA313" i="1"/>
  <c r="EB203" i="1"/>
  <c r="CF440" i="1"/>
  <c r="CE177" i="1"/>
  <c r="CF265" i="1"/>
  <c r="CE139" i="1"/>
  <c r="CE474" i="1"/>
  <c r="CF111" i="1"/>
  <c r="CE343" i="1"/>
  <c r="CF462" i="1"/>
  <c r="BT330" i="1"/>
  <c r="BS90" i="1"/>
  <c r="BS209" i="1"/>
  <c r="BS235" i="1"/>
  <c r="BT493" i="1"/>
  <c r="BT167" i="1"/>
  <c r="BT351" i="1"/>
  <c r="BS471" i="1"/>
  <c r="BS357" i="1"/>
  <c r="BT453" i="1"/>
  <c r="BH50" i="1"/>
  <c r="BG370" i="1"/>
  <c r="BH224" i="1"/>
  <c r="BH185" i="1"/>
  <c r="BH428" i="1"/>
  <c r="BG28" i="1"/>
  <c r="BH47" i="1"/>
  <c r="BH271" i="1"/>
  <c r="BG224" i="1"/>
  <c r="BG321" i="1"/>
  <c r="AU489" i="1"/>
  <c r="AU180" i="1"/>
  <c r="AV108" i="1"/>
  <c r="AV307" i="1"/>
  <c r="AV105" i="1"/>
  <c r="AV44" i="1"/>
  <c r="AU47" i="1"/>
  <c r="AV483" i="1"/>
  <c r="AV333" i="1"/>
  <c r="AU112" i="1"/>
  <c r="AV83" i="1"/>
  <c r="AJ190" i="1"/>
  <c r="AI370" i="1"/>
  <c r="AJ239" i="1"/>
  <c r="AI289" i="1"/>
  <c r="AJ148" i="1"/>
  <c r="AI435" i="1"/>
  <c r="AI417" i="1"/>
  <c r="AJ131" i="1"/>
  <c r="AJ226" i="1"/>
  <c r="AJ331" i="1"/>
  <c r="AI221" i="1"/>
  <c r="AJ493" i="1"/>
  <c r="AI393" i="1"/>
  <c r="AI152" i="1"/>
  <c r="X130" i="1"/>
  <c r="W220" i="1"/>
  <c r="X329" i="1"/>
  <c r="W69" i="1"/>
  <c r="W258" i="1"/>
  <c r="X465" i="1"/>
  <c r="W415" i="1"/>
  <c r="X264" i="1"/>
  <c r="X87" i="1"/>
  <c r="W436" i="1"/>
  <c r="X226" i="1"/>
  <c r="W162" i="1"/>
  <c r="X124" i="1"/>
  <c r="W371" i="1"/>
  <c r="W47" i="1"/>
  <c r="W82" i="1"/>
  <c r="X147" i="1"/>
  <c r="L350" i="1"/>
  <c r="L319" i="1"/>
  <c r="L15" i="1"/>
  <c r="K170" i="1"/>
  <c r="L256" i="1"/>
  <c r="L444" i="1"/>
  <c r="K49" i="1"/>
  <c r="L208" i="1"/>
  <c r="K388" i="1"/>
  <c r="K427" i="1"/>
  <c r="L165" i="1"/>
  <c r="L147" i="1"/>
  <c r="L275" i="1"/>
  <c r="L271" i="1"/>
  <c r="K244" i="1"/>
  <c r="K131" i="1"/>
  <c r="L352" i="1"/>
  <c r="K102" i="1"/>
  <c r="L133" i="1"/>
  <c r="K483" i="1"/>
  <c r="K171" i="1"/>
  <c r="K444" i="1"/>
  <c r="BU7" i="1"/>
  <c r="DO194" i="1"/>
  <c r="BH343" i="1"/>
  <c r="AV273" i="1"/>
  <c r="AJ79" i="1"/>
  <c r="AI375" i="1"/>
  <c r="AJ204" i="1"/>
  <c r="AI494" i="1"/>
  <c r="AI157" i="1"/>
  <c r="X110" i="1"/>
  <c r="X189" i="1"/>
  <c r="W238" i="1"/>
  <c r="W335" i="1"/>
  <c r="X191" i="1"/>
  <c r="W306" i="1"/>
  <c r="X92" i="1"/>
  <c r="X401" i="1"/>
  <c r="W463" i="1"/>
  <c r="L199" i="1"/>
  <c r="K150" i="1"/>
  <c r="K449" i="1"/>
  <c r="L188" i="1"/>
  <c r="K387" i="1"/>
  <c r="K467" i="1"/>
  <c r="K213" i="1"/>
  <c r="K81" i="1"/>
  <c r="K52" i="1"/>
  <c r="K292" i="1"/>
  <c r="L62" i="1"/>
  <c r="CQ328" i="1"/>
  <c r="CQ381" i="1"/>
  <c r="DC489" i="1"/>
  <c r="DD72" i="1"/>
  <c r="DO277" i="1"/>
  <c r="DO174" i="1"/>
  <c r="EA455" i="1"/>
  <c r="EA421" i="1"/>
  <c r="CF110" i="1"/>
  <c r="CF105" i="1"/>
  <c r="CE413" i="1"/>
  <c r="CE262" i="1"/>
  <c r="BT200" i="1"/>
  <c r="BT488" i="1"/>
  <c r="BS426" i="1"/>
  <c r="BT263" i="1"/>
  <c r="BS423" i="1"/>
  <c r="BG177" i="1"/>
  <c r="BH459" i="1"/>
  <c r="BH278" i="1"/>
  <c r="BG345" i="1"/>
  <c r="BG101" i="1"/>
  <c r="AU259" i="1"/>
  <c r="AV468" i="1"/>
  <c r="AV15" i="1"/>
  <c r="AU63" i="1"/>
  <c r="AV253" i="1"/>
  <c r="AV141" i="1"/>
  <c r="AI280" i="1"/>
  <c r="AI159" i="1"/>
  <c r="AI365" i="1"/>
  <c r="AI342" i="1"/>
  <c r="AJ153" i="1"/>
  <c r="AJ313" i="1"/>
  <c r="AI186" i="1"/>
  <c r="W90" i="1"/>
  <c r="X428" i="1"/>
  <c r="X435" i="1"/>
  <c r="W437" i="1"/>
  <c r="W144" i="1"/>
  <c r="X111" i="1"/>
  <c r="W231" i="1"/>
  <c r="W361" i="1"/>
  <c r="L300" i="1"/>
  <c r="K205" i="1"/>
  <c r="K439" i="1"/>
  <c r="L118" i="1"/>
  <c r="K367" i="1"/>
  <c r="K417" i="1"/>
  <c r="K91" i="1"/>
  <c r="K53" i="1"/>
  <c r="K24" i="1"/>
  <c r="K451" i="1"/>
  <c r="L261" i="1"/>
  <c r="CQ128" i="1"/>
  <c r="CQ12" i="1"/>
  <c r="DD44" i="1"/>
  <c r="DO247" i="1"/>
  <c r="DO364" i="1"/>
  <c r="EA318" i="1"/>
  <c r="EB194" i="1"/>
  <c r="CF70" i="1"/>
  <c r="CE455" i="1"/>
  <c r="CE394" i="1"/>
  <c r="CE223" i="1"/>
  <c r="BT190" i="1"/>
  <c r="BT495" i="1"/>
  <c r="BS376" i="1"/>
  <c r="BS247" i="1"/>
  <c r="BS341" i="1"/>
  <c r="BG127" i="1"/>
  <c r="BH449" i="1"/>
  <c r="BH248" i="1"/>
  <c r="BG394" i="1"/>
  <c r="BG272" i="1"/>
  <c r="AU29" i="1"/>
  <c r="AV328" i="1"/>
  <c r="AU435" i="1"/>
  <c r="AU44" i="1"/>
  <c r="AV391" i="1"/>
  <c r="AV321" i="1"/>
  <c r="AI190" i="1"/>
  <c r="AI149" i="1"/>
  <c r="AI315" i="1"/>
  <c r="AI222" i="1"/>
  <c r="AJ101" i="1"/>
  <c r="AJ104" i="1"/>
  <c r="AI422" i="1"/>
  <c r="W80" i="1"/>
  <c r="X418" i="1"/>
  <c r="X425" i="1"/>
  <c r="W417" i="1"/>
  <c r="X213" i="1"/>
  <c r="X433" i="1"/>
  <c r="W173" i="1"/>
  <c r="W263" i="1"/>
  <c r="L250" i="1"/>
  <c r="K165" i="1"/>
  <c r="K366" i="1"/>
  <c r="L466" i="1"/>
  <c r="K268" i="1"/>
  <c r="K295" i="1"/>
  <c r="K325" i="1"/>
  <c r="L163" i="1"/>
  <c r="L252" i="1"/>
  <c r="K374" i="1"/>
  <c r="L371" i="1"/>
  <c r="CQ78" i="1"/>
  <c r="CQ341" i="1"/>
  <c r="DD491" i="1"/>
  <c r="DP318" i="1"/>
  <c r="DP411" i="1"/>
  <c r="EA288" i="1"/>
  <c r="EB72" i="1"/>
  <c r="CE450" i="1"/>
  <c r="CF311" i="1"/>
  <c r="CF301" i="1"/>
  <c r="BS319" i="1"/>
  <c r="BT485" i="1"/>
  <c r="BS492" i="1"/>
  <c r="BT74" i="1"/>
  <c r="BT256" i="1"/>
  <c r="BG67" i="1"/>
  <c r="BH359" i="1"/>
  <c r="BH138" i="1"/>
  <c r="BH363" i="1"/>
  <c r="BG491" i="1"/>
  <c r="AV458" i="1"/>
  <c r="AV68" i="1"/>
  <c r="AU405" i="1"/>
  <c r="AU26" i="1"/>
  <c r="AU426" i="1"/>
  <c r="AV461" i="1"/>
  <c r="AI180" i="1"/>
  <c r="AI99" i="1"/>
  <c r="AI245" i="1"/>
  <c r="AI131" i="1"/>
  <c r="AI191" i="1"/>
  <c r="AJ86" i="1"/>
  <c r="AI282" i="1"/>
  <c r="W70" i="1"/>
  <c r="X408" i="1"/>
  <c r="X335" i="1"/>
  <c r="W397" i="1"/>
  <c r="X161" i="1"/>
  <c r="X393" i="1"/>
  <c r="X122" i="1"/>
  <c r="X342" i="1"/>
  <c r="L240" i="1"/>
  <c r="K25" i="1"/>
  <c r="K316" i="1"/>
  <c r="L186" i="1"/>
  <c r="K127" i="1"/>
  <c r="K377" i="1"/>
  <c r="K84" i="1"/>
  <c r="L221" i="1"/>
  <c r="L291" i="1"/>
  <c r="K351" i="1"/>
  <c r="L342" i="1"/>
  <c r="CQ68" i="1"/>
  <c r="DC329" i="1"/>
  <c r="DC414" i="1"/>
  <c r="DO202" i="1"/>
  <c r="EB239" i="1"/>
  <c r="EA376" i="1"/>
  <c r="EA262" i="1"/>
  <c r="CF307" i="1"/>
  <c r="CF359" i="1"/>
  <c r="CE106" i="1"/>
  <c r="BS279" i="1"/>
  <c r="BS35" i="1"/>
  <c r="BT377" i="1"/>
  <c r="BT496" i="1"/>
  <c r="BT142" i="1"/>
  <c r="BH89" i="1"/>
  <c r="BG459" i="1"/>
  <c r="BH75" i="1"/>
  <c r="BG311" i="1"/>
  <c r="BH273" i="1"/>
  <c r="AV499" i="1"/>
  <c r="AU437" i="1"/>
  <c r="AU56" i="1"/>
  <c r="AU482" i="1"/>
  <c r="AU326" i="1"/>
  <c r="AJ30" i="1"/>
  <c r="AI358" i="1"/>
  <c r="AJ445" i="1"/>
  <c r="AJ451" i="1"/>
  <c r="AI323" i="1"/>
  <c r="AI177" i="1"/>
  <c r="AJ212" i="1"/>
  <c r="X10" i="1"/>
  <c r="X89" i="1"/>
  <c r="W98" i="1"/>
  <c r="W175" i="1"/>
  <c r="X171" i="1"/>
  <c r="X84" i="1"/>
  <c r="X372" i="1"/>
  <c r="X461" i="1"/>
  <c r="W222" i="1"/>
  <c r="L426" i="1"/>
  <c r="L469" i="1"/>
  <c r="K369" i="1"/>
  <c r="L88" i="1"/>
  <c r="K97" i="1"/>
  <c r="K357" i="1"/>
  <c r="K391" i="1"/>
  <c r="L93" i="1"/>
  <c r="K183" i="1"/>
  <c r="K421" i="1"/>
  <c r="K261" i="1"/>
  <c r="CQ262" i="1"/>
  <c r="DD500" i="1"/>
  <c r="DC444" i="1"/>
  <c r="DP188" i="1"/>
  <c r="DO91" i="1"/>
  <c r="EA28" i="1"/>
  <c r="EA291" i="1"/>
  <c r="EA183" i="1"/>
  <c r="CF277" i="1"/>
  <c r="CE311" i="1"/>
  <c r="CE61" i="1"/>
  <c r="CF413" i="1"/>
  <c r="BT379" i="1"/>
  <c r="BT474" i="1"/>
  <c r="BT393" i="1"/>
  <c r="BS481" i="1"/>
  <c r="BS433" i="1"/>
  <c r="BH19" i="1"/>
  <c r="BG429" i="1"/>
  <c r="BH35" i="1"/>
  <c r="BH371" i="1"/>
  <c r="BH72" i="1"/>
  <c r="AV489" i="1"/>
  <c r="AU427" i="1"/>
  <c r="AV92" i="1"/>
  <c r="AU362" i="1"/>
  <c r="AV34" i="1"/>
  <c r="AI268" i="1"/>
  <c r="AI328" i="1"/>
  <c r="AJ395" i="1"/>
  <c r="AJ371" i="1"/>
  <c r="AI132" i="1"/>
  <c r="AJ123" i="1"/>
  <c r="AJ156" i="1"/>
  <c r="X238" i="1"/>
  <c r="X79" i="1"/>
  <c r="W68" i="1"/>
  <c r="W165" i="1"/>
  <c r="W103" i="1"/>
  <c r="X17" i="1"/>
  <c r="X352" i="1"/>
  <c r="X146" i="1"/>
  <c r="X301" i="1"/>
  <c r="L396" i="1"/>
  <c r="L449" i="1"/>
  <c r="K359" i="1"/>
  <c r="L78" i="1"/>
  <c r="K67" i="1"/>
  <c r="K147" i="1"/>
  <c r="L311" i="1"/>
  <c r="K314" i="1"/>
  <c r="L304" i="1"/>
  <c r="L262" i="1"/>
  <c r="K83" i="1"/>
  <c r="CR114" i="1"/>
  <c r="DD238" i="1"/>
  <c r="DP160" i="1"/>
  <c r="DP156" i="1"/>
  <c r="EB179" i="1"/>
  <c r="EA186" i="1"/>
  <c r="EA161" i="1"/>
  <c r="CF117" i="1"/>
  <c r="CE292" i="1"/>
  <c r="CF353" i="1"/>
  <c r="CE371" i="1"/>
  <c r="BT369" i="1"/>
  <c r="BT384" i="1"/>
  <c r="BS148" i="1"/>
  <c r="BT182" i="1"/>
  <c r="BT416" i="1"/>
  <c r="BG307" i="1"/>
  <c r="BG419" i="1"/>
  <c r="BG395" i="1"/>
  <c r="BG431" i="1"/>
  <c r="BH212" i="1"/>
  <c r="AV479" i="1"/>
  <c r="AU417" i="1"/>
  <c r="AV344" i="1"/>
  <c r="AV423" i="1"/>
  <c r="AV464" i="1"/>
  <c r="AI238" i="1"/>
  <c r="AI288" i="1"/>
  <c r="AJ385" i="1"/>
  <c r="AI271" i="1"/>
  <c r="AJ93" i="1"/>
  <c r="AI106" i="1"/>
  <c r="AJ103" i="1"/>
  <c r="X78" i="1"/>
  <c r="X69" i="1"/>
  <c r="W18" i="1"/>
  <c r="W155" i="1"/>
  <c r="X476" i="1"/>
  <c r="X483" i="1"/>
  <c r="X212" i="1"/>
  <c r="W443" i="1"/>
  <c r="W67" i="1"/>
  <c r="L366" i="1"/>
  <c r="L429" i="1"/>
  <c r="K269" i="1"/>
  <c r="L28" i="1"/>
  <c r="K37" i="1"/>
  <c r="K117" i="1"/>
  <c r="L161" i="1"/>
  <c r="L451" i="1"/>
  <c r="L403" i="1"/>
  <c r="L11" i="1"/>
  <c r="CR406" i="1"/>
  <c r="DD180" i="1"/>
  <c r="DC322" i="1"/>
  <c r="DO478" i="1"/>
  <c r="DP482" i="1"/>
  <c r="EA157" i="1"/>
  <c r="EA151" i="1"/>
  <c r="CQ339" i="1"/>
  <c r="CR175" i="1"/>
  <c r="CR131" i="1"/>
  <c r="DD436" i="1"/>
  <c r="DC85" i="1"/>
  <c r="DD21" i="1"/>
  <c r="DP127" i="1"/>
  <c r="DP472" i="1"/>
  <c r="DP292" i="1"/>
  <c r="EA250" i="1"/>
  <c r="EB108" i="1"/>
  <c r="EA75" i="1"/>
  <c r="EB181" i="1"/>
  <c r="EA401" i="1"/>
  <c r="CF260" i="1"/>
  <c r="CE157" i="1"/>
  <c r="CF165" i="1"/>
  <c r="CF258" i="1"/>
  <c r="CF273" i="1"/>
  <c r="CE446" i="1"/>
  <c r="CE149" i="1"/>
  <c r="CF332" i="1"/>
  <c r="BT220" i="1"/>
  <c r="BS80" i="1"/>
  <c r="BS139" i="1"/>
  <c r="BS205" i="1"/>
  <c r="BT411" i="1"/>
  <c r="BS153" i="1"/>
  <c r="BT93" i="1"/>
  <c r="BT111" i="1"/>
  <c r="BS68" i="1"/>
  <c r="BS437" i="1"/>
  <c r="BH40" i="1"/>
  <c r="BG340" i="1"/>
  <c r="BH34" i="1"/>
  <c r="BH135" i="1"/>
  <c r="BH338" i="1"/>
  <c r="BG457" i="1"/>
  <c r="BH37" i="1"/>
  <c r="BH332" i="1"/>
  <c r="BG142" i="1"/>
  <c r="BH222" i="1"/>
  <c r="AU449" i="1"/>
  <c r="AU150" i="1"/>
  <c r="AV58" i="1"/>
  <c r="AV257" i="1"/>
  <c r="AV95" i="1"/>
  <c r="AU114" i="1"/>
  <c r="AU416" i="1"/>
  <c r="AV343" i="1"/>
  <c r="AV293" i="1"/>
  <c r="AU351" i="1"/>
  <c r="AV221" i="1"/>
  <c r="AJ180" i="1"/>
  <c r="AI300" i="1"/>
  <c r="AJ229" i="1"/>
  <c r="AI279" i="1"/>
  <c r="AJ118" i="1"/>
  <c r="AI385" i="1"/>
  <c r="AI357" i="1"/>
  <c r="AI76" i="1"/>
  <c r="AI226" i="1"/>
  <c r="AJ291" i="1"/>
  <c r="AI21" i="1"/>
  <c r="AJ473" i="1"/>
  <c r="AI353" i="1"/>
  <c r="AI43" i="1"/>
  <c r="X120" i="1"/>
  <c r="W130" i="1"/>
  <c r="X299" i="1"/>
  <c r="W59" i="1"/>
  <c r="W248" i="1"/>
  <c r="X455" i="1"/>
  <c r="W385" i="1"/>
  <c r="X254" i="1"/>
  <c r="W227" i="1"/>
  <c r="W416" i="1"/>
  <c r="W172" i="1"/>
  <c r="X143" i="1"/>
  <c r="X107" i="1"/>
  <c r="W351" i="1"/>
  <c r="W34" i="1"/>
  <c r="W363" i="1"/>
  <c r="W221" i="1"/>
  <c r="L340" i="1"/>
  <c r="L299" i="1"/>
  <c r="K475" i="1"/>
  <c r="K160" i="1"/>
  <c r="L196" i="1"/>
  <c r="K459" i="1"/>
  <c r="K39" i="1"/>
  <c r="L198" i="1"/>
  <c r="K378" i="1"/>
  <c r="K407" i="1"/>
  <c r="L125" i="1"/>
  <c r="L127" i="1"/>
  <c r="L155" i="1"/>
  <c r="L193" i="1"/>
  <c r="K172" i="1"/>
  <c r="K103" i="1"/>
  <c r="L324" i="1"/>
  <c r="K74" i="1"/>
  <c r="K333" i="1"/>
  <c r="L21" i="1"/>
  <c r="K143" i="1"/>
  <c r="L234" i="1"/>
  <c r="CG7" i="1"/>
  <c r="CQ219" i="1"/>
  <c r="CQ194" i="1"/>
  <c r="CR82" i="1"/>
  <c r="DD445" i="1"/>
  <c r="DC45" i="1"/>
  <c r="DC142" i="1"/>
  <c r="DO427" i="1"/>
  <c r="DO446" i="1"/>
  <c r="EA240" i="1"/>
  <c r="EB98" i="1"/>
  <c r="EB384" i="1"/>
  <c r="EB123" i="1"/>
  <c r="EA252" i="1"/>
  <c r="CF120" i="1"/>
  <c r="CF146" i="1"/>
  <c r="CF155" i="1"/>
  <c r="CE439" i="1"/>
  <c r="CF69" i="1"/>
  <c r="CE354" i="1"/>
  <c r="CE301" i="1"/>
  <c r="CF289" i="1"/>
  <c r="BT210" i="1"/>
  <c r="BS70" i="1"/>
  <c r="BS119" i="1"/>
  <c r="BS195" i="1"/>
  <c r="BT261" i="1"/>
  <c r="BS166" i="1"/>
  <c r="BT281" i="1"/>
  <c r="BT33" i="1"/>
  <c r="BT53" i="1"/>
  <c r="BS387" i="1"/>
  <c r="BH30" i="1"/>
  <c r="BG330" i="1"/>
  <c r="BH469" i="1"/>
  <c r="BH15" i="1"/>
  <c r="BH288" i="1"/>
  <c r="BH366" i="1"/>
  <c r="BH27" i="1"/>
  <c r="BH412" i="1"/>
  <c r="BH82" i="1"/>
  <c r="AU439" i="1"/>
  <c r="AU80" i="1"/>
  <c r="AU89" i="1"/>
  <c r="AV247" i="1"/>
  <c r="AV85" i="1"/>
  <c r="AV492" i="1"/>
  <c r="AU82" i="1"/>
  <c r="AV283" i="1"/>
  <c r="AU271" i="1"/>
  <c r="AV361" i="1"/>
  <c r="AJ110" i="1"/>
  <c r="AI290" i="1"/>
  <c r="AI189" i="1"/>
  <c r="AJ108" i="1"/>
  <c r="AI337" i="1"/>
  <c r="AI482" i="1"/>
  <c r="AI227" i="1"/>
  <c r="AJ373" i="1"/>
  <c r="AJ443" i="1"/>
  <c r="W120" i="1"/>
  <c r="W49" i="1"/>
  <c r="X445" i="1"/>
  <c r="W497" i="1"/>
  <c r="W181" i="1"/>
  <c r="X126" i="1"/>
  <c r="W311" i="1"/>
  <c r="W132" i="1"/>
  <c r="L330" i="1"/>
  <c r="K275" i="1"/>
  <c r="L146" i="1"/>
  <c r="K137" i="1"/>
  <c r="K368" i="1"/>
  <c r="K395" i="1"/>
  <c r="L115" i="1"/>
  <c r="L71" i="1"/>
  <c r="L302" i="1"/>
  <c r="L154" i="1"/>
  <c r="K423" i="1"/>
  <c r="Y7" i="1"/>
  <c r="CQ405" i="1"/>
  <c r="DD354" i="1"/>
  <c r="DO21" i="1"/>
  <c r="EA230" i="1"/>
  <c r="EB364" i="1"/>
  <c r="EA341" i="1"/>
  <c r="CF407" i="1"/>
  <c r="CF348" i="1"/>
  <c r="CF338" i="1"/>
  <c r="CE99" i="1"/>
  <c r="BS60" i="1"/>
  <c r="BS65" i="1"/>
  <c r="BS121" i="1"/>
  <c r="BS94" i="1"/>
  <c r="BS337" i="1"/>
  <c r="BG320" i="1"/>
  <c r="BG255" i="1"/>
  <c r="BH326" i="1"/>
  <c r="BH213" i="1"/>
  <c r="BH191" i="1"/>
  <c r="AU30" i="1"/>
  <c r="AV237" i="1"/>
  <c r="AU492" i="1"/>
  <c r="AV142" i="1"/>
  <c r="AU191" i="1"/>
  <c r="AJ80" i="1"/>
  <c r="AJ69" i="1"/>
  <c r="AJ78" i="1"/>
  <c r="AI317" i="1"/>
  <c r="AJ423" i="1"/>
  <c r="AI394" i="1"/>
  <c r="AJ141" i="1"/>
  <c r="X80" i="1"/>
  <c r="X179" i="1"/>
  <c r="W228" i="1"/>
  <c r="W325" i="1"/>
  <c r="W122" i="1"/>
  <c r="W121" i="1"/>
  <c r="X74" i="1"/>
  <c r="X321" i="1"/>
  <c r="W383" i="1"/>
  <c r="L179" i="1"/>
  <c r="K140" i="1"/>
  <c r="L106" i="1"/>
  <c r="K77" i="1"/>
  <c r="K358" i="1"/>
  <c r="K355" i="1"/>
  <c r="L55" i="1"/>
  <c r="K481" i="1"/>
  <c r="L274" i="1"/>
  <c r="K403" i="1"/>
  <c r="K394" i="1"/>
  <c r="DE7" i="1"/>
  <c r="CQ382" i="1"/>
  <c r="DC389" i="1"/>
  <c r="DC354" i="1"/>
  <c r="DO471" i="1"/>
  <c r="EA220" i="1"/>
  <c r="EB96" i="1"/>
  <c r="EB62" i="1"/>
  <c r="CF397" i="1"/>
  <c r="CF329" i="1"/>
  <c r="CF319" i="1"/>
  <c r="CF59" i="1"/>
  <c r="BT469" i="1"/>
  <c r="BS55" i="1"/>
  <c r="BS462" i="1"/>
  <c r="BT483" i="1"/>
  <c r="BT253" i="1"/>
  <c r="BG210" i="1"/>
  <c r="BH474" i="1"/>
  <c r="BH315" i="1"/>
  <c r="BG102" i="1"/>
  <c r="BG103" i="1"/>
  <c r="AV38" i="1"/>
  <c r="AV127" i="1"/>
  <c r="AU392" i="1"/>
  <c r="AV84" i="1"/>
  <c r="AV111" i="1"/>
  <c r="AJ70" i="1"/>
  <c r="AI408" i="1"/>
  <c r="AJ237" i="1"/>
  <c r="AI297" i="1"/>
  <c r="AJ132" i="1"/>
  <c r="AI254" i="1"/>
  <c r="AJ122" i="1"/>
  <c r="X30" i="1"/>
  <c r="X169" i="1"/>
  <c r="W118" i="1"/>
  <c r="W315" i="1"/>
  <c r="W446" i="1"/>
  <c r="W53" i="1"/>
  <c r="X472" i="1"/>
  <c r="W97" i="1"/>
  <c r="X83" i="1"/>
  <c r="K167" i="1"/>
  <c r="K90" i="1"/>
  <c r="K429" i="1"/>
  <c r="L108" i="1"/>
  <c r="K347" i="1"/>
  <c r="K397" i="1"/>
  <c r="K234" i="1"/>
  <c r="L453" i="1"/>
  <c r="L122" i="1"/>
  <c r="K163" i="1"/>
  <c r="L83" i="1"/>
  <c r="CR494" i="1"/>
  <c r="DC379" i="1"/>
  <c r="DC442" i="1"/>
  <c r="DO371" i="1"/>
  <c r="EB479" i="1"/>
  <c r="EA436" i="1"/>
  <c r="EB34" i="1"/>
  <c r="CF377" i="1"/>
  <c r="CE445" i="1"/>
  <c r="CF378" i="1"/>
  <c r="CF388" i="1"/>
  <c r="CE23" i="1"/>
  <c r="BT459" i="1"/>
  <c r="BS45" i="1"/>
  <c r="BT427" i="1"/>
  <c r="BT383" i="1"/>
  <c r="BT157" i="1"/>
  <c r="BG200" i="1"/>
  <c r="BG469" i="1"/>
  <c r="BH265" i="1"/>
  <c r="BH13" i="1"/>
  <c r="BH441" i="1"/>
  <c r="AU307" i="1"/>
  <c r="AV117" i="1"/>
  <c r="AU22" i="1"/>
  <c r="AU32" i="1"/>
  <c r="AU486" i="1"/>
  <c r="AJ40" i="1"/>
  <c r="AI388" i="1"/>
  <c r="AJ495" i="1"/>
  <c r="AI237" i="1"/>
  <c r="AI443" i="1"/>
  <c r="AI196" i="1"/>
  <c r="AJ32" i="1"/>
  <c r="X20" i="1"/>
  <c r="X159" i="1"/>
  <c r="W108" i="1"/>
  <c r="W285" i="1"/>
  <c r="W266" i="1"/>
  <c r="W484" i="1"/>
  <c r="X392" i="1"/>
  <c r="W33" i="1"/>
  <c r="W32" i="1"/>
  <c r="L496" i="1"/>
  <c r="K80" i="1"/>
  <c r="K419" i="1"/>
  <c r="L98" i="1"/>
  <c r="K258" i="1"/>
  <c r="K265" i="1"/>
  <c r="K285" i="1"/>
  <c r="L392" i="1"/>
  <c r="L102" i="1"/>
  <c r="K41" i="1"/>
  <c r="K413" i="1"/>
  <c r="CQ281" i="1"/>
  <c r="CQ321" i="1"/>
  <c r="DD254" i="1"/>
  <c r="DP228" i="1"/>
  <c r="DP333" i="1"/>
  <c r="EA278" i="1"/>
  <c r="EA121" i="1"/>
  <c r="CE410" i="1"/>
  <c r="CE435" i="1"/>
  <c r="CF292" i="1"/>
  <c r="CE76" i="1"/>
  <c r="CF461" i="1"/>
  <c r="BT389" i="1"/>
  <c r="BT475" i="1"/>
  <c r="BT207" i="1"/>
  <c r="BS61" i="1"/>
  <c r="BS241" i="1"/>
  <c r="BH266" i="1"/>
  <c r="BH309" i="1"/>
  <c r="BH128" i="1"/>
  <c r="BG333" i="1"/>
  <c r="BH323" i="1"/>
  <c r="AV448" i="1"/>
  <c r="AU438" i="1"/>
  <c r="AU395" i="1"/>
  <c r="AU97" i="1"/>
  <c r="AV304" i="1"/>
  <c r="AU261" i="1"/>
  <c r="AI170" i="1"/>
  <c r="AI49" i="1"/>
  <c r="AI235" i="1"/>
  <c r="AI461" i="1"/>
  <c r="AI134" i="1"/>
  <c r="AI71" i="1"/>
  <c r="AJ201" i="1"/>
  <c r="W20" i="1"/>
  <c r="X398" i="1"/>
  <c r="X325" i="1"/>
  <c r="W377" i="1"/>
  <c r="W126" i="1"/>
  <c r="X194" i="1"/>
  <c r="W137" i="1"/>
  <c r="W422" i="1"/>
  <c r="L230" i="1"/>
  <c r="K490" i="1"/>
  <c r="K266" i="1"/>
  <c r="L95" i="1"/>
  <c r="K248" i="1"/>
  <c r="L354" i="1"/>
  <c r="K245" i="1"/>
  <c r="K63" i="1"/>
  <c r="L74" i="1"/>
  <c r="K323" i="1"/>
  <c r="L314" i="1"/>
  <c r="CQ58" i="1"/>
  <c r="DC319" i="1"/>
  <c r="DP420" i="1"/>
  <c r="DP176" i="1"/>
  <c r="EB209" i="1"/>
  <c r="EA196" i="1"/>
  <c r="CE310" i="1"/>
  <c r="CE325" i="1"/>
  <c r="CF393" i="1"/>
  <c r="CE66" i="1"/>
  <c r="BS149" i="1"/>
  <c r="BT365" i="1"/>
  <c r="BT84" i="1"/>
  <c r="BS44" i="1"/>
  <c r="BS131" i="1"/>
  <c r="BG316" i="1"/>
  <c r="BH239" i="1"/>
  <c r="BH118" i="1"/>
  <c r="BG302" i="1"/>
  <c r="BH261" i="1"/>
  <c r="AV438" i="1"/>
  <c r="AU388" i="1"/>
  <c r="AU325" i="1"/>
  <c r="AU96" i="1"/>
  <c r="AU383" i="1"/>
  <c r="AU64" i="1"/>
  <c r="AI160" i="1"/>
  <c r="AI19" i="1"/>
  <c r="AI225" i="1"/>
  <c r="AJ54" i="1"/>
  <c r="AI63" i="1"/>
  <c r="AI52" i="1"/>
  <c r="AJ126" i="1"/>
  <c r="W409" i="1"/>
  <c r="X388" i="1"/>
  <c r="X295" i="1"/>
  <c r="W201" i="1"/>
  <c r="W111" i="1"/>
  <c r="W143" i="1"/>
  <c r="W72" i="1"/>
  <c r="X261" i="1"/>
  <c r="L220" i="1"/>
  <c r="K480" i="1"/>
  <c r="K146" i="1"/>
  <c r="K435" i="1"/>
  <c r="K238" i="1"/>
  <c r="L497" i="1"/>
  <c r="K185" i="1"/>
  <c r="L473" i="1"/>
  <c r="L52" i="1"/>
  <c r="K251" i="1"/>
  <c r="L292" i="1"/>
  <c r="CQ207" i="1"/>
  <c r="DD190" i="1"/>
  <c r="DC344" i="1"/>
  <c r="DP178" i="1"/>
  <c r="DO261" i="1"/>
  <c r="EA18" i="1"/>
  <c r="EA232" i="1"/>
  <c r="CE300" i="1"/>
  <c r="CE75" i="1"/>
  <c r="CE376" i="1"/>
  <c r="CF361" i="1"/>
  <c r="BT498" i="1"/>
  <c r="BT355" i="1"/>
  <c r="BS38" i="1"/>
  <c r="BS346" i="1"/>
  <c r="BT22" i="1"/>
  <c r="BG276" i="1"/>
  <c r="BH229" i="1"/>
  <c r="BH88" i="1"/>
  <c r="BG271" i="1"/>
  <c r="BH172" i="1"/>
  <c r="AV428" i="1"/>
  <c r="AU378" i="1"/>
  <c r="AU235" i="1"/>
  <c r="AV42" i="1"/>
  <c r="AU413" i="1"/>
  <c r="AU46" i="1"/>
  <c r="AI10" i="1"/>
  <c r="AI9" i="1"/>
  <c r="AI135" i="1"/>
  <c r="AJ496" i="1"/>
  <c r="AJ171" i="1"/>
  <c r="AI33" i="1"/>
  <c r="AJ36" i="1"/>
  <c r="W39" i="1"/>
  <c r="X278" i="1"/>
  <c r="X285" i="1"/>
  <c r="W182" i="1"/>
  <c r="W76" i="1"/>
  <c r="W61" i="1"/>
  <c r="X206" i="1"/>
  <c r="X302" i="1"/>
  <c r="L210" i="1"/>
  <c r="K470" i="1"/>
  <c r="L435" i="1"/>
  <c r="K65" i="1"/>
  <c r="K188" i="1"/>
  <c r="L487" i="1"/>
  <c r="L441" i="1"/>
  <c r="L162" i="1"/>
  <c r="L344" i="1"/>
  <c r="K151" i="1"/>
  <c r="L192" i="1"/>
  <c r="CR261" i="1"/>
  <c r="DC238" i="1"/>
  <c r="DP30" i="1"/>
  <c r="DP134" i="1"/>
  <c r="EB79" i="1"/>
  <c r="EA166" i="1"/>
  <c r="EB451" i="1"/>
  <c r="BG267" i="1"/>
  <c r="AV158" i="1"/>
  <c r="AI420" i="1"/>
  <c r="AI401" i="1"/>
  <c r="X374" i="1"/>
  <c r="L400" i="1"/>
  <c r="L195" i="1"/>
  <c r="CE30" i="1"/>
  <c r="BH219" i="1"/>
  <c r="AU368" i="1"/>
  <c r="AI478" i="1"/>
  <c r="AI14" i="1"/>
  <c r="X163" i="1"/>
  <c r="L200" i="1"/>
  <c r="L477" i="1"/>
  <c r="L114" i="1"/>
  <c r="AU327" i="1"/>
  <c r="AJ407" i="1"/>
  <c r="X456" i="1"/>
  <c r="CE254" i="1"/>
  <c r="AV255" i="1"/>
  <c r="AI424" i="1"/>
  <c r="L65" i="1"/>
  <c r="CE284" i="1"/>
  <c r="AI278" i="1"/>
  <c r="K460" i="1"/>
  <c r="CE316" i="1"/>
  <c r="X240" i="1"/>
  <c r="L401" i="1"/>
  <c r="AV244" i="1"/>
  <c r="W490" i="1"/>
  <c r="L54" i="1"/>
  <c r="CF243" i="1"/>
  <c r="W177" i="1"/>
  <c r="BH181" i="1"/>
  <c r="AI125" i="1"/>
  <c r="L395" i="1"/>
  <c r="BT279" i="1"/>
  <c r="AV33" i="1"/>
  <c r="X339" i="1"/>
  <c r="L484" i="1"/>
  <c r="X197" i="1"/>
  <c r="AV378" i="1"/>
  <c r="AI284" i="1"/>
  <c r="K178" i="1"/>
  <c r="BT216" i="1"/>
  <c r="W321" i="1"/>
  <c r="AV469" i="1"/>
  <c r="W145" i="1"/>
  <c r="L361" i="1"/>
  <c r="CF107" i="1"/>
  <c r="BH425" i="1"/>
  <c r="AV317" i="1"/>
  <c r="AJ249" i="1"/>
  <c r="AI413" i="1"/>
  <c r="X211" i="1"/>
  <c r="L329" i="1"/>
  <c r="L277" i="1"/>
  <c r="K313" i="1"/>
  <c r="BG409" i="1"/>
  <c r="AI51" i="1"/>
  <c r="K87" i="1"/>
  <c r="BH458" i="1"/>
  <c r="AI299" i="1"/>
  <c r="W456" i="1"/>
  <c r="K46" i="1"/>
  <c r="BH78" i="1"/>
  <c r="X480" i="1"/>
  <c r="K412" i="1"/>
  <c r="AV63" i="1"/>
  <c r="AJ158" i="1"/>
  <c r="K180" i="1"/>
  <c r="CF443" i="1"/>
  <c r="X383" i="1"/>
  <c r="AU103" i="1"/>
  <c r="AI445" i="1"/>
  <c r="L9" i="1"/>
  <c r="BT428" i="1"/>
  <c r="W472" i="1"/>
  <c r="L12" i="1"/>
  <c r="BH123" i="1"/>
  <c r="AJ234" i="1"/>
  <c r="W176" i="1"/>
  <c r="K231" i="1"/>
  <c r="K438" i="1"/>
  <c r="BT422" i="1"/>
  <c r="W151" i="1"/>
  <c r="AJ320" i="1"/>
  <c r="AI146" i="1"/>
  <c r="L27" i="1"/>
  <c r="BG246" i="1"/>
  <c r="W282" i="1"/>
  <c r="CE65" i="1"/>
  <c r="L336" i="1"/>
  <c r="AU205" i="1"/>
  <c r="X91" i="1"/>
  <c r="BG38" i="1"/>
  <c r="X266" i="1"/>
  <c r="BG85" i="1"/>
  <c r="AJ375" i="1"/>
  <c r="L409" i="1"/>
  <c r="BH137" i="1"/>
  <c r="W230" i="1"/>
  <c r="K454" i="1"/>
  <c r="AU94" i="1"/>
  <c r="X488" i="1"/>
  <c r="BT345" i="1"/>
  <c r="BG151" i="1"/>
  <c r="AU403" i="1"/>
  <c r="AI192" i="1"/>
  <c r="X39" i="1"/>
  <c r="X193" i="1"/>
  <c r="K259" i="1"/>
  <c r="L191" i="1"/>
  <c r="BT354" i="1"/>
  <c r="BH31" i="1"/>
  <c r="AU402" i="1"/>
  <c r="AI204" i="1"/>
  <c r="W89" i="1"/>
  <c r="W123" i="1"/>
  <c r="K59" i="1"/>
  <c r="K382" i="1"/>
  <c r="BS173" i="1"/>
  <c r="BH483" i="1"/>
  <c r="AU393" i="1"/>
  <c r="AJ436" i="1"/>
  <c r="X258" i="1"/>
  <c r="X153" i="1"/>
  <c r="L478" i="1"/>
  <c r="K402" i="1"/>
  <c r="BI7" i="1"/>
  <c r="BS102" i="1"/>
  <c r="BG223" i="1"/>
  <c r="AV451" i="1"/>
  <c r="AJ286" i="1"/>
  <c r="W328" i="1"/>
  <c r="X283" i="1"/>
  <c r="L218" i="1"/>
  <c r="K124" i="1"/>
  <c r="BS394" i="1"/>
  <c r="BH11" i="1"/>
  <c r="AV384" i="1"/>
  <c r="AI22" i="1"/>
  <c r="X497" i="1"/>
  <c r="W16" i="1"/>
  <c r="L18" i="1"/>
  <c r="K381" i="1"/>
  <c r="BT166" i="1"/>
  <c r="AV70" i="1"/>
  <c r="AV281" i="1"/>
  <c r="AI143" i="1"/>
  <c r="X82" i="1"/>
  <c r="L144" i="1"/>
  <c r="AV12" i="1"/>
  <c r="X275" i="1"/>
  <c r="K123" i="1"/>
  <c r="AU190" i="1"/>
  <c r="W425" i="1"/>
  <c r="K122" i="1"/>
  <c r="AI208" i="1"/>
  <c r="AI87" i="1"/>
  <c r="L486" i="1"/>
  <c r="K193" i="1"/>
  <c r="P107" i="4" l="1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<sst xmlns="http://schemas.openxmlformats.org/spreadsheetml/2006/main" count="4382" uniqueCount="2735">
  <si>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</si>
  <si>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</si>
  <si>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</si>
  <si>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</si>
  <si>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</si>
  <si>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</si>
  <si>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</si>
  <si>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</si>
  <si>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</si>
  <si>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</si>
  <si>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</si>
  <si>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</si>
  <si>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</si>
  <si>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</si>
  <si>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</si>
  <si>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</si>
  <si>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</si>
  <si>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</si>
  <si>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</si>
  <si>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</si>
  <si>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</si>
  <si>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</si>
  <si>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</si>
  <si>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</si>
  <si>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</si>
  <si>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</si>
  <si>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</si>
  <si>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</si>
  <si>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</si>
  <si>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</si>
  <si>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</si>
  <si>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</si>
  <si>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</si>
  <si>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</si>
  <si>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</si>
  <si>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</si>
  <si>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</si>
  <si>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</si>
  <si>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</si>
  <si>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</si>
  <si>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</si>
  <si>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</si>
  <si>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</si>
  <si>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</si>
  <si>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</si>
  <si>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</si>
  <si>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</si>
  <si>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</si>
  <si>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</si>
  <si>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</si>
  <si>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</si>
  <si>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</si>
  <si>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</si>
  <si>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</si>
  <si>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</si>
  <si>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</si>
  <si>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</si>
  <si>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</si>
  <si>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</si>
  <si>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</si>
  <si>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</si>
  <si>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</si>
  <si>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</si>
  <si>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</si>
  <si>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</si>
  <si>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</si>
  <si>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</si>
  <si>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</si>
  <si>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</si>
  <si>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</si>
  <si>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</si>
  <si>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</si>
  <si>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</si>
  <si>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</si>
  <si>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</si>
  <si>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</si>
  <si>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</si>
  <si>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</si>
  <si>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</si>
  <si>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</si>
  <si>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</si>
  <si>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</si>
  <si>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</si>
  <si>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</si>
  <si>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</si>
  <si>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</si>
  <si>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</si>
  <si>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</si>
  <si>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</si>
  <si>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</si>
  <si>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</si>
  <si>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</si>
  <si>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</si>
  <si>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</si>
  <si>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</si>
  <si>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</si>
  <si>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</si>
  <si>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</si>
  <si>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</si>
  <si>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</si>
  <si>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</si>
  <si>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</si>
  <si>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</si>
  <si>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</si>
  <si>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</si>
  <si>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</si>
  <si>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</si>
  <si>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</si>
  <si>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</si>
  <si>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</si>
  <si>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</si>
  <si>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</si>
  <si>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</si>
  <si>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</si>
  <si>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</si>
  <si>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</si>
  <si>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</si>
  <si>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</si>
  <si>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</si>
  <si>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</si>
  <si>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</si>
  <si>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</si>
  <si>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</si>
  <si>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</si>
  <si>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</si>
  <si>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</si>
  <si>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</si>
  <si>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</si>
  <si>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</si>
  <si>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</si>
  <si>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</si>
  <si>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</si>
  <si>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</si>
  <si>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</si>
  <si>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</si>
  <si>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</si>
  <si>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</si>
  <si>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</si>
  <si>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</si>
  <si>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</si>
  <si>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</si>
  <si>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</si>
  <si>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</si>
  <si>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</si>
  <si>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</si>
  <si>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</si>
  <si>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</si>
  <si>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</si>
  <si>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</si>
  <si>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</si>
  <si>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</si>
  <si>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</si>
  <si>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</si>
  <si>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</si>
  <si>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</si>
  <si>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</si>
  <si>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</si>
  <si>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</si>
  <si>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</si>
  <si>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</si>
  <si>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</si>
  <si>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</si>
  <si>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</si>
  <si>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</si>
  <si>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</si>
  <si>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</si>
  <si>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</si>
  <si>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</si>
  <si>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</si>
  <si>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</si>
  <si>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</si>
  <si>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</si>
  <si>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</si>
  <si>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</si>
  <si>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</si>
  <si>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</si>
  <si>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</si>
  <si>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</si>
  <si>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</si>
  <si>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</si>
  <si>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</si>
  <si>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</si>
  <si>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</si>
  <si>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</si>
  <si>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</si>
  <si>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</si>
  <si>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</si>
  <si>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</si>
  <si>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</si>
  <si>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</si>
  <si>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</si>
  <si>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</si>
  <si>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</si>
  <si>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</si>
  <si>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</si>
  <si>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</si>
  <si>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</si>
  <si>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</si>
  <si>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</si>
  <si>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</si>
  <si>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</si>
  <si>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</si>
  <si>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</si>
  <si>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</si>
  <si>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</si>
  <si>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</si>
  <si>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</si>
  <si>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</si>
  <si>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</si>
  <si>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</si>
  <si>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</si>
  <si>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</si>
  <si>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</si>
  <si>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</si>
  <si>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</si>
  <si>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</si>
  <si>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</si>
  <si>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</si>
  <si>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</si>
  <si>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</si>
  <si>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</si>
  <si>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</si>
  <si>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</si>
  <si>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</si>
  <si>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</si>
  <si>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</si>
  <si>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</si>
  <si>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</si>
  <si>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</si>
  <si>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</si>
  <si>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</si>
  <si>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</si>
  <si>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</si>
  <si>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</si>
  <si>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</si>
  <si>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</si>
  <si>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</si>
  <si>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</si>
  <si>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</si>
  <si>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</si>
  <si>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</si>
  <si>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</si>
  <si>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</si>
  <si>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</si>
  <si>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</si>
  <si>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</si>
  <si>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</si>
  <si>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</si>
  <si>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</si>
  <si>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</si>
  <si>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</si>
  <si>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</si>
  <si>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</si>
  <si>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</si>
  <si>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</si>
  <si>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</si>
  <si>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</si>
  <si>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</si>
  <si>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</si>
  <si>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</si>
  <si>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</si>
  <si>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</si>
  <si>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</si>
  <si>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</si>
  <si>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</si>
  <si>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</si>
  <si>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</si>
  <si>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</si>
  <si>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</si>
  <si>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</si>
  <si>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</si>
  <si>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</si>
  <si>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</si>
  <si>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</si>
  <si>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</si>
  <si>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</si>
  <si>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</si>
  <si>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</si>
  <si>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</si>
  <si>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</si>
  <si>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</si>
  <si>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</si>
  <si>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</si>
  <si>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</si>
  <si>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</si>
  <si>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</si>
  <si>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</si>
  <si>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</si>
  <si>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</si>
  <si>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</si>
  <si>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</si>
  <si>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</si>
  <si>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</si>
  <si>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</si>
  <si>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</si>
  <si>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</si>
  <si>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</si>
  <si>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</si>
  <si>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</si>
  <si>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</si>
  <si>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</si>
  <si>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</si>
  <si>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</si>
  <si>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</si>
  <si>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</si>
  <si>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</si>
  <si>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</si>
  <si>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</si>
  <si>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</si>
  <si>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</si>
  <si>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</si>
  <si>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</si>
  <si>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</si>
  <si>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</si>
  <si>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</si>
  <si>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</si>
  <si>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</si>
  <si>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</si>
  <si>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</si>
  <si>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</si>
  <si>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</si>
  <si>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</si>
  <si>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</si>
  <si>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</si>
  <si>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</si>
  <si>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</si>
  <si>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</si>
  <si>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</si>
  <si>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</si>
  <si>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</si>
  <si>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</si>
  <si>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</si>
  <si>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</si>
  <si>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</si>
  <si>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</si>
  <si>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</si>
  <si>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</si>
  <si>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</si>
  <si>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</si>
  <si>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</si>
  <si>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</si>
  <si>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</si>
  <si>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</si>
  <si>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</si>
  <si>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</si>
  <si>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</si>
  <si>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</si>
  <si>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</si>
  <si>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</si>
  <si>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</si>
  <si>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</si>
  <si>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</si>
  <si>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</si>
  <si>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</si>
  <si>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</si>
  <si>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</si>
  <si>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</si>
  <si>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</si>
  <si>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</si>
  <si>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</si>
  <si>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</si>
  <si>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</si>
  <si>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</si>
  <si>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</si>
  <si>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</si>
  <si>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</si>
  <si>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</si>
  <si>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</si>
  <si>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</si>
  <si>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</si>
  <si>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</si>
  <si>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</si>
  <si>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</si>
  <si>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</si>
  <si>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</si>
  <si>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</si>
  <si>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</si>
  <si>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</si>
  <si>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</si>
  <si>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</si>
  <si>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</si>
  <si>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</si>
  <si>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</si>
  <si>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</si>
  <si>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</si>
  <si>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</si>
  <si>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</si>
  <si>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</si>
  <si>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</si>
  <si>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</si>
  <si>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</si>
  <si>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</si>
  <si>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</si>
  <si>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</si>
  <si>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</si>
  <si>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</si>
  <si>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</si>
  <si>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</si>
  <si>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</si>
  <si>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</si>
  <si>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</si>
  <si>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</si>
  <si>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</si>
  <si>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</si>
  <si>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</si>
  <si>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</si>
  <si>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</si>
  <si>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</si>
  <si>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</si>
  <si>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</si>
  <si>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</si>
  <si>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</si>
  <si>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</si>
  <si>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</si>
  <si>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</si>
  <si>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</si>
  <si>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</si>
  <si>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</si>
  <si>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</si>
  <si>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</si>
  <si>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</si>
  <si>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</si>
  <si>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</si>
  <si>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</si>
  <si>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</si>
  <si>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</si>
  <si>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</si>
  <si>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</si>
  <si>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</si>
  <si>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</si>
  <si>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</si>
  <si>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</si>
  <si>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</si>
  <si>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</si>
  <si>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</si>
  <si>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</si>
  <si>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</si>
  <si>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</si>
  <si>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</si>
  <si>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</si>
  <si>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</si>
  <si>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</si>
  <si>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</si>
  <si>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</si>
  <si>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</si>
  <si>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</si>
  <si>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</si>
  <si>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</si>
  <si>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</si>
  <si>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</si>
  <si>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</si>
  <si>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</si>
  <si>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</si>
  <si>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</si>
  <si>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</si>
  <si>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</si>
  <si>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</si>
  <si>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</si>
  <si>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</si>
  <si>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</si>
  <si>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</si>
  <si>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</si>
  <si>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</si>
  <si>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</si>
  <si>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</si>
  <si>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</si>
  <si>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</si>
  <si>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</si>
  <si>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</si>
  <si>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</si>
  <si>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</si>
  <si>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</si>
  <si>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</si>
  <si>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</si>
  <si>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</si>
  <si>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</si>
  <si>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</si>
  <si>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</si>
  <si>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</si>
  <si>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</si>
  <si>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</si>
  <si>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</si>
  <si>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</si>
  <si>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</si>
  <si>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</si>
  <si>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</si>
  <si>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</si>
  <si>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</si>
  <si>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</si>
  <si>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</si>
  <si>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</si>
  <si>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</si>
  <si>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</si>
  <si>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</si>
  <si>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</si>
  <si>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</si>
  <si>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</si>
  <si>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</si>
  <si>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</si>
  <si>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</si>
  <si>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</si>
  <si>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</si>
  <si>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</si>
  <si>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</si>
  <si>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</si>
  <si>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</si>
  <si>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</si>
  <si>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</si>
  <si>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</si>
  <si>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</si>
  <si>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</si>
  <si>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</si>
  <si>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</si>
  <si>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</si>
  <si>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</si>
  <si>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</si>
  <si>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</si>
  <si>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</si>
  <si>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</si>
  <si>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</si>
  <si>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</si>
  <si>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</si>
  <si>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</si>
  <si>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</si>
  <si>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</si>
  <si>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</si>
  <si>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</si>
  <si>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</si>
  <si>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</si>
  <si>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</si>
  <si>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</si>
  <si>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</si>
  <si>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</si>
  <si>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</si>
  <si>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</si>
  <si>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</si>
  <si>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</si>
  <si>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</si>
  <si>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</si>
  <si>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</si>
  <si>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</si>
  <si>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</si>
  <si>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</si>
  <si>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</si>
  <si>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</si>
  <si>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</si>
  <si>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</si>
  <si>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</si>
  <si>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</si>
  <si>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</si>
  <si>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</si>
  <si>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</si>
  <si>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</si>
  <si>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</si>
  <si>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</si>
  <si>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</si>
  <si>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</si>
  <si>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</si>
  <si>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</si>
  <si>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</si>
  <si>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</si>
  <si>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</si>
  <si>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</si>
  <si>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</si>
  <si>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</si>
  <si>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</si>
  <si>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</si>
  <si>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</si>
  <si>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</si>
  <si>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</si>
  <si>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</si>
  <si>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</si>
  <si>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</si>
  <si>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</si>
  <si>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</si>
  <si>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</si>
  <si>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</si>
  <si>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</si>
  <si>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</si>
  <si>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</si>
  <si>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</si>
  <si>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</si>
  <si>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</si>
  <si>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</si>
  <si>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</si>
  <si>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</si>
  <si>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</si>
  <si>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</si>
  <si>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</si>
  <si>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</si>
  <si>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</si>
  <si>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</si>
  <si>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</si>
  <si>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</si>
  <si>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</si>
  <si>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</si>
  <si>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</si>
  <si>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</si>
  <si>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</si>
  <si>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</si>
  <si>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</si>
  <si>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</si>
  <si>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</si>
  <si>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</si>
  <si>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</si>
  <si>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</si>
  <si>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</si>
  <si>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</si>
  <si>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</si>
  <si>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</si>
  <si>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</si>
  <si>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</si>
  <si>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</si>
  <si>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</si>
  <si>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</si>
  <si>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</si>
  <si>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</si>
  <si>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</si>
  <si>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</si>
  <si>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</si>
  <si>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</si>
  <si>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</si>
  <si>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</si>
  <si>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</si>
  <si>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</si>
  <si>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</si>
  <si>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</si>
  <si>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</si>
  <si>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</si>
  <si>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</si>
  <si>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</si>
  <si>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</si>
  <si>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</si>
  <si>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</si>
  <si>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</si>
  <si>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</si>
  <si>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</si>
  <si>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</si>
  <si>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</si>
  <si>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</si>
  <si>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</si>
  <si>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</si>
  <si>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</si>
  <si>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</si>
  <si>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</si>
  <si>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</si>
  <si>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</si>
  <si>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</si>
  <si>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</si>
  <si>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</si>
  <si>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</si>
  <si>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</si>
  <si>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</si>
  <si>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</si>
  <si>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</si>
  <si>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</si>
  <si>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</si>
  <si>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</si>
  <si>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</si>
  <si>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</si>
  <si>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</si>
  <si>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</si>
  <si>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</si>
  <si>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</si>
  <si>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</si>
  <si>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</si>
  <si>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</si>
  <si>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</si>
  <si>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</si>
  <si>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</si>
  <si>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</si>
  <si>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</si>
  <si>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</si>
  <si>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</si>
  <si>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</si>
  <si>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</si>
  <si>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</si>
  <si>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</si>
  <si>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</si>
  <si>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</si>
  <si>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</si>
  <si>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</si>
  <si>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</si>
  <si>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</si>
  <si>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</si>
  <si>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</si>
  <si>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</si>
  <si>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</si>
  <si>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</si>
  <si>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</si>
  <si>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</si>
  <si>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</si>
  <si>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</si>
  <si>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</si>
  <si>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</si>
  <si>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</si>
  <si>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</si>
  <si>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</si>
  <si>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</si>
  <si>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</si>
  <si>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</si>
  <si>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</si>
  <si>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</si>
  <si>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</si>
  <si>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</si>
  <si>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</si>
  <si>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</si>
  <si>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</si>
  <si>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</si>
  <si>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</si>
  <si>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</si>
  <si>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</si>
  <si>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</si>
  <si>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</si>
  <si>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</si>
  <si>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</si>
  <si>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</si>
  <si>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</si>
  <si>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</si>
  <si>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</si>
  <si>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</si>
  <si>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</si>
  <si>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</si>
  <si>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</si>
  <si>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</si>
  <si>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</si>
  <si>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</si>
  <si>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</si>
  <si>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</si>
  <si>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</si>
  <si>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</si>
  <si>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</si>
  <si>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</si>
  <si>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</si>
  <si>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</si>
  <si>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</si>
  <si>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</si>
  <si>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</si>
  <si>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</si>
  <si>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</si>
  <si>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</si>
  <si>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</si>
  <si>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</si>
  <si>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</si>
  <si>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</si>
  <si>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</si>
  <si>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</si>
  <si>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</si>
  <si>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</si>
  <si>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</si>
  <si>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</si>
  <si>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</si>
  <si>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</si>
  <si>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</si>
  <si>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</si>
  <si>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</si>
  <si>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</si>
  <si>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</si>
  <si>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</si>
  <si>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</si>
  <si>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</si>
  <si>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</si>
  <si>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</si>
  <si>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</si>
  <si>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</si>
  <si>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</si>
  <si>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</si>
  <si>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</si>
  <si>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</si>
  <si>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</si>
  <si>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</si>
  <si>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</si>
  <si>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</si>
  <si>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</si>
  <si>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</si>
  <si>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</si>
  <si>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</si>
  <si>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</si>
  <si>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</si>
  <si>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</si>
  <si>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</si>
  <si>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</si>
  <si>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</si>
  <si>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</si>
  <si>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</si>
  <si>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</si>
  <si>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</si>
  <si>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</si>
  <si>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</si>
  <si>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</si>
  <si>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</si>
  <si>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</si>
  <si>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</si>
  <si>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</si>
  <si>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</si>
  <si>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</si>
  <si>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</si>
  <si>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</si>
  <si>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</si>
  <si>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</si>
  <si>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</si>
  <si>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</si>
  <si>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</si>
  <si>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</si>
  <si>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</si>
  <si>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</si>
  <si>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</si>
  <si>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</si>
  <si>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</si>
  <si>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</si>
  <si>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</si>
  <si>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</si>
  <si>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</si>
  <si>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</si>
  <si>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</si>
  <si>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</si>
  <si>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</si>
  <si>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</si>
  <si>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</si>
  <si>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</si>
  <si>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</si>
  <si>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</si>
  <si>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</si>
  <si>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</si>
  <si>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</si>
  <si>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</si>
  <si>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</si>
  <si>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</si>
  <si>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</si>
  <si>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</si>
  <si>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</si>
  <si>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</si>
  <si>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</si>
  <si>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</si>
  <si>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</si>
  <si>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</si>
  <si>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</si>
  <si>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</si>
  <si>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</si>
  <si>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</si>
  <si>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</si>
  <si>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</si>
  <si>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</si>
  <si>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</si>
  <si>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</si>
  <si>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</si>
  <si>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</si>
  <si>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</si>
  <si>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</si>
  <si>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</si>
  <si>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</si>
  <si>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</si>
  <si>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</si>
  <si>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</si>
  <si>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</si>
  <si>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</si>
  <si>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</si>
  <si>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</si>
  <si>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</si>
  <si>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</si>
  <si>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</si>
  <si>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</si>
  <si>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</si>
  <si>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</si>
  <si>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</si>
  <si>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</si>
  <si>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</si>
  <si>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</si>
  <si>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</si>
  <si>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</si>
  <si>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</si>
  <si>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</si>
  <si>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</si>
  <si>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</si>
  <si>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</si>
  <si>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</si>
  <si>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</si>
  <si>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</si>
  <si>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</si>
  <si>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</si>
  <si>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</si>
  <si>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</si>
  <si>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</si>
  <si>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</si>
  <si>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</si>
  <si>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</si>
  <si>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</si>
  <si>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</si>
  <si>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</si>
  <si>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</si>
  <si>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</si>
  <si>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</si>
  <si>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</si>
  <si>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</si>
  <si>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</si>
  <si>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</si>
  <si>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</si>
  <si>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</si>
  <si>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</si>
  <si>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</si>
  <si>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</si>
  <si>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</si>
  <si>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</si>
  <si>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</si>
  <si>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</si>
  <si>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</si>
  <si>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</si>
  <si>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</si>
  <si>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</si>
  <si>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</si>
  <si>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</si>
  <si>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</si>
  <si>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</si>
  <si>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</si>
  <si>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</si>
  <si>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</si>
  <si>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</si>
  <si>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</si>
  <si>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</si>
  <si>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</si>
  <si>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</si>
  <si>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</si>
  <si>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</si>
  <si>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</si>
  <si>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</si>
  <si>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</si>
  <si>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</si>
  <si>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</si>
  <si>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</si>
  <si>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</si>
  <si>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</si>
  <si>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</si>
  <si>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</si>
  <si>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</si>
  <si>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</si>
  <si>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</si>
  <si>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</si>
  <si>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</si>
  <si>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</si>
  <si>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</si>
  <si>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</si>
  <si>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</si>
  <si>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</si>
  <si>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</si>
  <si>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</si>
  <si>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</si>
  <si>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</si>
  <si>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</si>
  <si>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</si>
  <si>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</si>
  <si>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</si>
  <si>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</si>
  <si>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</si>
  <si>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</si>
  <si>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</si>
  <si>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</si>
  <si>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</si>
  <si>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</si>
  <si>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</si>
  <si>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</si>
  <si>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</si>
  <si>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</si>
  <si>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</si>
  <si>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</si>
  <si>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</si>
  <si>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</si>
  <si>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</si>
  <si>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</si>
  <si>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</si>
  <si>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</si>
  <si>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</si>
  <si>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</si>
  <si>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</si>
  <si>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</si>
  <si>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</si>
  <si>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</si>
  <si>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</si>
  <si>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</si>
  <si>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</si>
  <si>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</si>
  <si>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</si>
  <si>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</si>
  <si>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</si>
  <si>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</si>
  <si>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</si>
  <si>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</si>
  <si>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</si>
  <si>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</si>
  <si>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</si>
  <si>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</si>
  <si>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</si>
  <si>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</si>
  <si>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</si>
  <si>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</si>
  <si>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</si>
  <si>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</si>
  <si>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</si>
  <si>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</si>
  <si>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</si>
  <si>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</si>
  <si>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</si>
  <si>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</si>
  <si>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</si>
  <si>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</si>
  <si>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</si>
  <si>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</si>
  <si>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</si>
  <si>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</si>
  <si>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</si>
  <si>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</si>
  <si>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</si>
  <si>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</si>
  <si>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</si>
  <si>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</si>
  <si>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</si>
  <si>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</si>
  <si>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</si>
  <si>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</si>
  <si>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</si>
  <si>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</si>
  <si>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</si>
  <si>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</si>
  <si>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</si>
  <si>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</si>
  <si>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</si>
  <si>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</si>
  <si>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</si>
  <si>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</si>
  <si>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</si>
  <si>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</si>
  <si>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</si>
  <si>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</si>
  <si>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</si>
  <si>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</si>
  <si>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</si>
  <si>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</si>
  <si>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</si>
  <si>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</si>
  <si>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</si>
  <si>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</si>
  <si>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</si>
  <si>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</si>
  <si>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</si>
  <si>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</si>
  <si>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</si>
  <si>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</si>
  <si>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</si>
  <si>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</si>
  <si>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</si>
  <si>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</si>
  <si>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</si>
  <si>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</si>
  <si>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</si>
  <si>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</si>
  <si>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</si>
  <si>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</si>
  <si>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</si>
  <si>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</si>
  <si>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</si>
  <si>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</si>
  <si>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</si>
  <si>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</si>
  <si>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</si>
  <si>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</si>
  <si>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</si>
  <si>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</si>
  <si>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</si>
  <si>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</si>
  <si>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</si>
  <si>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</si>
  <si>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</si>
  <si>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</si>
  <si>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</si>
  <si>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</si>
  <si>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</si>
  <si>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</si>
  <si>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</si>
  <si>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</si>
  <si>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</si>
  <si>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</si>
  <si>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</si>
  <si>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</si>
  <si>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</si>
  <si>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</si>
  <si>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</si>
  <si>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</si>
  <si>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</si>
  <si>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</si>
  <si>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</si>
  <si>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</si>
  <si>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</si>
  <si>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</si>
  <si>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</si>
  <si>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</si>
  <si>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</si>
  <si>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</si>
  <si>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</si>
  <si>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</si>
  <si>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</si>
  <si>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</si>
  <si>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</si>
  <si>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</si>
  <si>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</si>
  <si>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</si>
  <si>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</si>
  <si>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</si>
  <si>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</si>
  <si>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</si>
  <si>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</si>
  <si>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</si>
  <si>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</si>
  <si>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</si>
  <si>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</si>
  <si>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</si>
  <si>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</si>
  <si>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</si>
  <si>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</si>
  <si>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</si>
  <si>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</si>
  <si>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</si>
  <si>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</si>
  <si>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</si>
  <si>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</si>
  <si>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</si>
  <si>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</si>
  <si>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</si>
  <si>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</si>
  <si>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</si>
  <si>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</si>
  <si>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</si>
  <si>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</si>
  <si>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</si>
  <si>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</si>
  <si>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</si>
  <si>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</si>
  <si>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</si>
  <si>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</si>
  <si>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</si>
  <si>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</si>
  <si>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</si>
  <si>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</si>
  <si>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</si>
  <si>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</si>
  <si>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</si>
  <si>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</si>
  <si>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</si>
  <si>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</si>
  <si>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</si>
  <si>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</si>
  <si>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</si>
  <si>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</si>
  <si>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</si>
  <si>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</si>
  <si>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</si>
  <si>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</si>
  <si>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</si>
  <si>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</si>
  <si>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</si>
  <si>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</si>
  <si>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</si>
  <si>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</si>
  <si>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</si>
  <si>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</si>
  <si>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</si>
  <si>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</si>
  <si>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</si>
  <si>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</si>
  <si>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</si>
  <si>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</si>
  <si>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</si>
  <si>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</si>
  <si>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</si>
  <si>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</si>
  <si>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</si>
  <si>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</si>
  <si>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</si>
  <si>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</si>
  <si>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</si>
  <si>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</si>
  <si>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</si>
  <si>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</si>
  <si>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</si>
  <si>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</si>
  <si>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</si>
  <si>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</si>
  <si>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</si>
  <si>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</si>
  <si>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</si>
  <si>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</si>
  <si>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</si>
  <si>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</si>
  <si>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</si>
  <si>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</si>
  <si>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</si>
  <si>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</si>
  <si>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</si>
  <si>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</si>
  <si>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</si>
  <si>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</si>
  <si>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</si>
  <si>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</si>
  <si>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</si>
  <si>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</si>
  <si>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</si>
  <si>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</si>
  <si>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</si>
  <si>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</si>
  <si>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</si>
  <si>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</si>
  <si>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</si>
  <si>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</si>
  <si>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</si>
  <si>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</si>
  <si>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</si>
  <si>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</si>
  <si>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</si>
  <si>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</si>
  <si>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</si>
  <si>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</si>
  <si>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</si>
  <si>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</si>
  <si>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</si>
  <si>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</si>
  <si>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</si>
  <si>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</si>
  <si>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</si>
  <si>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</si>
  <si>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</si>
  <si>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</si>
  <si>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</si>
  <si>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</si>
  <si>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</si>
  <si>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</si>
  <si>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</si>
  <si>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</si>
  <si>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</si>
  <si>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</si>
  <si>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</si>
  <si>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</si>
  <si>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</si>
  <si>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</si>
  <si>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</si>
  <si>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</si>
  <si>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</si>
  <si>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</si>
  <si>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</si>
  <si>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</si>
  <si>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</si>
  <si>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</si>
  <si>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</si>
  <si>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</si>
  <si>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</si>
  <si>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</si>
  <si>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</si>
  <si>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</si>
  <si>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</si>
  <si>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</si>
  <si>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</si>
  <si>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</si>
  <si>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</si>
  <si>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</si>
  <si>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</si>
  <si>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</si>
  <si>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</si>
  <si>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</si>
  <si>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</si>
  <si>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</si>
  <si>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</si>
  <si>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</si>
  <si>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</si>
  <si>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</si>
  <si>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</si>
  <si>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</si>
  <si>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</si>
  <si>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</si>
  <si>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</si>
  <si>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</si>
  <si>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</si>
  <si>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</si>
  <si>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</si>
  <si>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</si>
  <si>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</si>
  <si>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</si>
  <si>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</si>
  <si>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</si>
  <si>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</si>
  <si>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</si>
  <si>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</si>
  <si>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</si>
  <si>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</si>
  <si>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</si>
  <si>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</si>
  <si>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</si>
  <si>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</si>
  <si>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</si>
  <si>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</si>
  <si>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</si>
  <si>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</si>
  <si>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</si>
  <si>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</si>
  <si>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</si>
  <si>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</si>
  <si>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</si>
  <si>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</si>
  <si>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</si>
  <si>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</si>
  <si>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</si>
  <si>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</si>
  <si>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</si>
  <si>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</si>
  <si>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</si>
  <si>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</si>
  <si>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</si>
  <si>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</si>
  <si>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</si>
  <si>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</si>
  <si>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</si>
  <si>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</si>
  <si>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</si>
  <si>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</si>
  <si>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</si>
  <si>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</si>
  <si>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</si>
  <si>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</si>
  <si>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</si>
  <si>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</si>
  <si>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</si>
  <si>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</si>
  <si>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</si>
  <si>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</si>
  <si>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</si>
  <si>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</si>
  <si>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</si>
  <si>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</si>
  <si>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</si>
  <si>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</si>
  <si>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</si>
  <si>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</si>
  <si>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</si>
  <si>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</si>
  <si>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</si>
  <si>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</si>
  <si>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</si>
  <si>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</si>
  <si>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</si>
  <si>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</si>
  <si>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</si>
  <si>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</si>
  <si>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</si>
  <si>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</si>
  <si>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</si>
  <si>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</si>
  <si>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</si>
  <si>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</si>
  <si>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</si>
  <si>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</si>
  <si>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</si>
  <si>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</si>
  <si>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</si>
  <si>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</si>
  <si>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</si>
  <si>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</si>
  <si>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</si>
  <si>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</si>
  <si>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</si>
  <si>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</si>
  <si>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</si>
  <si>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</si>
  <si>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</si>
  <si>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</si>
  <si>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</si>
  <si>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</si>
  <si>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</si>
  <si>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</si>
  <si>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</si>
  <si>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</si>
  <si>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</si>
  <si>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</si>
  <si>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</si>
  <si>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</si>
  <si>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</si>
  <si>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</si>
  <si>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</si>
  <si>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</si>
  <si>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</si>
  <si>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</si>
  <si>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</si>
  <si>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</si>
  <si>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</si>
  <si>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</si>
  <si>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</si>
  <si>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</si>
  <si>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</si>
  <si>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</si>
  <si>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</si>
  <si>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</si>
  <si>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</si>
  <si>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</si>
  <si>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</si>
  <si>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</si>
  <si>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</si>
  <si>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</si>
  <si>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</si>
  <si>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</si>
  <si>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</si>
  <si>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</si>
  <si>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</si>
  <si>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</si>
  <si>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</si>
  <si>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</si>
  <si>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</si>
  <si>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</si>
  <si>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</si>
  <si>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</si>
  <si>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</si>
  <si>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</si>
  <si>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</si>
  <si>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</si>
  <si>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</si>
  <si>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</si>
  <si>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</si>
  <si>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</si>
  <si>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</si>
  <si>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</si>
  <si>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</si>
  <si>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</si>
  <si>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</si>
  <si>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</si>
  <si>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</si>
  <si>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</si>
  <si>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</si>
  <si>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</si>
  <si>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</si>
  <si>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</si>
  <si>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</si>
  <si>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</si>
  <si>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</si>
  <si>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</si>
  <si>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</si>
  <si>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</si>
  <si>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</si>
  <si>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</si>
  <si>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</si>
  <si>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</si>
  <si>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</si>
  <si>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</si>
  <si>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</si>
  <si>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</si>
  <si>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</si>
  <si>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</si>
  <si>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</si>
  <si>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</si>
  <si>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</si>
  <si>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</si>
  <si>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</si>
  <si>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</si>
  <si>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</si>
  <si>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</si>
  <si>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</si>
  <si>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</si>
  <si>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</si>
  <si>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</si>
  <si>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</si>
  <si>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</si>
  <si>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</si>
  <si>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</si>
  <si>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</si>
  <si>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</si>
  <si>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</si>
  <si>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</si>
  <si>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</si>
  <si>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</si>
  <si>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</si>
  <si>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</si>
  <si>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</si>
  <si>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</si>
  <si>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</si>
  <si>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</si>
  <si>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</si>
  <si>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</si>
  <si>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</si>
  <si>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</si>
  <si>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</si>
  <si>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</si>
  <si>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</si>
  <si>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</si>
  <si>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</si>
  <si>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</si>
  <si>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</si>
  <si>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</si>
  <si>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</si>
  <si>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</si>
  <si>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</si>
  <si>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</si>
  <si>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</si>
  <si>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</si>
  <si>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</si>
  <si>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</si>
  <si>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</si>
  <si>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</si>
  <si>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</si>
  <si>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</si>
  <si>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</si>
  <si>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</si>
  <si>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</si>
  <si>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</si>
  <si>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</si>
  <si>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</si>
  <si>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</si>
  <si>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</si>
  <si>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</si>
  <si>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</si>
  <si>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</si>
  <si>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</si>
  <si>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</si>
  <si>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</si>
  <si>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</si>
  <si>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</si>
  <si>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</si>
  <si>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</si>
  <si>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</si>
  <si>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</si>
  <si>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</si>
  <si>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</si>
  <si>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</si>
  <si>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</si>
  <si>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</si>
  <si>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</si>
  <si>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</si>
  <si>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</si>
  <si>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</si>
  <si>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</si>
  <si>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</si>
  <si>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</si>
  <si>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</si>
  <si>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</si>
  <si>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</si>
  <si>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</si>
  <si>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</si>
  <si>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</si>
  <si>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</si>
  <si>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</si>
  <si>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</si>
  <si>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</si>
  <si>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</si>
  <si>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</si>
  <si>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</si>
  <si>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</si>
  <si>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</si>
  <si>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</si>
  <si>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</si>
  <si>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</si>
  <si>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</si>
  <si>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</si>
  <si>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</si>
  <si>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</si>
  <si>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</si>
  <si>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</si>
  <si>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</si>
  <si>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</si>
  <si>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</si>
  <si>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</si>
  <si>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</si>
  <si>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</si>
  <si>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</si>
  <si>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</si>
  <si>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</si>
  <si>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</si>
  <si>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</si>
  <si>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</si>
  <si>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</si>
  <si>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</si>
  <si>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</si>
  <si>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</si>
  <si>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</si>
  <si>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</si>
  <si>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</si>
  <si>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</si>
  <si>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</si>
  <si>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</si>
  <si>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</si>
  <si>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</si>
  <si>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</si>
  <si>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</si>
  <si>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</si>
  <si>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</si>
  <si>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</si>
  <si>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</si>
  <si>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</si>
  <si>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</si>
  <si>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</si>
  <si>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</si>
  <si>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</si>
  <si>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</si>
  <si>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</si>
  <si>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</si>
  <si>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</si>
  <si>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</si>
  <si>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</si>
  <si>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</si>
  <si>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</si>
  <si>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</si>
  <si>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</si>
  <si>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</si>
  <si>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</si>
  <si>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</si>
  <si>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</si>
  <si>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</si>
  <si>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</si>
  <si>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</si>
  <si>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</si>
  <si>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</si>
  <si>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</si>
  <si>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</si>
  <si>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</si>
  <si>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</si>
  <si>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</si>
  <si>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</si>
  <si>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</si>
  <si>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</si>
  <si>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</si>
  <si>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</si>
  <si>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</si>
  <si>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</si>
  <si>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</si>
  <si>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</si>
  <si>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</si>
  <si>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</si>
  <si>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</si>
  <si>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</si>
  <si>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</si>
  <si>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</si>
  <si>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</si>
  <si>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</si>
  <si>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</si>
  <si>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</si>
  <si>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</si>
  <si>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</si>
  <si>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</si>
  <si>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</si>
  <si>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</si>
  <si>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</si>
  <si>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</si>
  <si>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</si>
  <si>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</si>
  <si>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</si>
  <si>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</si>
  <si>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</si>
  <si>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</si>
  <si>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</si>
  <si>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</si>
  <si>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</si>
  <si>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</si>
  <si>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</si>
  <si>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</si>
  <si>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</si>
  <si>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</si>
  <si>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</si>
  <si>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</si>
  <si>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</si>
  <si>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</si>
  <si>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</si>
  <si>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</si>
  <si>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</si>
  <si>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</si>
  <si>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</si>
  <si>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</si>
  <si>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</si>
  <si>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</si>
  <si>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</si>
  <si>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</si>
  <si>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</si>
  <si>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</si>
  <si>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</si>
  <si>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</si>
  <si>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</si>
  <si>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</si>
  <si>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</si>
  <si>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</si>
  <si>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</si>
  <si>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</si>
  <si>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</si>
  <si>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</si>
  <si>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</si>
  <si>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</si>
  <si>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</si>
  <si>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</si>
  <si>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</si>
  <si>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</si>
  <si>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</si>
  <si>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</si>
  <si>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</si>
  <si>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</si>
  <si>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</si>
  <si>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</si>
  <si>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</si>
  <si>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</si>
  <si>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</si>
  <si>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</si>
  <si>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</si>
  <si>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</si>
  <si>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</si>
  <si>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</si>
  <si>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</si>
  <si>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</si>
  <si>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</si>
  <si>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</si>
  <si>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</si>
  <si>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</si>
  <si>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</si>
  <si>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</si>
  <si>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</si>
  <si>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</si>
  <si>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</si>
  <si>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</si>
  <si>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</si>
  <si>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</si>
  <si>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</si>
  <si>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</si>
  <si>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</si>
  <si>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</si>
  <si>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</si>
  <si>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</si>
  <si>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</si>
  <si>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</si>
  <si>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</si>
  <si>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</si>
  <si>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</si>
  <si>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</si>
  <si>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</si>
  <si>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</si>
  <si>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</si>
  <si>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</si>
  <si>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</si>
  <si>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</si>
  <si>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</si>
  <si>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</si>
  <si>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</si>
  <si>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</si>
  <si>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</si>
  <si>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</si>
  <si>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</si>
  <si>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</si>
  <si>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</si>
  <si>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</si>
  <si>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</si>
  <si>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</si>
  <si>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</si>
  <si>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</si>
  <si>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</si>
  <si>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</si>
  <si>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</si>
  <si>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</si>
  <si>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</si>
  <si>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</si>
  <si>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</si>
  <si>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</si>
  <si>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</si>
  <si>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</si>
  <si>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</si>
  <si>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</si>
  <si>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</si>
  <si>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</si>
  <si>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</si>
  <si>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</si>
  <si>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</si>
  <si>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</si>
  <si>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</si>
  <si>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</si>
  <si>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</si>
  <si>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</si>
  <si>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</si>
  <si>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</si>
  <si>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</si>
  <si>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</si>
  <si>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</si>
  <si>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</si>
  <si>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</si>
  <si>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</si>
  <si>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</si>
  <si>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</si>
  <si>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</si>
  <si>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</si>
  <si>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</si>
  <si>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</si>
  <si>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</si>
  <si>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</si>
  <si>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</si>
  <si>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</si>
  <si>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</si>
  <si>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</si>
  <si>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</si>
  <si>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</si>
  <si>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</si>
  <si>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</si>
  <si>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</si>
  <si>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</si>
  <si>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</si>
  <si>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</si>
  <si>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</si>
  <si>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</si>
  <si>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</si>
  <si>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</si>
  <si>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</si>
  <si>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</si>
  <si>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</si>
  <si>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</si>
  <si>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</si>
  <si>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</si>
  <si>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</si>
  <si>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</si>
  <si>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</si>
  <si>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</si>
  <si>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</si>
  <si>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</si>
  <si>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</si>
  <si>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</si>
  <si>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</si>
  <si>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</si>
  <si>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</si>
  <si>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</si>
  <si>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</si>
  <si>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</si>
  <si>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</si>
  <si>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</si>
  <si>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</si>
  <si>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</si>
  <si>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</si>
  <si>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</si>
  <si>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</si>
  <si>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</si>
  <si>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</si>
  <si>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</si>
  <si>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</si>
  <si>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</si>
  <si>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</si>
  <si>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</si>
  <si>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</si>
  <si>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</si>
  <si>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</si>
  <si>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</si>
  <si>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</si>
  <si>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</si>
  <si>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</si>
  <si>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</si>
  <si>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</si>
  <si>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</si>
  <si>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</si>
  <si>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</si>
  <si>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</si>
  <si>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</si>
  <si>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</si>
  <si>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</si>
  <si>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</si>
  <si>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</si>
  <si>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</si>
  <si>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</si>
  <si>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</si>
  <si>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</si>
  <si>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</si>
  <si>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</si>
  <si>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</si>
  <si>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</si>
  <si>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</si>
  <si>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</si>
  <si>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</si>
  <si>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</si>
  <si>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</si>
  <si>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</si>
  <si>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</si>
  <si>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</si>
  <si>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</si>
  <si>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</si>
  <si>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</si>
  <si>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</si>
  <si>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</si>
  <si>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</si>
  <si>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</si>
  <si>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</si>
  <si>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</si>
  <si>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</si>
  <si>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</si>
  <si>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</si>
  <si>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</si>
  <si>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</si>
  <si>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</si>
  <si>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</si>
  <si>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</si>
  <si>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</si>
  <si>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</si>
  <si>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</si>
  <si>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</si>
  <si>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</si>
  <si>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</si>
  <si>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</si>
  <si>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</si>
  <si>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</si>
  <si>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</si>
  <si>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</si>
  <si>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</si>
  <si>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</si>
  <si>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</si>
  <si>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</si>
  <si>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</si>
  <si>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</si>
  <si>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</si>
  <si>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</si>
  <si>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</si>
  <si>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</si>
  <si>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</si>
  <si>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</si>
  <si>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</si>
  <si>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</si>
  <si>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</si>
  <si>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</si>
  <si>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</si>
  <si>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</si>
  <si>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</si>
  <si>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</si>
  <si>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</si>
  <si>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</si>
  <si>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</si>
  <si>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</si>
  <si>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</si>
  <si>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</si>
  <si>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</si>
  <si>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</si>
  <si>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</si>
  <si>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</si>
  <si>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</si>
  <si>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</si>
  <si>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</si>
  <si>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</si>
  <si>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</si>
  <si>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</si>
  <si>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</si>
  <si>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</si>
  <si>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</si>
  <si>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</si>
  <si>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</si>
  <si>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</si>
  <si>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</si>
  <si>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</si>
  <si>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</si>
  <si>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</si>
  <si>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</si>
  <si>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</si>
  <si>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</si>
  <si>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</si>
  <si>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</si>
  <si>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</si>
  <si>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</si>
  <si>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</si>
  <si>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</si>
  <si>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</si>
  <si>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</si>
  <si>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</si>
  <si>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</si>
  <si>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</si>
  <si>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</si>
  <si>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</si>
  <si>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</si>
  <si>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</si>
  <si>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</si>
  <si>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</si>
  <si>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</si>
  <si>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</si>
  <si>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</si>
  <si>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</si>
  <si>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</si>
  <si>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</si>
  <si>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</si>
  <si>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</si>
  <si>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</si>
  <si>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</si>
  <si>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</si>
  <si>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</si>
  <si>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</si>
  <si>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</si>
  <si>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</si>
  <si>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</si>
  <si>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</si>
  <si>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</si>
  <si>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</si>
  <si>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</si>
  <si>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</si>
  <si>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</si>
  <si>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</si>
  <si>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</si>
  <si>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</si>
  <si>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</si>
  <si>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</si>
  <si>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</si>
  <si>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</si>
  <si>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</si>
  <si>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</si>
  <si>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</si>
  <si>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</si>
  <si>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</si>
  <si>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</si>
  <si>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</si>
  <si>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</si>
  <si>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</si>
  <si>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</si>
  <si>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</si>
  <si>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</si>
  <si>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</si>
  <si>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</si>
  <si>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</si>
  <si>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</si>
  <si>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</si>
  <si>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</si>
  <si>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</si>
  <si>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</si>
  <si>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</si>
  <si>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</si>
  <si>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</si>
  <si>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</si>
  <si>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</si>
  <si>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</si>
  <si>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</si>
  <si>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</si>
  <si>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</si>
  <si>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</si>
  <si>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</si>
  <si>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</si>
  <si>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</si>
  <si>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</si>
  <si>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</si>
  <si>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</si>
  <si>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</si>
  <si>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</si>
  <si>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</si>
  <si>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</si>
  <si>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</si>
  <si>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</si>
  <si>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</si>
  <si>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</si>
  <si>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</si>
  <si>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</si>
  <si>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</si>
  <si>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</si>
  <si>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</si>
  <si>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</si>
  <si>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</si>
  <si>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</si>
  <si>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</si>
  <si>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</si>
  <si>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</si>
  <si>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</si>
  <si>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</si>
  <si>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</si>
  <si>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</si>
  <si>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</si>
  <si>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</si>
  <si>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</si>
  <si>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</si>
  <si>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</si>
  <si>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</si>
  <si>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</si>
  <si>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</si>
  <si>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</si>
  <si>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</si>
  <si>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</si>
  <si>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</si>
  <si>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</si>
  <si>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</si>
  <si>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</si>
  <si>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</si>
  <si>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</si>
  <si>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</si>
  <si>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</si>
  <si>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</si>
  <si>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</si>
  <si>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</si>
  <si>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</si>
  <si>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</si>
  <si>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</si>
  <si>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</si>
  <si>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</si>
  <si>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</si>
  <si>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</si>
  <si>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</si>
  <si>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</si>
  <si>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</si>
  <si>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</si>
  <si>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</si>
  <si>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</si>
  <si>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</si>
  <si>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</si>
  <si>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</si>
  <si>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</si>
  <si>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</si>
  <si>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</si>
  <si>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</si>
  <si>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</si>
  <si>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</si>
  <si>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</si>
  <si>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</si>
  <si>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</si>
  <si>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</si>
  <si>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</si>
  <si>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</si>
  <si>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</si>
  <si>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</si>
  <si>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</si>
  <si>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</si>
  <si>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</si>
  <si>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</si>
  <si>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</si>
  <si>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</si>
  <si>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</si>
  <si>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</si>
  <si>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</si>
  <si>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</si>
  <si>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</si>
  <si>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</si>
  <si>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</si>
  <si>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</si>
  <si>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</si>
  <si>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</si>
  <si>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</si>
  <si>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</si>
  <si>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</si>
  <si>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</si>
  <si>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</si>
  <si>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</si>
  <si>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</si>
  <si>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</si>
  <si>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</si>
  <si>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</si>
  <si>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</si>
  <si>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</si>
  <si>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</si>
  <si>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</si>
  <si>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</si>
  <si>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</si>
  <si>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</si>
  <si>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</si>
  <si>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</si>
  <si>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</si>
  <si>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</si>
  <si>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</si>
  <si>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</si>
  <si>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</si>
  <si>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</si>
  <si>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</si>
  <si>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</si>
  <si>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</si>
  <si>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</si>
  <si>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</si>
  <si>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</si>
  <si>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</si>
  <si>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</si>
  <si>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</si>
  <si>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</si>
  <si>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</si>
  <si>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</si>
  <si>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</si>
  <si>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</si>
  <si>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</si>
  <si>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</si>
  <si>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</si>
  <si>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</si>
  <si>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</si>
  <si>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</si>
  <si>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</si>
  <si>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</si>
  <si>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</si>
  <si>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</si>
  <si>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</si>
  <si>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</si>
  <si>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</si>
  <si>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</si>
  <si>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</si>
  <si>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</si>
  <si>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</si>
  <si>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</si>
  <si>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</si>
  <si>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</si>
  <si>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</si>
  <si>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</si>
  <si>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</si>
  <si>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</si>
  <si>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</si>
  <si>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</si>
  <si>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</si>
  <si>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</si>
  <si>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</si>
  <si>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</si>
  <si>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</si>
  <si>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</si>
  <si>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</si>
  <si>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</si>
  <si>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</si>
  <si>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</si>
  <si>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</si>
  <si>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</si>
  <si>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</si>
  <si>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</si>
  <si>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</si>
  <si>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</si>
  <si>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</si>
  <si>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</si>
  <si>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</si>
  <si>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</si>
  <si>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</si>
  <si>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</si>
  <si>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</si>
  <si>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</si>
  <si>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</si>
  <si>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</si>
  <si>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</si>
  <si>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</si>
  <si>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</si>
  <si>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</si>
  <si>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</si>
  <si>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</si>
  <si>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</si>
  <si>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</si>
  <si>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</si>
  <si>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</si>
  <si>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</si>
  <si>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</si>
  <si>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</si>
  <si>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</si>
  <si>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</si>
  <si>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</si>
  <si>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</si>
  <si>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</si>
  <si>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</si>
  <si>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</si>
  <si>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</si>
  <si>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</si>
  <si>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</si>
  <si>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</si>
  <si>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</si>
  <si>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</si>
  <si>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</si>
  <si>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</si>
  <si>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</si>
  <si>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</si>
  <si>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</si>
  <si>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</si>
  <si>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</si>
  <si>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</si>
  <si>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</si>
  <si>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</si>
  <si>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</si>
  <si>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</si>
  <si>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</si>
  <si>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</si>
  <si>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</si>
  <si>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</si>
  <si>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</si>
  <si>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</si>
  <si>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</si>
  <si>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</si>
  <si>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</si>
  <si>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</si>
  <si>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</si>
  <si>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</si>
  <si>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</si>
  <si>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</si>
  <si>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</si>
  <si>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</si>
  <si>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</si>
  <si>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</si>
  <si>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</si>
  <si>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</si>
  <si>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</si>
  <si>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</si>
  <si>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</si>
  <si>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</si>
  <si>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</si>
  <si>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</si>
  <si>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</si>
  <si>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</si>
  <si>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</si>
  <si>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</si>
  <si>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</si>
  <si>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</si>
  <si>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</si>
  <si>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</si>
  <si>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</si>
  <si>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</si>
  <si>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</si>
  <si>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</si>
  <si>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</si>
  <si>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</si>
  <si>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</si>
  <si>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</si>
  <si>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</si>
  <si>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</si>
  <si>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</si>
  <si>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</si>
  <si>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</si>
  <si>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</si>
  <si>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</si>
  <si>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</si>
  <si>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</si>
  <si>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</si>
  <si>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</si>
  <si>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</si>
  <si>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</si>
  <si>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</si>
  <si>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</si>
  <si>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</si>
  <si>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</si>
  <si>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</si>
  <si>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</si>
  <si>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</si>
  <si>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</si>
  <si>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</si>
  <si>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</si>
  <si>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</si>
  <si>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</si>
  <si>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</si>
  <si>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</si>
  <si>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</si>
  <si>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</si>
  <si>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</si>
  <si>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</si>
  <si>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</si>
  <si>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</si>
  <si>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</si>
  <si>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</si>
  <si>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</si>
  <si>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</si>
  <si>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</si>
  <si>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</si>
  <si>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</si>
  <si>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</si>
  <si>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</si>
  <si>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</si>
  <si>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</si>
  <si>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</si>
  <si>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</si>
  <si>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</si>
  <si>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</si>
  <si>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</si>
  <si>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</si>
  <si>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</si>
  <si>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</si>
  <si>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</si>
  <si>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</si>
  <si>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</si>
  <si>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</si>
  <si>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</si>
  <si>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</si>
  <si>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</si>
  <si>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</si>
  <si>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</si>
  <si>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</si>
  <si>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</si>
  <si>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</si>
  <si>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</si>
  <si>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</si>
  <si>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</si>
  <si>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</si>
  <si>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</si>
  <si>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</si>
  <si>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</si>
  <si>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</si>
  <si>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</si>
  <si>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</si>
  <si>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</si>
  <si>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</si>
  <si>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</si>
  <si>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</si>
  <si>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</si>
  <si>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</si>
  <si>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</si>
  <si>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</si>
  <si>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</si>
  <si>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</si>
  <si>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</si>
  <si>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</si>
  <si>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</si>
  <si>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</si>
  <si>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</si>
  <si>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</si>
  <si>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</si>
  <si>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</si>
  <si>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</si>
  <si>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</si>
  <si>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</si>
  <si>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</si>
  <si>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</si>
  <si>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</si>
  <si>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</si>
  <si>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</si>
  <si>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</si>
  <si>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</si>
  <si>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</si>
  <si>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</si>
  <si>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</si>
  <si>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</si>
  <si>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</si>
  <si>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</si>
  <si>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</si>
  <si>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</si>
  <si>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</si>
  <si>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</si>
  <si>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</si>
  <si>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</si>
  <si>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</si>
  <si>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</si>
  <si>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</si>
  <si>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</si>
  <si>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</si>
  <si>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</si>
  <si>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</si>
  <si>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</si>
  <si>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</si>
  <si>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</si>
  <si>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</si>
  <si>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</si>
  <si>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</si>
  <si>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</si>
  <si>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</si>
  <si>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</si>
  <si>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</si>
  <si>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</si>
  <si>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</si>
  <si>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</si>
  <si>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</si>
  <si>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</si>
  <si>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</si>
  <si>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</si>
  <si>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</si>
  <si>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</si>
  <si>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</si>
  <si>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</si>
  <si>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</si>
  <si>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</si>
  <si>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</si>
  <si>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</si>
  <si>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</si>
  <si>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</si>
  <si>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</si>
  <si>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</si>
  <si>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</si>
  <si>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</si>
  <si>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</si>
  <si>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</si>
  <si>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</si>
  <si>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</si>
  <si>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</si>
  <si>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</si>
  <si>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</si>
  <si>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</si>
  <si>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</si>
  <si>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</si>
  <si>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</si>
  <si>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</si>
  <si>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</si>
  <si>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</si>
  <si>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</si>
  <si>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</si>
  <si>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</si>
  <si>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</si>
  <si>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</si>
  <si>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</si>
  <si>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</si>
  <si>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</si>
  <si>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</si>
  <si>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</si>
  <si>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</si>
  <si>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</si>
  <si>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</si>
  <si>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</si>
  <si>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</si>
  <si>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</si>
  <si>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</si>
  <si>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</si>
  <si>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</si>
  <si>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</si>
  <si>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</si>
  <si>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</si>
  <si>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</si>
  <si>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</si>
  <si>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</si>
  <si>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</si>
  <si>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</si>
  <si>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</si>
  <si>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</si>
  <si>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</si>
  <si>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</si>
  <si>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</si>
  <si>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</si>
  <si>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</si>
  <si>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</si>
  <si>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</si>
  <si>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</si>
  <si>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</si>
  <si>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</si>
  <si>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</si>
  <si>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</si>
  <si>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</si>
  <si>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</si>
  <si>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</si>
  <si>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</si>
  <si>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</si>
  <si>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</si>
  <si>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</si>
  <si>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</si>
  <si>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</si>
  <si>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</si>
  <si>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</si>
  <si>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</si>
  <si>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</si>
  <si>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</si>
  <si>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</si>
  <si>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</si>
  <si>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</si>
  <si>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</si>
  <si>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</si>
  <si>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</si>
  <si>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</si>
  <si>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</si>
  <si>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</si>
  <si>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</si>
  <si>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</si>
  <si>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</si>
  <si>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</si>
  <si>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</si>
  <si>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</si>
  <si>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</si>
  <si>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</si>
  <si>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</si>
  <si>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</si>
  <si>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</si>
  <si>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</si>
  <si>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</si>
  <si>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</si>
  <si>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</si>
  <si>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</si>
  <si>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</si>
  <si>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</si>
  <si>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</si>
  <si>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</si>
  <si>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</si>
  <si>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</si>
  <si>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</si>
  <si>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</si>
  <si>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</si>
  <si>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</si>
  <si>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</si>
  <si>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</si>
  <si>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</si>
  <si>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</si>
  <si>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</si>
  <si>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</si>
  <si>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</si>
  <si>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</si>
  <si>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</si>
  <si>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</si>
  <si>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</si>
  <si>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</si>
  <si>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</si>
  <si>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</si>
  <si>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</si>
  <si>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</si>
  <si>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</si>
  <si>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</si>
  <si>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</si>
  <si>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</si>
  <si>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</si>
  <si>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</si>
  <si>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</si>
  <si>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</si>
  <si>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</si>
  <si>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</si>
  <si>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</si>
  <si>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</si>
  <si>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</si>
  <si>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</si>
  <si>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</si>
  <si>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</si>
  <si>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</si>
  <si>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</si>
  <si>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</si>
  <si>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</si>
  <si>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</si>
  <si>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</si>
  <si>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</si>
  <si>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</si>
  <si>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</si>
  <si>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</si>
  <si>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</si>
  <si>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</si>
  <si>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</si>
  <si>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</si>
  <si>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</si>
  <si>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</si>
  <si>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</si>
  <si>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</si>
  <si>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</si>
  <si>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</si>
  <si>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</si>
  <si>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</si>
  <si>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</si>
  <si>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</si>
  <si>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</si>
  <si>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</si>
  <si>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</si>
  <si>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</si>
  <si>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</si>
  <si>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</si>
  <si>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</si>
  <si>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</si>
  <si>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</si>
  <si>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</si>
  <si>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</si>
  <si>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</si>
  <si>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</si>
  <si>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</si>
  <si>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</si>
  <si>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</si>
  <si>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</si>
  <si>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</si>
  <si>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</si>
  <si>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</si>
  <si>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</si>
  <si>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</si>
  <si>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</si>
  <si>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</si>
  <si>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</si>
  <si>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</si>
  <si>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</si>
  <si>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</si>
  <si>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</si>
  <si>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</si>
  <si>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</si>
  <si>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</si>
  <si>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</si>
  <si>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</si>
  <si>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</si>
  <si>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</si>
  <si>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</si>
  <si>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</si>
  <si>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</si>
  <si>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</si>
  <si>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</si>
  <si>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</si>
  <si>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</si>
  <si>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</si>
  <si>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</si>
  <si>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</si>
  <si>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</si>
  <si>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</si>
  <si>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</si>
  <si>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</si>
  <si>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</si>
  <si>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</si>
  <si>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</si>
  <si>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</si>
  <si>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</si>
  <si>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</si>
  <si>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</si>
  <si>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</si>
  <si>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</si>
  <si>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</si>
  <si>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</si>
  <si>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</si>
  <si>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</si>
  <si>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</si>
  <si>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</si>
  <si>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</si>
  <si>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</si>
  <si>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</si>
  <si>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</si>
  <si>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</si>
  <si>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</si>
  <si>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</si>
  <si>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</si>
  <si>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</si>
  <si>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</si>
  <si>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</si>
  <si>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</si>
  <si>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</si>
  <si>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</si>
  <si>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</si>
  <si>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</si>
  <si>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</si>
  <si>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</si>
  <si>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</si>
  <si>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</si>
  <si>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</si>
  <si>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</si>
  <si>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</si>
  <si>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</si>
  <si>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</si>
  <si>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</si>
  <si>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</si>
  <si>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</si>
  <si>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</si>
  <si>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</si>
  <si>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</si>
  <si>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</si>
  <si>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</si>
  <si>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</si>
  <si>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</si>
  <si>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</si>
  <si>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</si>
  <si>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</si>
  <si>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</si>
  <si>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</si>
  <si>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</si>
  <si>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</si>
  <si>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</si>
  <si>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</si>
  <si>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</si>
  <si>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</si>
  <si>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</si>
  <si>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</si>
  <si>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</si>
  <si>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</si>
  <si>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</si>
  <si>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</si>
  <si>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</si>
  <si>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</si>
  <si>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국고채권04250-3606(26-6)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</si>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</sst>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80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80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80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4.2290000000000001</v>
        <stp/>
        <stp>P</stp>
        <stp>0</stp>
        <stp>BND</stp>
        <stp>KR356115GFB8</stp>
        <stp>민평3사 수익률(산출일)</stp>
        <stp>46198</stp>
        <stp/>
        <tr r="X13" s="1"/>
        <tr r="BT72" s="1"/>
      </tp>
      <tp>
        <v>3.2189999999999999</v>
        <stp/>
        <stp>P</stp>
        <stp>0</stp>
        <stp>BND</stp>
        <stp>KR356103DBC8</stp>
        <stp>민평3사 수익률(산출일)</stp>
        <stp>46198</stp>
        <stp/>
        <tr r="L370" s="1"/>
      </tp>
      <tp>
        <v>4.093</v>
        <stp/>
        <stp>P</stp>
        <stp>0</stp>
        <stp>BND</stp>
        <stp>KR6023783EA6</stp>
        <stp>민평3사 수익률(산출일)</stp>
        <stp>46198</stp>
        <stp/>
        <tr r="L131" s="1"/>
      </tp>
      <tp>
        <v>3.8530000000000002</v>
        <stp/>
        <stp>P</stp>
        <stp>0</stp>
        <stp>BND</stp>
        <stp>KR6033782EA6</stp>
        <stp>민평3사 수익률(산출일)</stp>
        <stp>46198</stp>
        <stp/>
        <tr r="L114" s="1"/>
      </tp>
      <tp>
        <v>3.3359999999999999</v>
        <stp/>
        <stp>P</stp>
        <stp>0</stp>
        <stp>BND</stp>
        <stp>KR6145764EA9</stp>
        <stp>민평3사 수익률(산출일)</stp>
        <stp>46198</stp>
        <stp/>
        <tr r="BT167" s="1"/>
      </tp>
      <tp>
        <v>4.2750000000000004</v>
        <stp/>
        <stp>P</stp>
        <stp>0</stp>
        <stp>BND</stp>
        <stp>KR6131793DA6</stp>
        <stp>민평3사 수익률(산출일)</stp>
        <stp>46198</stp>
        <stp/>
        <tr r="L279" s="1"/>
      </tp>
      <tp>
        <v>4.1689999999999996</v>
        <stp/>
        <stp>P</stp>
        <stp>0</stp>
        <stp>BND</stp>
        <stp>KR6086793FA6</stp>
        <stp>민평3사 수익률(산출일)</stp>
        <stp>46198</stp>
        <stp/>
        <tr r="L310" s="1"/>
      </tp>
      <tp>
        <v>4.2279999999999998</v>
        <stp/>
        <stp>P</stp>
        <stp>0</stp>
        <stp>BND</stp>
        <stp>KR356110GFB9</stp>
        <stp>민평3사 수익률(산출일)</stp>
        <stp>46198</stp>
        <stp/>
        <tr r="BT71" s="1"/>
      </tp>
      <tp>
        <v>4.3390000000000004</v>
        <stp/>
        <stp>P</stp>
        <stp>0</stp>
        <stp>BND</stp>
        <stp>KR352701G5C8</stp>
        <stp>민평3사 수익률(산출일)</stp>
        <stp>46198</stp>
        <stp/>
        <tr r="DD147" s="1"/>
      </tp>
      <tp>
        <v>4.0640000000000001</v>
        <stp/>
        <stp>P</stp>
        <stp>0</stp>
        <stp>BND</stp>
        <stp>KR350105GBC2</stp>
        <stp>민평3사 수익률(산출일)</stp>
        <stp>46198</stp>
        <stp/>
        <tr r="L52" s="1"/>
      </tp>
      <tp>
        <v>3.9889999999999999</v>
        <stp/>
        <stp>P</stp>
        <stp>0</stp>
        <stp>BND</stp>
        <stp>KR354202GFC4</stp>
        <stp>민평3사 수익률(산출일)</stp>
        <stp>46198</stp>
        <stp/>
        <tr r="L170" s="1"/>
      </tp>
      <tp>
        <v>4.1230000000000002</v>
        <stp/>
        <stp>P</stp>
        <stp>0</stp>
        <stp>BND</stp>
        <stp>KR354202GEC7</stp>
        <stp>민평3사 수익률(산출일)</stp>
        <stp>46198</stp>
        <stp/>
        <tr r="L214" s="1"/>
      </tp>
      <tp>
        <v>3.7080000000000002</v>
        <stp/>
        <stp>P</stp>
        <stp>0</stp>
        <stp>BND</stp>
        <stp>KR101501DDA1</stp>
        <stp>민평3사 수익률(산출일)</stp>
        <stp>46198</stp>
        <stp/>
        <tr r="BT265" s="1"/>
      </tp>
      <tp>
        <v>2.931</v>
        <stp/>
        <stp>P</stp>
        <stp>0</stp>
        <stp>BND</stp>
        <stp>KR2001011BB1</stp>
        <stp>민평3사 수익률(산출일)</stp>
        <stp>46198</stp>
        <stp/>
        <tr r="L116" s="1"/>
      </tp>
      <tp>
        <v>4.0250000000000004</v>
        <stp/>
        <stp>P</stp>
        <stp>0</stp>
        <stp>BND</stp>
        <stp>KR6131791EA8</stp>
        <stp>민평3사 수익률(산출일)</stp>
        <stp>46198</stp>
        <stp/>
        <tr r="L303" s="1"/>
      </tp>
      <tp>
        <v>4.133</v>
        <stp/>
        <stp>P</stp>
        <stp>0</stp>
        <stp>BND</stp>
        <stp>KR6019455EB5</stp>
        <stp>민평3사 수익률(산출일)</stp>
        <stp>46198</stp>
        <stp/>
        <tr r="BT230" s="1"/>
      </tp>
      <tp>
        <v>4.0039999999999996</v>
        <stp/>
        <stp>P</stp>
        <stp>0</stp>
        <stp>BND</stp>
        <stp>KR350901GFC5</stp>
        <stp>민평3사 수익률(산출일)</stp>
        <stp>46198</stp>
        <stp/>
        <tr r="DD128" s="1"/>
      </tp>
      <tp>
        <v>4.0629999999999997</v>
        <stp/>
        <stp>P</stp>
        <stp>0</stp>
        <stp>BND</stp>
        <stp>KR350110GBB4</stp>
        <stp>민평3사 수익률(산출일)</stp>
        <stp>46198</stp>
        <stp/>
        <tr r="DD138" s="1"/>
      </tp>
      <tp>
        <v>4.0250000000000004</v>
        <stp/>
        <stp>P</stp>
        <stp>0</stp>
        <stp>BND</stp>
        <stp>KR354601GDC2</stp>
        <stp>민평3사 수익률(산출일)</stp>
        <stp>46198</stp>
        <stp/>
        <tr r="DD88" s="1"/>
      </tp>
      <tp>
        <v>4.2119999999999997</v>
        <stp/>
        <stp>P</stp>
        <stp>0</stp>
        <stp>BND</stp>
        <stp>KR350105G9C6</stp>
        <stp>민평3사 수익률(산출일)</stp>
        <stp>46198</stp>
        <stp/>
        <tr r="L315" s="1"/>
      </tp>
      <tp>
        <v>4.407</v>
        <stp/>
        <stp>P</stp>
        <stp>0</stp>
        <stp>BND</stp>
        <stp>KR6145766FA1</stp>
        <stp>민평3사 수익률(산출일)</stp>
        <stp>46198</stp>
        <stp/>
        <tr r="CR33" s="1"/>
      </tp>
      <tp>
        <v>4.0330000000000004</v>
        <stp/>
        <stp>P</stp>
        <stp>0</stp>
        <stp>BND</stp>
        <stp>KR352201GDC3</stp>
        <stp>민평3사 수익률(산출일)</stp>
        <stp>46198</stp>
        <stp/>
        <tr r="L353" s="1"/>
      </tp>
      <tp>
        <v>4.0739999999999998</v>
        <stp/>
        <stp>P</stp>
        <stp>0</stp>
        <stp>BND</stp>
        <stp>KR353601GDC3</stp>
        <stp>민평3사 수익률(산출일)</stp>
        <stp>46198</stp>
        <stp/>
        <tr r="BT216" s="1"/>
      </tp>
      <tp>
        <v>4.0629999999999997</v>
        <stp/>
        <stp>P</stp>
        <stp>0</stp>
        <stp>BND</stp>
        <stp>KR350112GBB0</stp>
        <stp>민평3사 수익률(산출일)</stp>
        <stp>46198</stp>
        <stp/>
        <tr r="L51" s="1"/>
      </tp>
      <tp>
        <v>4.0629999999999997</v>
        <stp/>
        <stp>P</stp>
        <stp>0</stp>
        <stp>BND</stp>
        <stp>KR350114GBB6</stp>
        <stp>민평3사 수익률(산출일)</stp>
        <stp>46198</stp>
        <stp/>
        <tr r="L207" s="1"/>
      </tp>
      <tp>
        <v>4.3769999999999998</v>
        <stp/>
        <stp>P</stp>
        <stp>0</stp>
        <stp>BND</stp>
        <stp>KR6068402EB7</stp>
        <stp>민평3사 수익률(산출일)</stp>
        <stp>46198</stp>
        <stp/>
        <tr r="CR40" s="1"/>
      </tp>
      <tp>
        <v>4.0570000000000004</v>
        <stp/>
        <stp>P</stp>
        <stp>0</stp>
        <stp>BND</stp>
        <stp>KR356103GFC2</stp>
        <stp>민평3사 수익률(산출일)</stp>
        <stp>46198</stp>
        <stp/>
        <tr r="BT90" s="1"/>
        <tr r="DP10" s="1"/>
      </tp>
      <tp>
        <v>4.0640000000000001</v>
        <stp/>
        <stp>P</stp>
        <stp>0</stp>
        <stp>BND</stp>
        <stp>KR350104GBC5</stp>
        <stp>민평3사 수익률(산출일)</stp>
        <stp>46198</stp>
        <stp/>
        <tr r="L208" s="1"/>
      </tp>
      <tp>
        <v>4.3239999999999998</v>
        <stp/>
        <stp>P</stp>
        <stp>0</stp>
        <stp>BND</stp>
        <stp>KR356113GFB3</stp>
        <stp>민평3사 수익률(산출일)</stp>
        <stp>46198</stp>
        <stp/>
        <tr r="BT88" s="1"/>
      </tp>
      <tp>
        <v>4.18</v>
        <stp/>
        <stp>P</stp>
        <stp>0</stp>
        <stp>BND</stp>
        <stp>KRC0350C3338</stp>
        <stp>민평3사 수익률(산출일)</stp>
        <stp>46198</stp>
        <stp/>
        <tr r="L259" s="1"/>
      </tp>
      <tp>
        <v>3.9449999999999998</v>
        <stp/>
        <stp>P</stp>
        <stp>0</stp>
        <stp>BND</stp>
        <stp>KRC0350C3031</stp>
        <stp>민평3사 수익률(산출일)</stp>
        <stp>46198</stp>
        <stp/>
        <tr r="L70" s="1"/>
      </tp>
      <tp>
        <v>4.0970000000000004</v>
        <stp/>
        <stp>P</stp>
        <stp>0</stp>
        <stp>BND</stp>
        <stp>KRC0350C3130</stp>
        <stp>민평3사 수익률(산출일)</stp>
        <stp>46198</stp>
        <stp/>
        <tr r="L250" s="1"/>
      </tp>
      <tp>
        <v>3.6179999999999999</v>
        <stp/>
        <stp>P</stp>
        <stp>0</stp>
        <stp>BND</stp>
        <stp>KRC0350C2835</stp>
        <stp>민평3사 수익률(산출일)</stp>
        <stp>46198</stp>
        <stp/>
        <tr r="L272" s="1"/>
        <tr r="X47" s="1"/>
        <tr r="DD39" s="1"/>
      </tp>
      <tp>
        <v>3.798</v>
        <stp/>
        <stp>P</stp>
        <stp>0</stp>
        <stp>BND</stp>
        <stp>KRC0350C2934</stp>
        <stp>민평3사 수익률(산출일)</stp>
        <stp>46198</stp>
        <stp/>
        <tr r="L311" s="1"/>
      </tp>
      <tp>
        <v>4.2489999999999997</v>
        <stp/>
        <stp>P</stp>
        <stp>0</stp>
        <stp>BND</stp>
        <stp>KRC0350C3734</stp>
        <stp>민평3사 수익률(산출일)</stp>
        <stp>46198</stp>
        <stp/>
        <tr r="L271" s="1"/>
      </tp>
      <tp>
        <v>4.3780000000000001</v>
        <stp/>
        <stp>P</stp>
        <stp>0</stp>
        <stp>BND</stp>
        <stp>KRC0350C4534</stp>
        <stp>민평3사 수익률(산출일)</stp>
        <stp>46198</stp>
        <stp/>
        <tr r="DD281" s="1"/>
      </tp>
      <tp>
        <v>4.2</v>
        <stp/>
        <stp>P</stp>
        <stp>0</stp>
        <stp>BND</stp>
        <stp>KRC0350C3437</stp>
        <stp>민평3사 수익률(산출일)</stp>
        <stp>46198</stp>
        <stp/>
        <tr r="L263" s="1"/>
        <tr r="BT152" s="1"/>
      </tp>
      <tp>
        <v>3.1259999999999999</v>
        <stp/>
        <stp>P</stp>
        <stp>0</stp>
        <stp>BND</stp>
        <stp>KRC0350C2736</stp>
        <stp>민평3사 수익률(산출일)</stp>
        <stp>46198</stp>
        <stp/>
        <tr r="L264" s="1"/>
      </tp>
      <tp>
        <v>3.778</v>
        <stp/>
        <stp>P</stp>
        <stp>0</stp>
        <stp>BND</stp>
        <stp>KR2001011BC9</stp>
        <stp>민평3사 수익률(산출일)</stp>
        <stp>46198</stp>
        <stp/>
        <tr r="DD268" s="1"/>
      </tp>
      <tp>
        <v>4.2750000000000004</v>
        <stp/>
        <stp>P</stp>
        <stp>0</stp>
        <stp>BND</stp>
        <stp>KR6017673DA9</stp>
        <stp>민평3사 수익률(산출일)</stp>
        <stp>46198</stp>
        <stp/>
        <tr r="BT32" s="1"/>
      </tp>
      <tp>
        <v>3.5169999999999999</v>
        <stp/>
        <stp>P</stp>
        <stp>0</stp>
        <stp>BND</stp>
        <stp>KR2001274AA9</stp>
        <stp>민평3사 수익률(산출일)</stp>
        <stp>46198</stp>
        <stp/>
        <tr r="DD239" s="1"/>
      </tp>
      <tp>
        <v>3.371</v>
        <stp/>
        <stp>P</stp>
        <stp>0</stp>
        <stp>BND</stp>
        <stp>KR6028671EA8</stp>
        <stp>민평3사 수익률(산출일)</stp>
        <stp>46198</stp>
        <stp/>
        <tr r="CR10" s="1"/>
      </tp>
      <tp>
        <v>3.8769999999999998</v>
        <stp/>
        <stp>P</stp>
        <stp>0</stp>
        <stp>BND</stp>
        <stp>KR620549AFC9</stp>
        <stp>민평3사 수익률(산출일)</stp>
        <stp>46198</stp>
        <stp/>
        <tr r="L28" s="1"/>
      </tp>
      <tp>
        <v>4.383</v>
        <stp/>
        <stp>P</stp>
        <stp>0</stp>
        <stp>BND</stp>
        <stp>KR350901G8B6</stp>
        <stp>민평3사 수익률(산출일)</stp>
        <stp>46198</stp>
        <stp/>
        <tr r="L62" s="1"/>
      </tp>
      <tp>
        <v>3.8109999999999999</v>
        <stp/>
        <stp>P</stp>
        <stp>0</stp>
        <stp>BND</stp>
        <stp>KR351604GCB3</stp>
        <stp>민평3사 수익률(산출일)</stp>
        <stp>46198</stp>
        <stp/>
        <tr r="DD263" s="1"/>
      </tp>
      <tp>
        <v>4.016</v>
        <stp/>
        <stp>P</stp>
        <stp>0</stp>
        <stp>BND</stp>
        <stp>KR6019452FC7</stp>
        <stp>민평3사 수익률(산출일)</stp>
        <stp>46198</stp>
        <stp/>
        <tr r="DD102" s="1"/>
      </tp>
      <tp>
        <v>4.0880000000000001</v>
        <stp/>
        <stp>P</stp>
        <stp>0</stp>
        <stp>BND</stp>
        <stp>KR6008565EB4</stp>
        <stp>민평3사 수익률(산출일)</stp>
        <stp>46198</stp>
        <stp/>
        <tr r="BT56" s="1"/>
      </tp>
      <tp>
        <v>3.2949999999999999</v>
        <stp/>
        <stp>P</stp>
        <stp>0</stp>
        <stp>BND</stp>
        <stp>KR6033665DA5</stp>
        <stp>민평3사 수익률(산출일)</stp>
        <stp>46198</stp>
        <stp/>
        <tr r="CF19" s="1"/>
      </tp>
      <tp>
        <v>3.7770000000000001</v>
        <stp/>
        <stp>P</stp>
        <stp>0</stp>
        <stp>BND</stp>
        <stp>KR2001051BC5</stp>
        <stp>민평3사 수익률(산출일)</stp>
        <stp>46198</stp>
        <stp/>
        <tr r="L247" s="1"/>
      </tp>
      <tp>
        <v>3.3620000000000001</v>
        <stp/>
        <stp>P</stp>
        <stp>0</stp>
        <stp>BND</stp>
        <stp>KR6008564EB7</stp>
        <stp>민평3사 수익률(산출일)</stp>
        <stp>46198</stp>
        <stp/>
        <tr r="CF58" s="1"/>
      </tp>
      <tp>
        <v>3.5990000000000002</v>
        <stp/>
        <stp>P</stp>
        <stp>0</stp>
        <stp>BND</stp>
        <stp>KR2044022CC3</stp>
        <stp>민평3사 수익률(산출일)</stp>
        <stp>46198</stp>
        <stp/>
        <tr r="BT214" s="1"/>
      </tp>
      <tp>
        <v>3.1480000000000001</v>
        <stp/>
        <stp>P</stp>
        <stp>0</stp>
        <stp>BND</stp>
        <stp>KR350103G9B0</stp>
        <stp>민평3사 수익률(산출일)</stp>
        <stp>46198</stp>
        <stp/>
        <tr r="BT215" s="1"/>
      </tp>
      <tp>
        <v>4.4820000000000002</v>
        <stp/>
        <stp>P</stp>
        <stp>0</stp>
        <stp>BND</stp>
        <stp>KR350701G6B2</stp>
        <stp>민평3사 수익률(산출일)</stp>
        <stp>46198</stp>
        <stp/>
        <tr r="L268" s="1"/>
      </tp>
      <tp>
        <v>3.298</v>
        <stp/>
        <stp>P</stp>
        <stp>0</stp>
        <stp>BND</stp>
        <stp>KR6033662EA0</stp>
        <stp>민평3사 수익률(산출일)</stp>
        <stp>46198</stp>
        <stp/>
        <tr r="BT166" s="1"/>
      </tp>
      <tp>
        <v>4.4320000000000004</v>
        <stp/>
        <stp>P</stp>
        <stp>0</stp>
        <stp>BND</stp>
        <stp>KR60665626B0</stp>
        <stp>민평3사 수익률(산출일)</stp>
        <stp>46198</stp>
        <stp/>
        <tr r="L248" s="1"/>
      </tp>
      <tp>
        <v>4.6029999999999998</v>
        <stp/>
        <stp>P</stp>
        <stp>0</stp>
        <stp>BND</stp>
        <stp>KR6063622FA4</stp>
        <stp>민평3사 수익률(산출일)</stp>
        <stp>46198</stp>
        <stp/>
        <tr r="EB74" s="1"/>
      </tp>
      <tp>
        <v>3.3559999999999999</v>
        <stp/>
        <stp>P</stp>
        <stp>0</stp>
        <stp>BND</stp>
        <stp>KR6008563DB1</stp>
        <stp>민평3사 수익률(산출일)</stp>
        <stp>46198</stp>
        <stp/>
        <tr r="DD25" s="1"/>
      </tp>
      <tp>
        <v>3.1429999999999998</v>
        <stp/>
        <stp>P</stp>
        <stp>0</stp>
        <stp>BND</stp>
        <stp>KR356108GDB8</stp>
        <stp>민평3사 수익률(산출일)</stp>
        <stp>46198</stp>
        <stp/>
        <tr r="BT147" s="1"/>
      </tp>
      <tp>
        <v>4.1159999999999997</v>
        <stp/>
        <stp>P</stp>
        <stp>0</stp>
        <stp>BND</stp>
        <stp>KR354201GEB1</stp>
        <stp>민평3사 수익률(산출일)</stp>
        <stp>46198</stp>
        <stp/>
        <tr r="L200" s="1"/>
      </tp>
      <tp>
        <v>4.1779999999999999</v>
        <stp/>
        <stp>P</stp>
        <stp>0</stp>
        <stp>BND</stp>
        <stp>KR352702G4B2</stp>
        <stp>민평3사 수익률(산출일)</stp>
        <stp>46198</stp>
        <stp/>
        <tr r="L213" s="1"/>
      </tp>
      <tp>
        <v>4.0339999999999998</v>
        <stp/>
        <stp>P</stp>
        <stp>0</stp>
        <stp>BND</stp>
        <stp>KR350802GDB2</stp>
        <stp>민평3사 수익률(산출일)</stp>
        <stp>46198</stp>
        <stp/>
        <tr r="L89" s="1"/>
      </tp>
      <tp>
        <v>4.4589999999999996</v>
        <stp/>
        <stp>P</stp>
        <stp>0</stp>
        <stp>BND</stp>
        <stp>KR350702GEB2</stp>
        <stp>민평3사 수익률(산출일)</stp>
        <stp>46198</stp>
        <stp/>
        <tr r="L60" s="1"/>
      </tp>
      <tp>
        <v>4.0629999999999997</v>
        <stp/>
        <stp>P</stp>
        <stp>0</stp>
        <stp>BND</stp>
        <stp>KR350108GBB8</stp>
        <stp>민평3사 수익률(산출일)</stp>
        <stp>46198</stp>
        <stp/>
        <tr r="L203" s="1"/>
      </tp>
      <tp>
        <v>3.915</v>
        <stp/>
        <stp>P</stp>
        <stp>0</stp>
        <stp>BND</stp>
        <stp>KR103502G9C8</stp>
        <stp>민평3사 수익률(산출일)</stp>
        <stp>46198</stp>
        <stp/>
        <tr r="L290" s="1"/>
        <tr r="BT143" s="1"/>
        <tr r="DD141" s="1"/>
      </tp>
      <tp>
        <v>4.1079999999999997</v>
        <stp/>
        <stp>P</stp>
        <stp>0</stp>
        <stp>BND</stp>
        <stp>KR103502GCC8</stp>
        <stp>민평3사 수익률(산출일)</stp>
        <stp>46198</stp>
        <stp/>
        <tr r="L349" s="1"/>
        <tr r="AV14" s="1"/>
        <tr r="BT136" s="1"/>
        <tr r="DD41" s="1"/>
      </tp>
      <tp>
        <v>4.0739999999999998</v>
        <stp/>
        <stp>P</stp>
        <stp>0</stp>
        <stp>BND</stp>
        <stp>KR10350271C8</stp>
        <stp>민평3사 수익률(산출일)</stp>
        <stp>46198</stp>
        <stp/>
        <tr r="L37" s="1"/>
        <tr r="BT226" s="1"/>
        <tr r="DD45" s="1"/>
      </tp>
      <tp>
        <v>4.3049999999999997</v>
        <stp/>
        <stp>P</stp>
        <stp>0</stp>
        <stp>BND</stp>
        <stp>KR103502G4C9</stp>
        <stp>민평3사 수익률(산출일)</stp>
        <stp>46198</stp>
        <stp/>
        <tr r="AJ26" s="1"/>
        <tr r="DD246" s="1"/>
      </tp>
      <tp>
        <v>2.746</v>
        <stp/>
        <stp>P</stp>
        <stp>0</stp>
        <stp>BND</stp>
        <stp>KR310101GEA8</stp>
        <stp>민평3사 수익률(산출일)</stp>
        <stp>46198</stp>
        <stp/>
        <tr r="L95" s="1"/>
        <tr r="BT158" s="1"/>
      </tp>
      <tp>
        <v>2.9860000000000002</v>
        <stp/>
        <stp>P</stp>
        <stp>0</stp>
        <stp>BND</stp>
        <stp>KR103501GDC8</stp>
        <stp>민평3사 수익률(산출일)</stp>
        <stp>46198</stp>
        <stp/>
        <tr r="L286" s="1"/>
      </tp>
      <tp>
        <v>4.0019999999999998</v>
        <stp/>
        <stp>P</stp>
        <stp>0</stp>
        <stp>BND</stp>
        <stp>KR350705GDA9</stp>
        <stp>민평3사 수익률(산출일)</stp>
        <stp>46198</stp>
        <stp/>
        <tr r="L346" s="1"/>
      </tp>
      <tp>
        <v>4.2990000000000004</v>
        <stp/>
        <stp>P</stp>
        <stp>0</stp>
        <stp>BND</stp>
        <stp>KR10350172C8</stp>
        <stp>민평3사 수익률(산출일)</stp>
        <stp>46198</stp>
        <stp/>
        <tr r="L22" s="1"/>
        <tr r="DD42" s="1"/>
      </tp>
      <tp>
        <v>4.1980000000000004</v>
        <stp/>
        <stp>P</stp>
        <stp>0</stp>
        <stp>BND</stp>
        <stp>KR350109GEA2</stp>
        <stp>민평3사 수익률(산출일)</stp>
        <stp>46198</stp>
        <stp/>
        <tr r="L181" s="1"/>
      </tp>
      <tp>
        <v>3.5539999999999998</v>
        <stp/>
        <stp>P</stp>
        <stp>0</stp>
        <stp>BND</stp>
        <stp>KR2001284AB6</stp>
        <stp>민평3사 수익률(산출일)</stp>
        <stp>46198</stp>
        <stp/>
        <tr r="DD159" s="1"/>
      </tp>
      <tp>
        <v>3.9540000000000002</v>
        <stp/>
        <stp>P</stp>
        <stp>0</stp>
        <stp>BND</stp>
        <stp>KR60867937C5</stp>
        <stp>민평3사 수익률(산출일)</stp>
        <stp>46198</stp>
        <stp/>
        <tr r="L256" s="1"/>
        <tr r="DD269" s="1"/>
      </tp>
      <tp>
        <v>4.0599999999999996</v>
        <stp/>
        <stp>P</stp>
        <stp>0</stp>
        <stp>BND</stp>
        <stp>KR355901GDA9</stp>
        <stp>민평3사 수익률(산출일)</stp>
        <stp>46198</stp>
        <stp/>
        <tr r="BT271" s="1"/>
      </tp>
      <tp>
        <v>3.6949999999999998</v>
        <stp/>
        <stp>P</stp>
        <stp>0</stp>
        <stp>BND</stp>
        <stp>KR103502G8C0</stp>
        <stp>민평3사 수익률(산출일)</stp>
        <stp>46198</stp>
        <stp/>
        <tr r="BT200" s="1"/>
        <tr r="L334" s="1"/>
      </tp>
      <tp>
        <v>3.6949999999999998</v>
        <stp/>
        <stp>P</stp>
        <stp>0</stp>
        <stp>BND</stp>
        <stp>KR103501GFC3</stp>
        <stp>민평3사 수익률(산출일)</stp>
        <stp>46198</stp>
        <stp/>
        <tr r="BH9" s="1"/>
        <tr r="BT95" s="1"/>
        <tr r="DP9" s="1"/>
      </tp>
      <tp>
        <v>4.0739999999999998</v>
        <stp/>
        <stp>P</stp>
        <stp>0</stp>
        <stp>BND</stp>
        <stp>KR103502GBC0</stp>
        <stp>민평3사 수익률(산출일)</stp>
        <stp>46198</stp>
        <stp/>
        <tr r="L35" s="1"/>
        <tr r="X44" s="1"/>
        <tr r="BT28" s="1"/>
        <tr r="DD140" s="1"/>
      </tp>
      <tp>
        <v>4.5789999999999997</v>
        <stp/>
        <stp>P</stp>
        <stp>0</stp>
        <stp>BND</stp>
        <stp>KR381002GBA8</stp>
        <stp>민평3사 수익률(산출일)</stp>
        <stp>46198</stp>
        <stp/>
        <tr r="EB70" s="1"/>
      </tp>
      <tp>
        <v>4.17</v>
        <stp/>
        <stp>P</stp>
        <stp>0</stp>
        <stp>BND</stp>
        <stp>KR352702G4A4</stp>
        <stp>민평3사 수익률(산출일)</stp>
        <stp>46198</stp>
        <stp/>
        <tr r="DD139" s="1"/>
      </tp>
      <tp>
        <v>4.1280000000000001</v>
        <stp/>
        <stp>P</stp>
        <stp>0</stp>
        <stp>BND</stp>
        <stp>KR103502G3C1</stp>
        <stp>민평3사 수익률(산출일)</stp>
        <stp>46198</stp>
        <stp/>
        <tr r="L319" s="1"/>
        <tr r="BT206" s="1"/>
        <tr r="DD283" s="1"/>
      </tp>
      <tp>
        <v>4.17</v>
        <stp/>
        <stp>P</stp>
        <stp>0</stp>
        <stp>BND</stp>
        <stp>KR103502GFC1</stp>
        <stp>민평3사 수익률(산출일)</stp>
        <stp>46198</stp>
        <stp/>
        <tr r="X12" s="1"/>
        <tr r="BT10" s="1"/>
        <tr r="AV9" s="1"/>
        <tr r="L14" s="1"/>
        <tr r="DD40" s="1"/>
        <tr r="DP20" s="1"/>
      </tp>
      <tp>
        <v>3.4660000000000002</v>
        <stp/>
        <stp>P</stp>
        <stp>0</stp>
        <stp>BND</stp>
        <stp>KR351601GEA7</stp>
        <stp>민평3사 수익률(산출일)</stp>
        <stp>46198</stp>
        <stp/>
        <tr r="L107" s="1"/>
      </tp>
      <tp>
        <v>3.3029999999999999</v>
        <stp/>
        <stp>P</stp>
        <stp>0</stp>
        <stp>BND</stp>
        <stp>KR6008561EA5</stp>
        <stp>민평3사 수익률(산출일)</stp>
        <stp>46198</stp>
        <stp/>
        <tr r="BT169" s="1"/>
      </tp>
      <tp>
        <v>4.4880000000000004</v>
        <stp/>
        <stp>P</stp>
        <stp>0</stp>
        <stp>BND</stp>
        <stp>KR6030624EB1</stp>
        <stp>민평3사 수익률(산출일)</stp>
        <stp>46198</stp>
        <stp/>
        <tr r="CR21" s="1"/>
      </tp>
      <tp>
        <v>3.5059999999999998</v>
        <stp/>
        <stp>P</stp>
        <stp>0</stp>
        <stp>BND</stp>
        <stp>KR103502G7C2</stp>
        <stp>민평3사 수익률(산출일)</stp>
        <stp>46198</stp>
        <stp/>
        <tr r="L383" s="1"/>
        <tr r="DD302" s="1"/>
      </tp>
      <tp>
        <v>4.0199999999999996</v>
        <stp/>
        <stp>P</stp>
        <stp>0</stp>
        <stp>BND</stp>
        <stp>KR103502GAC2</stp>
        <stp>민평3사 수익률(산출일)</stp>
        <stp>46198</stp>
        <stp/>
        <tr r="L55" s="1"/>
        <tr r="BT130" s="1"/>
        <tr r="DD26" s="1"/>
      </tp>
      <tp>
        <v>4.3680000000000003</v>
        <stp/>
        <stp>P</stp>
        <stp>0</stp>
        <stp>BND</stp>
        <stp>KR358301GFA4</stp>
        <stp>민평3사 수익률(산출일)</stp>
        <stp>46198</stp>
        <stp/>
        <tr r="BT94" s="1"/>
        <tr r="EB65" s="1"/>
      </tp>
      <tp>
        <v>3.9319999999999999</v>
        <stp/>
        <stp>P</stp>
        <stp>0</stp>
        <stp>BND</stp>
        <stp>KR60176737B7</stp>
        <stp>민평3사 수익률(산출일)</stp>
        <stp>46198</stp>
        <stp/>
        <tr r="BT233" s="1"/>
      </tp>
      <tp>
        <v>4.4939999999999998</v>
        <stp/>
        <stp>P</stp>
        <stp>0</stp>
        <stp>BND</stp>
        <stp>KR350706GFA2</stp>
        <stp>민평3사 수익률(산출일)</stp>
        <stp>46198</stp>
        <stp/>
        <tr r="L64" s="1"/>
      </tp>
      <tp>
        <v>3.01</v>
        <stp/>
        <stp>P</stp>
        <stp>0</stp>
        <stp>BND</stp>
        <stp>KR350101GBA5</stp>
        <stp>민평3사 수익률(산출일)</stp>
        <stp>46198</stp>
        <stp/>
        <tr r="DD256" s="1"/>
      </tp>
      <tp>
        <v>4.3220000000000001</v>
        <stp/>
        <stp>P</stp>
        <stp>0</stp>
        <stp>BND</stp>
        <stp>KR350702GDA6</stp>
        <stp>민평3사 수익률(산출일)</stp>
        <stp>46198</stp>
        <stp/>
        <tr r="BT264" s="1"/>
      </tp>
      <tp>
        <v>4.3380000000000001</v>
        <stp/>
        <stp>P</stp>
        <stp>0</stp>
        <stp>BND</stp>
        <stp>KR6033661FB7</stp>
        <stp>민평3사 수익률(산출일)</stp>
        <stp>46198</stp>
        <stp/>
        <tr r="DD132" s="1"/>
      </tp>
      <tp>
        <v>3.9140000000000001</v>
        <stp/>
        <stp>P</stp>
        <stp>0</stp>
        <stp>BND</stp>
        <stp>KR1035027WC3</stp>
        <stp>민평3사 수익률(산출일)</stp>
        <stp>46198</stp>
        <stp/>
        <tr r="DD49" s="1"/>
        <tr r="BT24" s="1"/>
      </tp>
      <tp>
        <v>2.9860000000000002</v>
        <stp/>
        <stp>P</stp>
        <stp>0</stp>
        <stp>BND</stp>
        <stp>KR103502G6C4</stp>
        <stp>민평3사 수익률(산출일)</stp>
        <stp>46198</stp>
        <stp/>
        <tr r="BT207" s="1"/>
        <tr r="L299" s="1"/>
      </tp>
      <tp>
        <v>4.12</v>
        <stp/>
        <stp>P</stp>
        <stp>0</stp>
        <stp>BND</stp>
        <stp>KR103502GEC4</stp>
        <stp>민평3사 수익률(산출일)</stp>
        <stp>46198</stp>
        <stp/>
        <tr r="L359" s="1"/>
        <tr r="BT247" s="1"/>
        <tr r="AV11" s="1"/>
        <tr r="X9" s="1"/>
        <tr r="DD152" s="1"/>
      </tp>
      <tp>
        <v>3.5049999999999999</v>
        <stp/>
        <stp>P</stp>
        <stp>0</stp>
        <stp>BND</stp>
        <stp>KR103501GEC6</stp>
        <stp>민평3사 수익률(산출일)</stp>
        <stp>46198</stp>
        <stp/>
        <tr r="L354" s="1"/>
        <tr r="BH13" s="1"/>
        <tr r="BT275" s="1"/>
      </tp>
      <tp>
        <v>4.0019999999999998</v>
        <stp/>
        <stp>P</stp>
        <stp>0</stp>
        <stp>BND</stp>
        <stp>KR350705GEA7</stp>
        <stp>민평3사 수익률(산출일)</stp>
        <stp>46198</stp>
        <stp/>
        <tr r="L295" s="1"/>
      </tp>
      <tp>
        <v>4.3449999999999998</v>
        <stp/>
        <stp>P</stp>
        <stp>0</stp>
        <stp>BND</stp>
        <stp>KR350106GBA4</stp>
        <stp>민평3사 수익률(산출일)</stp>
        <stp>46198</stp>
        <stp/>
        <tr r="BT87" s="1"/>
      </tp>
      <tp>
        <v>4.8250000000000002</v>
        <stp/>
        <stp>P</stp>
        <stp>0</stp>
        <stp>BND</stp>
        <stp>KR6023763FC1</stp>
        <stp>민평3사 수익률(산출일)</stp>
        <stp>46198</stp>
        <stp/>
        <tr r="EB25" s="1"/>
      </tp>
      <tp>
        <v>3.2519999999999998</v>
        <stp/>
        <stp>P</stp>
        <stp>0</stp>
        <stp>BND</stp>
        <stp>KR6032642DB3</stp>
        <stp>민평3사 수익률(산출일)</stp>
        <stp>46198</stp>
        <stp/>
        <tr r="L84" s="1"/>
      </tp>
      <tp>
        <v>4.1349999999999998</v>
        <stp/>
        <stp>P</stp>
        <stp>0</stp>
        <stp>BND</stp>
        <stp>KR6033665EB1</stp>
        <stp>민평3사 수익률(산출일)</stp>
        <stp>46198</stp>
        <stp/>
        <tr r="DD89" s="1"/>
      </tp>
      <tp>
        <v>3.8490000000000002</v>
        <stp/>
        <stp>P</stp>
        <stp>0</stp>
        <stp>BND</stp>
        <stp>KR356101DEA0</stp>
        <stp>민평3사 수익률(산출일)</stp>
        <stp>46198</stp>
        <stp/>
        <tr r="L368" s="1"/>
      </tp>
      <tp>
        <v>4.1280000000000001</v>
        <stp/>
        <stp>P</stp>
        <stp>0</stp>
        <stp>BND</stp>
        <stp>KR103502GDC6</stp>
        <stp>민평3사 수익률(산출일)</stp>
        <stp>46198</stp>
        <stp/>
        <tr r="AV13" s="1"/>
        <tr r="X36" s="1"/>
        <tr r="L316" s="1"/>
        <tr r="BT17" s="1"/>
        <tr r="DD161" s="1"/>
      </tp>
      <tp>
        <v>4.3209999999999997</v>
        <stp/>
        <stp>P</stp>
        <stp>0</stp>
        <stp>BND</stp>
        <stp>KR350706GDA7</stp>
        <stp>민평3사 수익률(산출일)</stp>
        <stp>46198</stp>
        <stp/>
        <tr r="L298" s="1"/>
      </tp>
      <tp>
        <v>3.5449999999999999</v>
        <stp/>
        <stp>P</stp>
        <stp>0</stp>
        <stp>BND</stp>
        <stp>KR381004GEA8</stp>
        <stp>민평3사 수익률(산출일)</stp>
        <stp>46198</stp>
        <stp/>
        <tr r="L104" s="1"/>
      </tp>
      <tp>
        <v>4.3979999999999997</v>
        <stp/>
        <stp>P</stp>
        <stp>0</stp>
        <stp>BND</stp>
        <stp>KR6145768FC3</stp>
        <stp>민평3사 수익률(산출일)</stp>
        <stp>46198</stp>
        <stp/>
        <tr r="BT81" s="1"/>
        <tr r="DP11" s="1"/>
      </tp>
      <tp>
        <v>4.157</v>
        <stp/>
        <stp>P</stp>
        <stp>0</stp>
        <stp>BND</stp>
        <stp>KR354601G9A1</stp>
        <stp>민평3사 수익률(산출일)</stp>
        <stp>46198</stp>
        <stp/>
        <tr r="L312" s="1"/>
      </tp>
      <tp>
        <v>3.32</v>
        <stp/>
        <stp>P</stp>
        <stp>0</stp>
        <stp>BND</stp>
        <stp>KR6008671DB2</stp>
        <stp>민평3사 수익률(산출일)</stp>
        <stp>46198</stp>
        <stp/>
        <tr r="DD291" s="1"/>
      </tp>
      <tp>
        <v>3.8929999999999998</v>
        <stp/>
        <stp>P</stp>
        <stp>0</stp>
        <stp>BND</stp>
        <stp>KR6030621EB7</stp>
        <stp>민평3사 수익률(산출일)</stp>
        <stp>46198</stp>
        <stp/>
        <tr r="BT180" s="1"/>
      </tp>
      <tp>
        <v>4.3689999999999998</v>
        <stp/>
        <stp>P</stp>
        <stp>0</stp>
        <stp>BND</stp>
        <stp>KR6034732EB8</stp>
        <stp>민평3사 수익률(산출일)</stp>
        <stp>46198</stp>
        <stp/>
        <tr r="L267" s="1"/>
      </tp>
      <tp>
        <v>3.7050000000000001</v>
        <stp/>
        <stp>P</stp>
        <stp>0</stp>
        <stp>BND</stp>
        <stp>KR101501DDB9</stp>
        <stp>민평3사 수익률(산출일)</stp>
        <stp>46198</stp>
        <stp/>
        <tr r="EB48" s="1"/>
      </tp>
      <tp>
        <v>3.2919999999999998</v>
        <stp/>
        <stp>P</stp>
        <stp>0</stp>
        <stp>BND</stp>
        <stp>KR6030492BA1</stp>
        <stp>민평3사 수익률(산출일)</stp>
        <stp>46198</stp>
        <stp/>
        <tr r="DD163" s="1"/>
      </tp>
      <tp>
        <v>4.1230000000000002</v>
        <stp/>
        <stp>P</stp>
        <stp>0</stp>
        <stp>BND</stp>
        <stp>KR6023782EB6</stp>
        <stp>민평3사 수익률(산출일)</stp>
        <stp>46198</stp>
        <stp/>
        <tr r="L137" s="1"/>
      </tp>
      <tp>
        <v>4.3029999999999999</v>
        <stp/>
        <stp>P</stp>
        <stp>0</stp>
        <stp>BND</stp>
        <stp>KR6205495FA4</stp>
        <stp>민평3사 수익률(산출일)</stp>
        <stp>46198</stp>
        <stp/>
        <tr r="DD158" s="1"/>
      </tp>
      <tp>
        <v>4.0449999999999999</v>
        <stp/>
        <stp>P</stp>
        <stp>0</stp>
        <stp>BND</stp>
        <stp>KR6030492EA5</stp>
        <stp>민평3사 수익률(산출일)</stp>
        <stp>46198</stp>
        <stp/>
        <tr r="L126" s="1"/>
      </tp>
      <tp>
        <v>4.18</v>
        <stp/>
        <stp>P</stp>
        <stp>0</stp>
        <stp>BND</stp>
        <stp>KR6033663EC4</stp>
        <stp>민평3사 수익률(산출일)</stp>
        <stp>46198</stp>
        <stp/>
        <tr r="DD121" s="1"/>
      </tp>
      <tp>
        <v>4.3360000000000003</v>
        <stp/>
        <stp>P</stp>
        <stp>0</stp>
        <stp>BND</stp>
        <stp>KR6033665FC6</stp>
        <stp>민평3사 수익률(산출일)</stp>
        <stp>46198</stp>
        <stp/>
        <tr r="DD157" s="1"/>
      </tp>
      <tp>
        <v>3.28</v>
        <stp/>
        <stp>P</stp>
        <stp>0</stp>
        <stp>BND</stp>
        <stp>KR6019453DA4</stp>
        <stp>민평3사 수익률(산출일)</stp>
        <stp>46198</stp>
        <stp/>
        <tr r="CF20" s="1"/>
      </tp>
      <tp>
        <v>4.29</v>
        <stp/>
        <stp>P</stp>
        <stp>0</stp>
        <stp>BND</stp>
        <stp>KR6032714DB0</stp>
        <stp>민평3사 수익률(산출일)</stp>
        <stp>46198</stp>
        <stp/>
        <tr r="L77" s="1"/>
      </tp>
      <tp>
        <v>3.887</v>
        <stp/>
        <stp>P</stp>
        <stp>0</stp>
        <stp>BND</stp>
        <stp>KR101501DEB7</stp>
        <stp>민평3사 수익률(산출일)</stp>
        <stp>46198</stp>
        <stp/>
        <tr r="L234" s="1"/>
        <tr r="DD293" s="1"/>
      </tp>
      <tp>
        <v>3.3340000000000001</v>
        <stp/>
        <stp>P</stp>
        <stp>0</stp>
        <stp>BND</stp>
        <stp>KR6032715DB7</stp>
        <stp>민평3사 수익률(산출일)</stp>
        <stp>46198</stp>
        <stp/>
        <tr r="BT211" s="1"/>
      </tp>
      <tp>
        <v>4.3929999999999998</v>
        <stp/>
        <stp>P</stp>
        <stp>0</stp>
        <stp>BND</stp>
        <stp>KR6017673EC3</stp>
        <stp>민평3사 수익률(산출일)</stp>
        <stp>46198</stp>
        <stp/>
        <tr r="DD280" s="1"/>
      </tp>
      <tp>
        <v>3.2869999999999999</v>
        <stp/>
        <stp>P</stp>
        <stp>0</stp>
        <stp>BND</stp>
        <stp>KR6007071EB4</stp>
        <stp>민평3사 수익률(산출일)</stp>
        <stp>46198</stp>
        <stp/>
        <tr r="BT181" s="1"/>
      </tp>
      <tp>
        <v>4.0220000000000002</v>
        <stp/>
        <stp>P</stp>
        <stp>0</stp>
        <stp>BND</stp>
        <stp>KR6174142FC5</stp>
        <stp>민평3사 수익률(산출일)</stp>
        <stp>46198</stp>
        <stp/>
        <tr r="DD108" s="1"/>
      </tp>
      <tp>
        <v>3.4079999999999999</v>
        <stp/>
        <stp>P</stp>
        <stp>0</stp>
        <stp>BND</stp>
        <stp>KR6025083DB9</stp>
        <stp>민평3사 수익률(산출일)</stp>
        <stp>46198</stp>
        <stp/>
        <tr r="CF17" s="1"/>
      </tp>
      <tp>
        <v>4.5510000000000002</v>
        <stp/>
        <stp>P</stp>
        <stp>0</stp>
        <stp>BND</stp>
        <stp>KR6214342FA7</stp>
        <stp>민평3사 수익률(산출일)</stp>
        <stp>46198</stp>
        <stp/>
        <tr r="EB50" s="1"/>
      </tp>
      <tp>
        <v>4.2699999999999996</v>
        <stp/>
        <stp>P</stp>
        <stp>0</stp>
        <stp>BND</stp>
        <stp>KR6169379EA7</stp>
        <stp>민평3사 수익률(산출일)</stp>
        <stp>46198</stp>
        <stp/>
        <tr r="DD55" s="1"/>
      </tp>
      <tp>
        <v>4.3840000000000003</v>
        <stp/>
        <stp>P</stp>
        <stp>0</stp>
        <stp>BND</stp>
        <stp>KR63161419C1</stp>
        <stp>민평3사 수익률(산출일)</stp>
        <stp>46198</stp>
        <stp/>
        <tr r="EB66" s="1"/>
      </tp>
      <tp>
        <v>3.9929999999999999</v>
        <stp/>
        <stp>P</stp>
        <stp>0</stp>
        <stp>BND</stp>
        <stp>KR6175332FA5</stp>
        <stp>민평3사 수익률(산출일)</stp>
        <stp>46198</stp>
        <stp/>
        <tr r="BT232" s="1"/>
      </tp>
      <tp>
        <v>4.194</v>
        <stp/>
        <stp>P</stp>
        <stp>0</stp>
        <stp>BND</stp>
        <stp>KR6140177FC2</stp>
        <stp>민평3사 수익률(산출일)</stp>
        <stp>46198</stp>
        <stp/>
        <tr r="BT236" s="1"/>
      </tp>
      <tp>
        <v>4.157</v>
        <stp/>
        <stp>P</stp>
        <stp>0</stp>
        <stp>BND</stp>
        <stp>KR6079313EA5</stp>
        <stp>민평3사 수익률(산출일)</stp>
        <stp>46198</stp>
        <stp/>
        <tr r="DD84" s="1"/>
      </tp>
      <tp>
        <v>3.266</v>
        <stp/>
        <stp>P</stp>
        <stp>0</stp>
        <stp>BND</stp>
        <stp>KR6104232DA8</stp>
        <stp>민평3사 수익률(산출일)</stp>
        <stp>46198</stp>
        <stp/>
        <tr r="CF33" s="1"/>
      </tp>
      <tp>
        <v>4.6740000000000004</v>
        <stp/>
        <stp>P</stp>
        <stp>0</stp>
        <stp>BND</stp>
        <stp>KR6095081FC1</stp>
        <stp>민평3사 수익률(산출일)</stp>
        <stp>46198</stp>
        <stp/>
        <tr r="EB38" s="1"/>
      </tp>
      <tp>
        <v>4.2869999999999999</v>
        <stp/>
        <stp>P</stp>
        <stp>0</stp>
        <stp>BND</stp>
        <stp>KR6140179BB9</stp>
        <stp>민평3사 수익률(산출일)</stp>
        <stp>46198</stp>
        <stp/>
        <tr r="L67" s="1"/>
      </tp>
      <tp>
        <v>4.1210000000000004</v>
        <stp/>
        <stp>P</stp>
        <stp>0</stp>
        <stp>BND</stp>
        <stp>KR6034231FA0</stp>
        <stp>민평3사 수익률(산출일)</stp>
        <stp>46198</stp>
        <stp/>
        <tr r="CR50" s="1"/>
      </tp>
      <tp>
        <v>3.88</v>
        <stp/>
        <stp>P</stp>
        <stp>0</stp>
        <stp>BND</stp>
        <stp>KR6152251EA7</stp>
        <stp>민평3사 수익률(산출일)</stp>
        <stp>46198</stp>
        <stp/>
        <tr r="BT224" s="1"/>
      </tp>
      <tp>
        <v>3.2429999999999999</v>
        <stp/>
        <stp>P</stp>
        <stp>0</stp>
        <stp>BND</stp>
        <stp>KR6140173EB6</stp>
        <stp>민평3사 수익률(산출일)</stp>
        <stp>46198</stp>
        <stp/>
        <tr r="L239" s="1"/>
      </tp>
      <tp>
        <v>3.9769999999999999</v>
        <stp/>
        <stp>P</stp>
        <stp>0</stp>
        <stp>BND</stp>
        <stp>KR6272211FA3</stp>
        <stp>민평3사 수익률(산출일)</stp>
        <stp>46198</stp>
        <stp/>
        <tr r="BT31" s="1"/>
      </tp>
      <tp>
        <v>3.3410000000000002</v>
        <stp/>
        <stp>P</stp>
        <stp>0</stp>
        <stp>BND</stp>
        <stp>KR6029271EA6</stp>
        <stp>민평3사 수익률(산출일)</stp>
        <stp>46198</stp>
        <stp/>
        <tr r="CF49" s="1"/>
      </tp>
      <tp>
        <v>4.3490000000000002</v>
        <stp/>
        <stp>P</stp>
        <stp>0</stp>
        <stp>BND</stp>
        <stp>KR6097247FA0</stp>
        <stp>민평3사 수익률(산출일)</stp>
        <stp>46198</stp>
        <stp/>
        <tr r="L191" s="1"/>
      </tp>
      <tp>
        <v>4.125</v>
        <stp/>
        <stp>P</stp>
        <stp>0</stp>
        <stp>BND</stp>
        <stp>KRC0350C3163</stp>
        <stp>민평3사 수익률(산출일)</stp>
        <stp>46198</stp>
        <stp/>
        <tr r="L251" s="1"/>
      </tp>
      <tp>
        <v>4.2910000000000004</v>
        <stp/>
        <stp>P</stp>
        <stp>0</stp>
        <stp>BND</stp>
        <stp>KRC0350C4062</stp>
        <stp>민평3사 수익률(산출일)</stp>
        <stp>46198</stp>
        <stp/>
        <tr r="DD309" s="1"/>
      </tp>
      <tp>
        <v>3.976</v>
        <stp/>
        <stp>P</stp>
        <stp>0</stp>
        <stp>BND</stp>
        <stp>KRC0350C3064</stp>
        <stp>민평3사 수익률(산출일)</stp>
        <stp>46198</stp>
        <stp/>
        <tr r="L292" s="1"/>
      </tp>
      <tp>
        <v>5.2229999999999999</v>
        <stp/>
        <stp>P</stp>
        <stp>0</stp>
        <stp>BND</stp>
        <stp>KR6046294FB2</stp>
        <stp>민평3사 수익률(산출일)</stp>
        <stp>46198</stp>
        <stp/>
        <tr r="CR20" s="1"/>
      </tp>
      <tp>
        <v>4.1440000000000001</v>
        <stp/>
        <stp>P</stp>
        <stp>0</stp>
        <stp>BND</stp>
        <stp>KR6008279FB9</stp>
        <stp>민평3사 수익률(산출일)</stp>
        <stp>46198</stp>
        <stp/>
        <tr r="BT231" s="1"/>
      </tp>
      <tp>
        <v>3.4209999999999998</v>
        <stp/>
        <stp>P</stp>
        <stp>0</stp>
        <stp>BND</stp>
        <stp>KR6097242FB9</stp>
        <stp>민평3사 수익률(산출일)</stp>
        <stp>46198</stp>
        <stp/>
        <tr r="CF65" s="1"/>
      </tp>
      <tp>
        <v>4.5490000000000004</v>
        <stp/>
        <stp>P</stp>
        <stp>0</stp>
        <stp>BND</stp>
        <stp>KR6214341FC5</stp>
        <stp>민평3사 수익률(산출일)</stp>
        <stp>46198</stp>
        <stp/>
        <tr r="BT65" s="1"/>
      </tp>
      <tp>
        <v>3.2829999999999999</v>
        <stp/>
        <stp>P</stp>
        <stp>0</stp>
        <stp>BND</stp>
        <stp>KR6079311FC2</stp>
        <stp>민평3사 수익률(산출일)</stp>
        <stp>46198</stp>
        <stp/>
        <tr r="CF68" s="1"/>
      </tp>
      <tp>
        <v>3.1869999999999998</v>
        <stp/>
        <stp>P</stp>
        <stp>0</stp>
        <stp>BND</stp>
        <stp>KR6004171EA7</stp>
        <stp>민평3사 수익률(산출일)</stp>
        <stp>46198</stp>
        <stp/>
        <tr r="L238" s="1"/>
      </tp>
      <tp>
        <v>4.2949999999999999</v>
        <stp/>
        <stp>P</stp>
        <stp>0</stp>
        <stp>BND</stp>
        <stp>KR6140172FA7</stp>
        <stp>민평3사 수익률(산출일)</stp>
        <stp>46198</stp>
        <stp/>
        <tr r="L187" s="1"/>
      </tp>
      <tp>
        <v>4.3410000000000002</v>
        <stp/>
        <stp>P</stp>
        <stp>0</stp>
        <stp>BND</stp>
        <stp>KR617414BFA3</stp>
        <stp>민평3사 수익률(산출일)</stp>
        <stp>46198</stp>
        <stp/>
        <tr r="L209" s="1"/>
      </tp>
      <tp>
        <v>3.3570000000000002</v>
        <stp/>
        <stp>P</stp>
        <stp>0</stp>
        <stp>BND</stp>
        <stp>KR607931CDC7</stp>
        <stp>민평3사 수익률(산출일)</stp>
        <stp>46198</stp>
        <stp/>
        <tr r="CF22" s="1"/>
      </tp>
      <tp>
        <v>4.3369999999999997</v>
        <stp/>
        <stp>P</stp>
        <stp>0</stp>
        <stp>BND</stp>
        <stp>KR6174146FA0</stp>
        <stp>민평3사 수익률(산출일)</stp>
        <stp>46198</stp>
        <stp/>
        <tr r="L206" s="1"/>
        <tr r="BT70" s="1"/>
      </tp>
      <tp>
        <v>4.5519999999999996</v>
        <stp/>
        <stp>P</stp>
        <stp>0</stp>
        <stp>BND</stp>
        <stp>KR6214342FC3</stp>
        <stp>민평3사 수익률(산출일)</stp>
        <stp>46198</stp>
        <stp/>
        <tr r="DD133" s="1"/>
      </tp>
      <tp>
        <v>3.286</v>
        <stp/>
        <stp>P</stp>
        <stp>0</stp>
        <stp>BND</stp>
        <stp>KR6174143EA0</stp>
        <stp>민평3사 수익률(산출일)</stp>
        <stp>46198</stp>
        <stp/>
        <tr r="BT168" s="1"/>
      </tp>
      <tp>
        <v>4.0609999999999999</v>
        <stp/>
        <stp>P</stp>
        <stp>0</stp>
        <stp>BND</stp>
        <stp>KRC035FP30C4</stp>
        <stp>민평3사 수익률(산출일)</stp>
        <stp>46198</stp>
        <stp/>
        <tr r="X32" s="1"/>
      </tp>
      <tp>
        <v>4.3380000000000001</v>
        <stp/>
        <stp>P</stp>
        <stp>0</stp>
        <stp>BND</stp>
        <stp>KR61380938A3</stp>
        <stp>민평3사 수익률(산출일)</stp>
        <stp>46198</stp>
        <stp/>
        <tr r="L210" s="1"/>
      </tp>
      <tp>
        <v>4.17</v>
        <stp/>
        <stp>P</stp>
        <stp>0</stp>
        <stp>BND</stp>
        <stp>KR6169371FB9</stp>
        <stp>민평3사 수익률(산출일)</stp>
        <stp>46198</stp>
        <stp/>
        <tr r="BT59" s="1"/>
      </tp>
      <tp>
        <v>3.915</v>
        <stp/>
        <stp>P</stp>
        <stp>0</stp>
        <stp>BND</stp>
        <stp>KR6097244EC6</stp>
        <stp>민평3사 수익률(산출일)</stp>
        <stp>46198</stp>
        <stp/>
        <tr r="DD64" s="1"/>
      </tp>
      <tp>
        <v>4.3339999999999996</v>
        <stp/>
        <stp>P</stp>
        <stp>0</stp>
        <stp>BND</stp>
        <stp>KR60040539A3</stp>
        <stp>민평3사 수익률(산출일)</stp>
        <stp>46198</stp>
        <stp/>
        <tr r="L233" s="1"/>
      </tp>
      <tp>
        <v>4.069</v>
        <stp/>
        <stp>P</stp>
        <stp>0</stp>
        <stp>BND</stp>
        <stp>KR6097245EC3</stp>
        <stp>민평3사 수익률(산출일)</stp>
        <stp>46198</stp>
        <stp/>
        <tr r="L120" s="1"/>
      </tp>
      <tp>
        <v>4.5730000000000004</v>
        <stp/>
        <stp>P</stp>
        <stp>0</stp>
        <stp>BND</stp>
        <stp>KR616937BFB2</stp>
        <stp>민평3사 수익률(산출일)</stp>
        <stp>46198</stp>
        <stp/>
        <tr r="EB33" s="1"/>
      </tp>
      <tp>
        <v>3.8180000000000001</v>
        <stp/>
        <stp>P</stp>
        <stp>0</stp>
        <stp>BND</stp>
        <stp>KR6169371EB2</stp>
        <stp>민평3사 수익률(산출일)</stp>
        <stp>46198</stp>
        <stp/>
        <tr r="DD58" s="1"/>
      </tp>
      <tp>
        <v>4.202</v>
        <stp/>
        <stp>P</stp>
        <stp>0</stp>
        <stp>BND</stp>
        <stp>KR6063321WB6</stp>
        <stp>민평3사 수익률(산출일)</stp>
        <stp>46198</stp>
        <stp/>
        <tr r="L367" s="1"/>
      </tp>
      <tp>
        <v>4.1589999999999998</v>
        <stp/>
        <stp>P</stp>
        <stp>0</stp>
        <stp>BND</stp>
        <stp>KR6000036EA6</stp>
        <stp>민평3사 수익률(산출일)</stp>
        <stp>46198</stp>
        <stp/>
        <tr r="L30" s="1"/>
      </tp>
      <tp>
        <v>4.0129999999999999</v>
        <stp/>
        <stp>P</stp>
        <stp>0</stp>
        <stp>BND</stp>
        <stp>KRC0350C3098</stp>
        <stp>민평3사 수익률(산출일)</stp>
        <stp>46198</stp>
        <stp/>
        <tr r="L34" s="1"/>
        <tr r="BT268" s="1"/>
        <tr r="X31" s="1"/>
        <tr r="DD243" s="1"/>
      </tp>
      <tp>
        <v>3.8820000000000001</v>
        <stp/>
        <stp>P</stp>
        <stp>0</stp>
        <stp>BND</stp>
        <stp>KRC0350C2991</stp>
        <stp>민평3사 수익률(산출일)</stp>
        <stp>46198</stp>
        <stp/>
        <tr r="DD238" s="1"/>
      </tp>
      <tp>
        <v>4.3920000000000003</v>
        <stp/>
        <stp>P</stp>
        <stp>0</stp>
        <stp>BND</stp>
        <stp>KRC0350C4690</stp>
        <stp>민평3사 수익률(산출일)</stp>
        <stp>46198</stp>
        <stp/>
        <tr r="BT277" s="1"/>
      </tp>
      <tp>
        <v>3.411</v>
        <stp/>
        <stp>P</stp>
        <stp>0</stp>
        <stp>BND</stp>
        <stp>KRC0350C2793</stp>
        <stp>민평3사 수익률(산출일)</stp>
        <stp>46198</stp>
        <stp/>
        <tr r="L217" s="1"/>
      </tp>
      <tp>
        <v>4.2309999999999999</v>
        <stp/>
        <stp>P</stp>
        <stp>0</stp>
        <stp>BND</stp>
        <stp>KRC0350C3593</stp>
        <stp>민평3사 수익률(산출일)</stp>
        <stp>46198</stp>
        <stp/>
        <tr r="DD287" s="1"/>
      </tp>
      <tp>
        <v>3.7290000000000001</v>
        <stp/>
        <stp>P</stp>
        <stp>0</stp>
        <stp>BND</stp>
        <stp>KRC0350C2892</stp>
        <stp>민평3사 수익률(산출일)</stp>
        <stp>46198</stp>
        <stp/>
        <tr r="L325" s="1"/>
        <tr r="DD262" s="1"/>
      </tp>
      <tp>
        <v>4.2430000000000003</v>
        <stp/>
        <stp>P</stp>
        <stp>0</stp>
        <stp>BND</stp>
        <stp>KRC0350C3692</stp>
        <stp>민평3사 수익률(산출일)</stp>
        <stp>46198</stp>
        <stp/>
        <tr r="L269" s="1"/>
      </tp>
      <tp>
        <v>4.194</v>
        <stp/>
        <stp>P</stp>
        <stp>0</stp>
        <stp>BND</stp>
        <stp>KRC0350C3395</stp>
        <stp>민평3사 수익률(산출일)</stp>
        <stp>46198</stp>
        <stp/>
        <tr r="BT280" s="1"/>
      </tp>
      <tp>
        <v>4.2030000000000003</v>
        <stp/>
        <stp>P</stp>
        <stp>0</stp>
        <stp>BND</stp>
        <stp>KRC0350C3494</stp>
        <stp>민평3사 수익률(산출일)</stp>
        <stp>46198</stp>
        <stp/>
        <tr r="L262" s="1"/>
      </tp>
      <tp>
        <v>4.1310000000000002</v>
        <stp/>
        <stp>P</stp>
        <stp>0</stp>
        <stp>BND</stp>
        <stp>KRC0350C3197</stp>
        <stp>민평3사 수익률(산출일)</stp>
        <stp>46198</stp>
        <stp/>
        <tr r="BT274" s="1"/>
        <tr r="DD267" s="1"/>
      </tp>
      <tp>
        <v>4.1539999999999999</v>
        <stp/>
        <stp>P</stp>
        <stp>0</stp>
        <stp>BND</stp>
        <stp>KRC0350C3296</stp>
        <stp>민평3사 수익률(산출일)</stp>
        <stp>46198</stp>
        <stp/>
        <tr r="BT155" s="1"/>
      </tp>
      <tp>
        <v>3.3439999999999999</v>
        <stp/>
        <stp>P</stp>
        <stp>0</stp>
        <stp>BND</stp>
        <stp>KR602988SDB0</stp>
        <stp>민평3사 수익률(산출일)</stp>
        <stp>46198</stp>
        <stp/>
        <tr r="BT163" s="1"/>
      </tp>
      <tp>
        <v>4.55</v>
        <stp/>
        <stp>P</stp>
        <stp>0</stp>
        <stp>BND</stp>
        <stp>KR60649814C1</stp>
        <stp>민평3사 수익률(산출일)</stp>
        <stp>46198</stp>
        <stp/>
        <tr r="EB78" s="1"/>
      </tp>
      <tp>
        <v>4.0910000000000002</v>
        <stp/>
        <stp>P</stp>
        <stp>0</stp>
        <stp>BND</stp>
        <stp>KR6029883EB6</stp>
        <stp>민평3사 수익률(산출일)</stp>
        <stp>46198</stp>
        <stp/>
        <tr r="BT83" s="1"/>
      </tp>
      <tp>
        <v>3.3210000000000002</v>
        <stp/>
        <stp>P</stp>
        <stp>0</stp>
        <stp>BND</stp>
        <stp>KR602988FDB7</stp>
        <stp>민평3사 수익률(산출일)</stp>
        <stp>46198</stp>
        <stp/>
        <tr r="L83" s="1"/>
      </tp>
      <tp>
        <v>4.1159999999999997</v>
        <stp/>
        <stp>P</stp>
        <stp>0</stp>
        <stp>BND</stp>
        <stp>KR6176942FC6</stp>
        <stp>민평3사 수익률(산출일)</stp>
        <stp>46198</stp>
        <stp/>
        <tr r="DD96" s="1"/>
      </tp>
      <tp>
        <v>3.3380000000000001</v>
        <stp/>
        <stp>P</stp>
        <stp>0</stp>
        <stp>BND</stp>
        <stp>KR6065901FB8</stp>
        <stp>민평3사 수익률(산출일)</stp>
        <stp>46198</stp>
        <stp/>
        <tr r="CF61" s="1"/>
      </tp>
      <tp>
        <v>4.0979999999999999</v>
        <stp/>
        <stp>P</stp>
        <stp>0</stp>
        <stp>BND</stp>
        <stp>KR601980DFC3</stp>
        <stp>민평3사 수익률(산출일)</stp>
        <stp>46198</stp>
        <stp/>
        <tr r="L324" s="1"/>
      </tp>
      <tp>
        <v>3.9980000000000002</v>
        <stp/>
        <stp>P</stp>
        <stp>0</stp>
        <stp>BND</stp>
        <stp>KR6004944FB2</stp>
        <stp>민평3사 수익률(산출일)</stp>
        <stp>46198</stp>
        <stp/>
        <tr r="DD129" s="1"/>
      </tp>
      <tp>
        <v>4.2450000000000001</v>
        <stp/>
        <stp>P</stp>
        <stp>0</stp>
        <stp>BND</stp>
        <stp>KR6176941EB3</stp>
        <stp>민평3사 수익률(산출일)</stp>
        <stp>46198</stp>
        <stp/>
        <tr r="EB30" s="1"/>
      </tp>
      <tp>
        <v>4.3170000000000002</v>
        <stp/>
        <stp>P</stp>
        <stp>0</stp>
        <stp>BND</stp>
        <stp>KR601980BFC7</stp>
        <stp>민평3사 수익률(산출일)</stp>
        <stp>46198</stp>
        <stp/>
        <tr r="BT78" s="1"/>
        <tr r="DP15" s="1"/>
      </tp>
      <tp>
        <v>3.4140000000000001</v>
        <stp/>
        <stp>P</stp>
        <stp>0</stp>
        <stp>BND</stp>
        <stp>KR6019807EC5</stp>
        <stp>민평3사 수익률(산출일)</stp>
        <stp>46198</stp>
        <stp/>
        <tr r="L119" s="1"/>
      </tp>
      <tp>
        <v>4.4379999999999997</v>
        <stp/>
        <stp>P</stp>
        <stp>0</stp>
        <stp>BND</stp>
        <stp>KR6095929EA8</stp>
        <stp>민평3사 수익률(산출일)</stp>
        <stp>46198</stp>
        <stp/>
        <tr r="L173" s="1"/>
      </tp>
      <tp>
        <v>4.4050000000000002</v>
        <stp/>
        <stp>P</stp>
        <stp>0</stp>
        <stp>BND</stp>
        <stp>KR6065909FA3</stp>
        <stp>민평3사 수익률(산출일)</stp>
        <stp>46198</stp>
        <stp/>
        <tr r="EB61" s="1"/>
      </tp>
      <tp>
        <v>4.3010000000000002</v>
        <stp/>
        <stp>P</stp>
        <stp>0</stp>
        <stp>BND</stp>
        <stp>KR6065905FA1</stp>
        <stp>민평3사 수익률(산출일)</stp>
        <stp>46198</stp>
        <stp/>
        <tr r="L194" s="1"/>
      </tp>
      <tp>
        <v>3.4750000000000001</v>
        <stp/>
        <stp>P</stp>
        <stp>0</stp>
        <stp>BND</stp>
        <stp>KR6195941EA2</stp>
        <stp>민평3사 수익률(산출일)</stp>
        <stp>46198</stp>
        <stp/>
        <tr r="CF150" s="1"/>
      </tp>
      <tp>
        <v>4.16</v>
        <stp/>
        <stp>P</stp>
        <stp>0</stp>
        <stp>BND</stp>
        <stp>KR6004947EA0</stp>
        <stp>민평3사 수익률(산출일)</stp>
        <stp>46198</stp>
        <stp/>
        <tr r="L32" s="1"/>
      </tp>
      <tp>
        <v>4.03</v>
        <stp/>
        <stp>P</stp>
        <stp>0</stp>
        <stp>BND</stp>
        <stp>KR6029884EA6</stp>
        <stp>민평3사 수익률(산출일)</stp>
        <stp>46198</stp>
        <stp/>
        <tr r="BT227" s="1"/>
      </tp>
      <tp>
        <v>4.399</v>
        <stp/>
        <stp>P</stp>
        <stp>0</stp>
        <stp>BND</stp>
        <stp>KR602988EFA7</stp>
        <stp>민평3사 수익률(산출일)</stp>
        <stp>46198</stp>
        <stp/>
        <tr r="EB63" s="1"/>
      </tp>
      <tp>
        <v>4.3979999999999997</v>
        <stp/>
        <stp>P</stp>
        <stp>0</stp>
        <stp>BND</stp>
        <stp>KR602988JAA7</stp>
        <stp>민평3사 수익률(산출일)</stp>
        <stp>46198</stp>
        <stp/>
        <tr r="EB71" s="1"/>
      </tp>
      <tp t="s">
        <v/>
        <stp/>
        <stp>P</stp>
        <stp>0</stp>
        <stp>BND</stp>
        <stp>KRZE03901G3K</stp>
        <stp>민평3사 수익률(산출일)</stp>
        <stp>46198</stp>
        <stp/>
        <tr r="DD168" s="1"/>
      </tp>
      <tp t="s">
        <v/>
        <stp/>
        <stp>P</stp>
        <stp>0</stp>
        <stp>BND</stp>
        <stp>KRZE03201F94</stp>
        <stp>민평3사 수익률(산출일)</stp>
        <stp>46198</stp>
        <stp/>
        <tr r="BT256" s="1"/>
      </tp>
      <tp t="s">
        <v/>
        <stp/>
        <stp>P</stp>
        <stp>0</stp>
        <stp>BND</stp>
        <stp>KRZE08101F8V</stp>
        <stp>민평3사 수익률(산출일)</stp>
        <stp>46198</stp>
        <stp/>
        <tr r="DD93" s="1"/>
      </tp>
      <tp t="s">
        <v/>
        <stp/>
        <stp>P</stp>
        <stp>0</stp>
        <stp>BND</stp>
        <stp>KRZS45714298</stp>
        <stp>민평3사 수익률(산출일)</stp>
        <stp>46198</stp>
        <stp/>
        <tr r="CF12" s="1"/>
      </tp>
      <tp t="s">
        <v/>
        <stp/>
        <stp>P</stp>
        <stp>0</stp>
        <stp>BND</stp>
        <stp>KRZE00601F9H</stp>
        <stp>민평3사 수익률(산출일)</stp>
        <stp>46198</stp>
        <stp/>
        <tr r="BT29" s="1"/>
      </tp>
      <tp t="s">
        <v/>
        <stp/>
        <stp>P</stp>
        <stp>0</stp>
        <stp>BND</stp>
        <stp>KRZS45714280</stp>
        <stp>민평3사 수익률(산출일)</stp>
        <stp>46198</stp>
        <stp/>
        <tr r="CF85" s="1"/>
      </tp>
      <tp t="s">
        <v/>
        <stp/>
        <stp>P</stp>
        <stp>0</stp>
        <stp>BND</stp>
        <stp>KRZS07802577</stp>
        <stp>민평3사 수익률(산출일)</stp>
        <stp>46198</stp>
        <stp/>
        <tr r="CF9" s="1"/>
      </tp>
      <tp t="s">
        <v/>
        <stp/>
        <stp>P</stp>
        <stp>0</stp>
        <stp>BND</stp>
        <stp>KRZS27908054</stp>
        <stp>민평3사 수익률(산출일)</stp>
        <stp>46198</stp>
        <stp/>
        <tr r="CF15" s="1"/>
      </tp>
      <tp t="s">
        <v/>
        <stp/>
        <stp>P</stp>
        <stp>0</stp>
        <stp>BND</stp>
        <stp>KRZE00301G18</stp>
        <stp>민평3사 수익률(산출일)</stp>
        <stp>46198</stp>
        <stp/>
        <tr r="CF80" s="1"/>
      </tp>
      <tp t="s">
        <v/>
        <stp/>
        <stp>P</stp>
        <stp>0</stp>
        <stp>BND</stp>
        <stp>KRZS00238802</stp>
        <stp>민평3사 수익률(산출일)</stp>
        <stp>46198</stp>
        <stp/>
        <tr r="CF71" s="1"/>
      </tp>
      <tp t="s">
        <v/>
        <stp/>
        <stp>P</stp>
        <stp>0</stp>
        <stp>BND</stp>
        <stp>KRZS42059126</stp>
        <stp>민평3사 수익률(산출일)</stp>
        <stp>46198</stp>
        <stp/>
        <tr r="CF25" s="1"/>
      </tp>
      <tp t="s">
        <v/>
        <stp/>
        <stp>P</stp>
        <stp>0</stp>
        <stp>BND</stp>
        <stp>KRZS0011H033</stp>
        <stp>민평3사 수익률(산출일)</stp>
        <stp>46198</stp>
        <stp/>
        <tr r="CF144" s="1"/>
      </tp>
      <tp t="s">
        <v/>
        <stp/>
        <stp>P</stp>
        <stp>0</stp>
        <stp>BND</stp>
        <stp>KRZS0011H028</stp>
        <stp>민평3사 수익률(산출일)</stp>
        <stp>46198</stp>
        <stp/>
        <tr r="CF27" s="1"/>
      </tp>
      <tp t="s">
        <v/>
        <stp/>
        <stp>P</stp>
        <stp>0</stp>
        <stp>BND</stp>
        <stp>KRZS43647151</stp>
        <stp>민평3사 수익률(산출일)</stp>
        <stp>46198</stp>
        <stp/>
        <tr r="CF11" s="1"/>
      </tp>
      <tp t="s">
        <v/>
        <stp/>
        <stp>P</stp>
        <stp>0</stp>
        <stp>BND</stp>
        <stp>KRZE00301G3K</stp>
        <stp>민평3사 수익률(산출일)</stp>
        <stp>46198</stp>
        <stp/>
        <tr r="DD213" s="1"/>
      </tp>
      <tp t="s">
        <v/>
        <stp/>
        <stp>P</stp>
        <stp>0</stp>
        <stp>BND</stp>
        <stp>KRZE00602G6K</stp>
        <stp>민평3사 수익률(산출일)</stp>
        <stp>46198</stp>
        <stp/>
        <tr r="BT58" s="1"/>
      </tp>
      <tp t="s">
        <v/>
        <stp/>
        <stp>P</stp>
        <stp>0</stp>
        <stp>BND</stp>
        <stp>KRZE08401G4G</stp>
        <stp>민평3사 수익률(산출일)</stp>
        <stp>46198</stp>
        <stp/>
        <tr r="EB27" s="1"/>
      </tp>
      <tp t="s">
        <v/>
        <stp/>
        <stp>P</stp>
        <stp>0</stp>
        <stp>BND</stp>
        <stp>KRZS0004L003</stp>
        <stp>민평3사 수익률(산출일)</stp>
        <stp>46198</stp>
        <stp/>
        <tr r="CF16" s="1"/>
      </tp>
      <tp>
        <v>0</v>
        <stp/>
        <stp>T</stp>
        <stp>x10.YBM71</stp>
        <stp>54</stp>
        <stp>1185616</stp>
        <tr r="BI7" s="1"/>
      </tp>
      <tp t="s">
        <v/>
        <stp/>
        <stp>P</stp>
        <stp>0</stp>
        <stp>BND</stp>
        <stp>KRZS00680J7H</stp>
        <stp>민평3사 수익률(산출일)</stp>
        <stp>46198</stp>
        <stp/>
        <tr r="CF10" s="1"/>
      </tp>
      <tp t="s">
        <v/>
        <stp/>
        <stp>P</stp>
        <stp>0</stp>
        <stp>BND</stp>
        <stp>KRZE00601F7A</stp>
        <stp>민평3사 수익률(산출일)</stp>
        <stp>46198</stp>
        <stp/>
        <tr r="CF73" s="1"/>
      </tp>
      <tp t="s">
        <v/>
        <stp/>
        <stp>P</stp>
        <stp>0</stp>
        <stp>BND</stp>
        <stp>KRZE08801F99</stp>
        <stp>민평3사 수익률(산출일)</stp>
        <stp>46198</stp>
        <stp/>
        <tr r="DD175" s="1"/>
      </tp>
      <tp t="s">
        <v/>
        <stp/>
        <stp>P</stp>
        <stp>0</stp>
        <stp>BND</stp>
        <stp>KRZE03901F88</stp>
        <stp>민평3사 수익률(산출일)</stp>
        <stp>46198</stp>
        <stp/>
        <tr r="EB31" s="1"/>
      </tp>
      <tp t="s">
        <v/>
        <stp/>
        <stp>P</stp>
        <stp>0</stp>
        <stp>BND</stp>
        <stp>KRZE03901F87</stp>
        <stp>민평3사 수익률(산출일)</stp>
        <stp>46198</stp>
        <stp/>
        <tr r="BT204" s="1"/>
      </tp>
      <tp t="s">
        <v/>
        <stp/>
        <stp>P</stp>
        <stp>0</stp>
        <stp>BND</stp>
        <stp>KRZE08101F7H</stp>
        <stp>민평3사 수익률(산출일)</stp>
        <stp>46198</stp>
        <stp/>
        <tr r="CF75" s="1"/>
      </tp>
      <tp t="s">
        <v/>
        <stp/>
        <stp>P</stp>
        <stp>0</stp>
        <stp>BND</stp>
        <stp>KRZS0017506V</stp>
        <stp>민평3사 수익률(산출일)</stp>
        <stp>46198</stp>
        <stp/>
        <tr r="CF26" s="1"/>
      </tp>
      <tp t="s">
        <v/>
        <stp/>
        <stp>P</stp>
        <stp>0</stp>
        <stp>BND</stp>
        <stp>KRZS10334748</stp>
        <stp>민평3사 수익률(산출일)</stp>
        <stp>46198</stp>
        <stp/>
        <tr r="CF18" s="1"/>
      </tp>
      <tp t="s">
        <v/>
        <stp/>
        <stp>P</stp>
        <stp>0</stp>
        <stp>BND</stp>
        <stp>KRZS49662018</stp>
        <stp>민평3사 수익률(산출일)</stp>
        <stp>46198</stp>
        <stp/>
        <tr r="CF28" s="1"/>
      </tp>
      <tp t="s">
        <v/>
        <stp/>
        <stp>P</stp>
        <stp>0</stp>
        <stp>BND</stp>
        <stp>KRZS47670013</stp>
        <stp>민평3사 수익률(산출일)</stp>
        <stp>46198</stp>
        <stp/>
        <tr r="CF13" s="1"/>
      </tp>
      <tp t="s">
        <v/>
        <stp/>
        <stp>P</stp>
        <stp>0</stp>
        <stp>BND</stp>
        <stp>KRZE08101G5D</stp>
        <stp>민평3사 수익률(산출일)</stp>
        <stp>46198</stp>
        <stp/>
        <tr r="BT257" s="1"/>
      </tp>
      <tp t="s">
        <v/>
        <stp/>
        <stp>P</stp>
        <stp>0</stp>
        <stp>BND</stp>
        <stp>KRZS0078P033</stp>
        <stp>민평3사 수익률(산출일)</stp>
        <stp>46198</stp>
        <stp/>
        <tr r="CF14" s="1"/>
      </tp>
      <tp t="s">
        <v/>
        <stp/>
        <stp>P</stp>
        <stp>0</stp>
        <stp>BND</stp>
        <stp>-</stp>
        <stp>민평3사 수익률(산출일)</stp>
        <stp>46198</stp>
        <stp/>
        <tr r="BH15" s="1"/>
        <tr r="L387" s="1"/>
        <tr r="AV17" s="1"/>
        <tr r="AJ29" s="1"/>
        <tr r="X48" s="1"/>
        <tr r="BT284" s="1"/>
        <tr r="CR61" s="1"/>
        <tr r="CF164" s="1"/>
        <tr r="EB89" s="1"/>
        <tr r="DP21" s="1"/>
        <tr r="DD313" s="1"/>
      </tp>
      <tp>
        <v>0</v>
        <stp/>
        <stp>H</stp>
        <stp>x1.LKM71_0</stp>
        <stp>101</stp>
        <stp>1185616</stp>
        <tr r="K2" s="4"/>
      </tp>
      <tp>
        <v>0</v>
        <stp/>
        <stp>H</stp>
        <stp>x1.NHM71_0</stp>
        <stp>106</stp>
        <stp>1185616</stp>
        <tr r="A2" s="4"/>
      </tp>
      <tp>
        <v>0</v>
        <stp/>
        <stp>T</stp>
        <stp>x4.YBM71</stp>
        <stp>48</stp>
        <stp>1185616</stp>
        <tr r="AW7" s="1"/>
      </tp>
      <tp>
        <v>0</v>
        <stp/>
        <stp>T</stp>
        <stp>x5.YBM71</stp>
        <stp>49</stp>
        <stp>1185616</stp>
        <tr r="M7" s="1"/>
      </tp>
      <tp>
        <v>0</v>
        <stp/>
        <stp>T</stp>
        <stp>x7.YBM71</stp>
        <stp>51</stp>
        <stp>1185616</stp>
        <tr r="CG7" s="1"/>
      </tp>
      <tp>
        <v>0</v>
        <stp/>
        <stp>T</stp>
        <stp>x6.YBM71</stp>
        <stp>50</stp>
        <stp>1185616</stp>
        <tr r="BU7" s="1"/>
      </tp>
      <tp>
        <v>0</v>
        <stp/>
        <stp>T</stp>
        <stp>x1.YBM71</stp>
        <stp>45</stp>
        <stp>1185616</stp>
        <tr r="AK7" s="1"/>
      </tp>
      <tp>
        <v>0</v>
        <stp/>
        <stp>T</stp>
        <stp>x2.YBM71</stp>
        <stp>46</stp>
        <stp>1185616</stp>
        <tr r="DQ7" s="1"/>
      </tp>
      <tp>
        <v>0</v>
        <stp/>
        <stp>T</stp>
        <stp>x3.YBM71</stp>
        <stp>47</stp>
        <stp>1185616</stp>
        <tr r="A7" s="1"/>
      </tp>
      <tp>
        <v>0</v>
        <stp/>
        <stp>T</stp>
        <stp>x9.YBM71</stp>
        <stp>53</stp>
        <stp>1185616</stp>
        <tr r="DE7" s="1"/>
      </tp>
      <tp>
        <v>0</v>
        <stp/>
        <stp>T</stp>
        <stp>x8.YBM71</stp>
        <stp>52</stp>
        <stp>1185616</stp>
        <tr r="Y7" s="1"/>
      </tp>
      <tp>
        <v>0</v>
        <stp/>
        <stp>H</stp>
        <stp>x1.KKM71_0</stp>
        <stp>102</stp>
        <stp>1185616</stp>
        <tr r="I2" s="4"/>
      </tp>
      <tp t="s">
        <v/>
        <stp/>
        <stp>P</stp>
        <stp>0</stp>
        <stp>BND</stp>
        <stp>KRZE08801FBM</stp>
        <stp>민평3사 수익률(산출일)</stp>
        <stp>46198</stp>
        <stp/>
        <tr r="DD115" s="1"/>
      </tp>
      <tp t="s">
        <v/>
        <stp/>
        <stp>P</stp>
        <stp>0</stp>
        <stp>BND</stp>
        <stp>KRZE03901FC2</stp>
        <stp>민평3사 수익률(산출일)</stp>
        <stp>46198</stp>
        <stp/>
        <tr r="DD122" s="1"/>
      </tp>
      <tp t="s">
        <v/>
        <stp/>
        <stp>P</stp>
        <stp>0</stp>
        <stp>BND</stp>
        <stp>KRZE08801FCX</stp>
        <stp>민평3사 수익률(산출일)</stp>
        <stp>46198</stp>
        <stp/>
        <tr r="DD76" s="1"/>
      </tp>
      <tp t="s">
        <v/>
        <stp/>
        <stp>P</stp>
        <stp>0</stp>
        <stp>BND</stp>
        <stp>KRZF02969VBB</stp>
        <stp>민평3사 수익률(산출일)</stp>
        <stp>46198</stp>
        <stp/>
        <tr r="CF142" s="1"/>
      </tp>
      <tp t="s">
        <v/>
        <stp/>
        <stp>P</stp>
        <stp>0</stp>
        <stp>BND</stp>
        <stp>KRZF02969TBB</stp>
        <stp>민평3사 수익률(산출일)</stp>
        <stp>46198</stp>
        <stp/>
        <tr r="CF143" s="1"/>
      </tp>
      <tp t="s">
        <v/>
        <stp/>
        <stp>P</stp>
        <stp>0</stp>
        <stp>BND</stp>
        <stp>KRZE03901FAG</stp>
        <stp>민평3사 수익률(산출일)</stp>
        <stp>46198</stp>
        <stp/>
        <tr r="DD179" s="1"/>
      </tp>
      <tp t="s">
        <v/>
        <stp/>
        <stp>P</stp>
        <stp>0</stp>
        <stp>BND</stp>
        <stp>KRZE08801FAA</stp>
        <stp>민평3사 수익률(산출일)</stp>
        <stp>46198</stp>
        <stp/>
        <tr r="DD101" s="1"/>
      </tp>
      <tp t="s">
        <v/>
        <stp/>
        <stp>P</stp>
        <stp>0</stp>
        <stp>BND</stp>
        <stp>KRZF03949MGF</stp>
        <stp>민평3사 수익률(산출일)</stp>
        <stp>46198</stp>
        <stp/>
        <tr r="CF125" s="1"/>
      </tp>
      <tp t="s">
        <v/>
        <stp/>
        <stp>P</stp>
        <stp>0</stp>
        <stp>BND</stp>
        <stp>KRZF03949LGF</stp>
        <stp>민평3사 수익률(산출일)</stp>
        <stp>46198</stp>
        <stp/>
        <tr r="CF126" s="1"/>
      </tp>
      <tp t="s">
        <v/>
        <stp/>
        <stp>P</stp>
        <stp>0</stp>
        <stp>BND</stp>
        <stp>KRZFA3949KG5</stp>
        <stp>민평3사 수익률(산출일)</stp>
        <stp>46198</stp>
        <stp/>
        <tr r="DD207" s="1"/>
      </tp>
      <tp t="s">
        <v/>
        <stp/>
        <stp>P</stp>
        <stp>0</stp>
        <stp>BND</stp>
        <stp>KRZFA3949JG5</stp>
        <stp>민평3사 수익률(산출일)</stp>
        <stp>46198</stp>
        <stp/>
        <tr r="DD206" s="1"/>
      </tp>
      <tp t="s">
        <v/>
        <stp/>
        <stp>P</stp>
        <stp>0</stp>
        <stp>BND</stp>
        <stp>KRZFA3949HG5</stp>
        <stp>민평3사 수익률(산출일)</stp>
        <stp>46198</stp>
        <stp/>
        <tr r="DD211" s="1"/>
      </tp>
      <tp t="s">
        <v/>
        <stp/>
        <stp>P</stp>
        <stp>0</stp>
        <stp>BND</stp>
        <stp>KRZFA3949MG5</stp>
        <stp>민평3사 수익률(산출일)</stp>
        <stp>46198</stp>
        <stp/>
        <tr r="DD209" s="1"/>
      </tp>
      <tp t="s">
        <v/>
        <stp/>
        <stp>P</stp>
        <stp>0</stp>
        <stp>BND</stp>
        <stp>KRZFA3949LG5</stp>
        <stp>민평3사 수익률(산출일)</stp>
        <stp>46198</stp>
        <stp/>
        <tr r="DD208" s="1"/>
      </tp>
      <tp t="s">
        <v/>
        <stp/>
        <stp>P</stp>
        <stp>0</stp>
        <stp>BND</stp>
        <stp>KRZFA3949GG5</stp>
        <stp>민평3사 수익률(산출일)</stp>
        <stp>46198</stp>
        <stp/>
        <tr r="DD210" s="1"/>
      </tp>
      <tp t="s">
        <v/>
        <stp/>
        <stp>P</stp>
        <stp>0</stp>
        <stp>BND</stp>
        <stp>KRZF07893NG4</stp>
        <stp>민평3사 수익률(산출일)</stp>
        <stp>46198</stp>
        <stp/>
        <tr r="CF131" s="1"/>
      </tp>
      <tp t="s">
        <v/>
        <stp/>
        <stp>P</stp>
        <stp>0</stp>
        <stp>BND</stp>
        <stp>KRZF07893MG4</stp>
        <stp>민평3사 수익률(산출일)</stp>
        <stp>46198</stp>
        <stp/>
        <tr r="CF135" s="1"/>
      </tp>
      <tp t="s">
        <v/>
        <stp/>
        <stp>P</stp>
        <stp>0</stp>
        <stp>BND</stp>
        <stp>KRZF07893LG4</stp>
        <stp>민평3사 수익률(산출일)</stp>
        <stp>46198</stp>
        <stp/>
        <tr r="CF130" s="1"/>
      </tp>
      <tp t="s">
        <v/>
        <stp/>
        <stp>P</stp>
        <stp>0</stp>
        <stp>BND</stp>
        <stp>KRZF07893KG4</stp>
        <stp>민평3사 수익률(산출일)</stp>
        <stp>46198</stp>
        <stp/>
        <tr r="CF128" s="1"/>
      </tp>
      <tp t="s">
        <v/>
        <stp/>
        <stp>P</stp>
        <stp>0</stp>
        <stp>BND</stp>
        <stp>KRZF07893JG4</stp>
        <stp>민평3사 수익률(산출일)</stp>
        <stp>46198</stp>
        <stp/>
        <tr r="CF127" s="1"/>
      </tp>
      <tp t="s">
        <v/>
        <stp/>
        <stp>P</stp>
        <stp>0</stp>
        <stp>BND</stp>
        <stp>KRZF07893HG4</stp>
        <stp>민평3사 수익률(산출일)</stp>
        <stp>46198</stp>
        <stp/>
        <tr r="CF136" s="1"/>
      </tp>
      <tp t="s">
        <v/>
        <stp/>
        <stp>P</stp>
        <stp>0</stp>
        <stp>BND</stp>
        <stp>KRZF07893GG4</stp>
        <stp>민평3사 수익률(산출일)</stp>
        <stp>46198</stp>
        <stp/>
        <tr r="CF134" s="1"/>
      </tp>
      <tp t="s">
        <v/>
        <stp/>
        <stp>P</stp>
        <stp>0</stp>
        <stp>BND</stp>
        <stp>KRZF07893FG4</stp>
        <stp>민평3사 수익률(산출일)</stp>
        <stp>46198</stp>
        <stp/>
        <tr r="CF132" s="1"/>
      </tp>
      <tp t="s">
        <v/>
        <stp/>
        <stp>P</stp>
        <stp>0</stp>
        <stp>BND</stp>
        <stp>KRZF07893QG4</stp>
        <stp>민평3사 수익률(산출일)</stp>
        <stp>46198</stp>
        <stp/>
        <tr r="CF133" s="1"/>
      </tp>
      <tp t="s">
        <v/>
        <stp/>
        <stp>P</stp>
        <stp>0</stp>
        <stp>BND</stp>
        <stp>KRZF07893PG4</stp>
        <stp>민평3사 수익률(산출일)</stp>
        <stp>46198</stp>
        <stp/>
        <tr r="CF129" s="1"/>
      </tp>
      <tp t="s">
        <v/>
        <stp/>
        <stp>P</stp>
        <stp>0</stp>
        <stp>BND</stp>
        <stp>KRZF03949ZF9</stp>
        <stp>민평3사 수익률(산출일)</stp>
        <stp>46198</stp>
        <stp/>
        <tr r="BT259" s="1"/>
      </tp>
      <tp t="s">
        <v/>
        <stp/>
        <stp>P</stp>
        <stp>0</stp>
        <stp>BND</stp>
        <stp>KRZF03949YF9</stp>
        <stp>민평3사 수익률(산출일)</stp>
        <stp>46198</stp>
        <stp/>
        <tr r="BT258" s="1"/>
      </tp>
      <tp t="s">
        <v/>
        <stp/>
        <stp>P</stp>
        <stp>0</stp>
        <stp>BND</stp>
        <stp>KRZF198033G4</stp>
        <stp>민평3사 수익률(산출일)</stp>
        <stp>46198</stp>
        <stp/>
        <tr r="CF140" s="1"/>
      </tp>
      <tp t="s">
        <v/>
        <stp/>
        <stp>P</stp>
        <stp>0</stp>
        <stp>BND</stp>
        <stp>KRZF198034G4</stp>
        <stp>민평3사 수익률(산출일)</stp>
        <stp>46198</stp>
        <stp/>
        <tr r="CF141" s="1"/>
      </tp>
      <tp t="s">
        <v/>
        <stp/>
        <stp>P</stp>
        <stp>0</stp>
        <stp>BND</stp>
        <stp>KRZF198035G1</stp>
        <stp>민평3사 수익률(산출일)</stp>
        <stp>46198</stp>
        <stp/>
        <tr r="CF93" s="1"/>
      </tp>
      <tp t="s">
        <v/>
        <stp/>
        <stp>P</stp>
        <stp>0</stp>
        <stp>BND</stp>
        <stp>KRZF198036G1</stp>
        <stp>민평3사 수익률(산출일)</stp>
        <stp>46198</stp>
        <stp/>
        <tr r="CF94" s="1"/>
      </tp>
      <tp t="s">
        <v/>
        <stp/>
        <stp>P</stp>
        <stp>0</stp>
        <stp>BND</stp>
        <stp>KRZF198035G3</stp>
        <stp>민평3사 수익률(산출일)</stp>
        <stp>46198</stp>
        <stp/>
        <tr r="CF163" s="1"/>
      </tp>
      <tp t="s">
        <v/>
        <stp/>
        <stp>P</stp>
        <stp>0</stp>
        <stp>BND</stp>
        <stp>KRZF198037G3</stp>
        <stp>민평3사 수익률(산출일)</stp>
        <stp>46198</stp>
        <stp/>
        <tr r="CF123" s="1"/>
      </tp>
      <tp t="s">
        <v/>
        <stp/>
        <stp>P</stp>
        <stp>0</stp>
        <stp>BND</stp>
        <stp>KRZF198036G3</stp>
        <stp>민평3사 수익률(산출일)</stp>
        <stp>46198</stp>
        <stp/>
        <tr r="CF124" s="1"/>
      </tp>
      <tp t="s">
        <v/>
        <stp/>
        <stp>P</stp>
        <stp>0</stp>
        <stp>BND</stp>
        <stp>KRZE08101FCP</stp>
        <stp>민평3사 수익률(산출일)</stp>
        <stp>46198</stp>
        <stp/>
        <tr r="DD182" s="1"/>
      </tp>
      <tp t="s">
        <v/>
        <stp/>
        <stp>P</stp>
        <stp>0</stp>
        <stp>BND</stp>
        <stp>KRZE08101FCG</stp>
        <stp>민평3사 수익률(산출일)</stp>
        <stp>46198</stp>
        <stp/>
        <tr r="DD123" s="1"/>
      </tp>
      <tp t="s">
        <v/>
        <stp/>
        <stp>P</stp>
        <stp>0</stp>
        <stp>BND</stp>
        <stp>KRZFA0594KG5</stp>
        <stp>민평3사 수익률(산출일)</stp>
        <stp>46198</stp>
        <stp/>
        <tr r="DD223" s="1"/>
      </tp>
      <tp t="s">
        <v/>
        <stp/>
        <stp>P</stp>
        <stp>0</stp>
        <stp>BND</stp>
        <stp>KRZFA0594LG5</stp>
        <stp>민평3사 수익률(산출일)</stp>
        <stp>46198</stp>
        <stp/>
        <tr r="DD224" s="1"/>
      </tp>
      <tp t="s">
        <v/>
        <stp/>
        <stp>P</stp>
        <stp>0</stp>
        <stp>BND</stp>
        <stp>KRZF0156PNG1</stp>
        <stp>민평3사 수익률(산출일)</stp>
        <stp>46198</stp>
        <stp/>
        <tr r="BT123" s="1"/>
      </tp>
      <tp t="s">
        <v/>
        <stp/>
        <stp>P</stp>
        <stp>0</stp>
        <stp>BND</stp>
        <stp>KRZF0156PPG1</stp>
        <stp>민평3사 수익률(산출일)</stp>
        <stp>46198</stp>
        <stp/>
        <tr r="BT122" s="1"/>
      </tp>
      <tp t="s">
        <v/>
        <stp/>
        <stp>P</stp>
        <stp>0</stp>
        <stp>BND</stp>
        <stp>KRZF095235G2</stp>
        <stp>민평3사 수익률(산출일)</stp>
        <stp>46198</stp>
        <stp/>
        <tr r="CF108" s="1"/>
      </tp>
      <tp t="s">
        <v/>
        <stp/>
        <stp>P</stp>
        <stp>0</stp>
        <stp>BND</stp>
        <stp>KRZF095237G2</stp>
        <stp>민평3사 수익률(산출일)</stp>
        <stp>46198</stp>
        <stp/>
        <tr r="CF161" s="1"/>
      </tp>
      <tp t="s">
        <v/>
        <stp/>
        <stp>P</stp>
        <stp>0</stp>
        <stp>BND</stp>
        <stp>KRZF095236G2</stp>
        <stp>민평3사 수익률(산출일)</stp>
        <stp>46198</stp>
        <stp/>
        <tr r="CF109" s="1"/>
      </tp>
      <tp t="s">
        <v/>
        <stp/>
        <stp>P</stp>
        <stp>0</stp>
        <stp>BND</stp>
        <stp>KRZF095238G2</stp>
        <stp>민평3사 수익률(산출일)</stp>
        <stp>46198</stp>
        <stp/>
        <tr r="CF159" s="1"/>
      </tp>
      <tp t="s">
        <v/>
        <stp/>
        <stp>P</stp>
        <stp>0</stp>
        <stp>BND</stp>
        <stp>KRZF09523HG2</stp>
        <stp>민평3사 수익률(산출일)</stp>
        <stp>46198</stp>
        <stp/>
        <tr r="CF117" s="1"/>
      </tp>
      <tp t="s">
        <v/>
        <stp/>
        <stp>P</stp>
        <stp>0</stp>
        <stp>BND</stp>
        <stp>KRZF09523KG2</stp>
        <stp>민평3사 수익률(산출일)</stp>
        <stp>46198</stp>
        <stp/>
        <tr r="CF118" s="1"/>
      </tp>
      <tp t="s">
        <v/>
        <stp/>
        <stp>P</stp>
        <stp>0</stp>
        <stp>BND</stp>
        <stp>KRZF09523JG2</stp>
        <stp>민평3사 수익률(산출일)</stp>
        <stp>46198</stp>
        <stp/>
        <tr r="CF115" s="1"/>
      </tp>
      <tp t="s">
        <v/>
        <stp/>
        <stp>P</stp>
        <stp>0</stp>
        <stp>BND</stp>
        <stp>KRZF09523LG2</stp>
        <stp>민평3사 수익률(산출일)</stp>
        <stp>46198</stp>
        <stp/>
        <tr r="CF116" s="1"/>
      </tp>
      <tp t="s">
        <v/>
        <stp/>
        <stp>P</stp>
        <stp>0</stp>
        <stp>BND</stp>
        <stp>KRZE08101FC2</stp>
        <stp>민평3사 수익률(산출일)</stp>
        <stp>46198</stp>
        <stp/>
        <tr r="BT121" s="1"/>
      </tp>
      <tp t="s">
        <v/>
        <stp/>
        <stp>P</stp>
        <stp>0</stp>
        <stp>BND</stp>
        <stp>KRZF095235G3</stp>
        <stp>민평3사 수익률(산출일)</stp>
        <stp>46198</stp>
        <stp/>
        <tr r="CF121" s="1"/>
      </tp>
      <tp t="s">
        <v/>
        <stp/>
        <stp>P</stp>
        <stp>0</stp>
        <stp>BND</stp>
        <stp>KRZF095236G3</stp>
        <stp>민평3사 수익률(산출일)</stp>
        <stp>46198</stp>
        <stp/>
        <tr r="CF122" s="1"/>
      </tp>
      <tp t="s">
        <v/>
        <stp/>
        <stp>P</stp>
        <stp>0</stp>
        <stp>BND</stp>
        <stp>KRZE08101FBV</stp>
        <stp>민평3사 수익률(산출일)</stp>
        <stp>46198</stp>
        <stp/>
        <tr r="DD184" s="1"/>
      </tp>
      <tp t="s">
        <v/>
        <stp/>
        <stp>P</stp>
        <stp>0</stp>
        <stp>BND</stp>
        <stp>KRZE08101FBK</stp>
        <stp>민평3사 수익률(산출일)</stp>
        <stp>46198</stp>
        <stp/>
        <tr r="DD114" s="1"/>
      </tp>
      <tp t="s">
        <v/>
        <stp/>
        <stp>P</stp>
        <stp>0</stp>
        <stp>BND</stp>
        <stp>KRZF005949FA</stp>
        <stp>민평3사 수익률(산출일)</stp>
        <stp>46198</stp>
        <stp/>
        <tr r="BT116" s="1"/>
      </tp>
      <tp t="s">
        <v/>
        <stp/>
        <stp>P</stp>
        <stp>0</stp>
        <stp>BND</stp>
        <stp>KRZF00594AFA</stp>
        <stp>민평3사 수익률(산출일)</stp>
        <stp>46198</stp>
        <stp/>
        <tr r="BT117" s="1"/>
      </tp>
      <tp t="s">
        <v/>
        <stp/>
        <stp>P</stp>
        <stp>0</stp>
        <stp>BND</stp>
        <stp>KRZFE05941FB</stp>
        <stp>민평3사 수익률(산출일)</stp>
        <stp>46198</stp>
        <stp/>
        <tr r="BT127" s="1"/>
      </tp>
      <tp t="s">
        <v/>
        <stp/>
        <stp>P</stp>
        <stp>0</stp>
        <stp>BND</stp>
        <stp>KRZFE05942FB</stp>
        <stp>민평3사 수익률(산출일)</stp>
        <stp>46198</stp>
        <stp/>
        <tr r="BT126" s="1"/>
      </tp>
      <tp t="s">
        <v/>
        <stp/>
        <stp>P</stp>
        <stp>0</stp>
        <stp>BND</stp>
        <stp>KRZFJ05942FB</stp>
        <stp>민평3사 수익률(산출일)</stp>
        <stp>46198</stp>
        <stp/>
        <tr r="DD214" s="1"/>
      </tp>
      <tp t="s">
        <v/>
        <stp/>
        <stp>P</stp>
        <stp>0</stp>
        <stp>BND</stp>
        <stp>KRZFE05941FM</stp>
        <stp>민평3사 수익률(산출일)</stp>
        <stp>46198</stp>
        <stp/>
        <tr r="BT112" s="1"/>
      </tp>
      <tp t="s">
        <v/>
        <stp/>
        <stp>P</stp>
        <stp>0</stp>
        <stp>BND</stp>
        <stp>KRZFE05942FM</stp>
        <stp>민평3사 수익률(산출일)</stp>
        <stp>46198</stp>
        <stp/>
        <tr r="BT113" s="1"/>
      </tp>
      <tp t="s">
        <v/>
        <stp/>
        <stp>P</stp>
        <stp>0</stp>
        <stp>BND</stp>
        <stp>KRZF005943FM</stp>
        <stp>민평3사 수익률(산출일)</stp>
        <stp>46198</stp>
        <stp/>
        <tr r="DD176" s="1"/>
      </tp>
      <tp t="s">
        <v/>
        <stp/>
        <stp>P</stp>
        <stp>0</stp>
        <stp>BND</stp>
        <stp>KRZF0149W8G2</stp>
        <stp>민평3사 수익률(산출일)</stp>
        <stp>46198</stp>
        <stp/>
        <tr r="CF79" s="1"/>
      </tp>
      <tp t="s">
        <v/>
        <stp/>
        <stp>P</stp>
        <stp>0</stp>
        <stp>BND</stp>
        <stp>KRZF0149W5G2</stp>
        <stp>민평3사 수익률(산출일)</stp>
        <stp>46198</stp>
        <stp/>
        <tr r="CF154" s="1"/>
      </tp>
      <tp t="s">
        <v/>
        <stp/>
        <stp>P</stp>
        <stp>0</stp>
        <stp>BND</stp>
        <stp>KRZF0149W4G2</stp>
        <stp>민평3사 수익률(산출일)</stp>
        <stp>46198</stp>
        <stp/>
        <tr r="BT53" s="1"/>
      </tp>
      <tp t="s">
        <v/>
        <stp/>
        <stp>P</stp>
        <stp>0</stp>
        <stp>BND</stp>
        <stp>KRZF0149W7G2</stp>
        <stp>민평3사 수익률(산출일)</stp>
        <stp>46198</stp>
        <stp/>
        <tr r="CF78" s="1"/>
      </tp>
      <tp t="s">
        <v/>
        <stp/>
        <stp>P</stp>
        <stp>0</stp>
        <stp>BND</stp>
        <stp>KRZF0149W6G2</stp>
        <stp>민평3사 수익률(산출일)</stp>
        <stp>46198</stp>
        <stp/>
        <tr r="CF77" s="1"/>
      </tp>
      <tp t="s">
        <v/>
        <stp/>
        <stp>P</stp>
        <stp>0</stp>
        <stp>BND</stp>
        <stp>KRZE08101FB4</stp>
        <stp>민평3사 수익률(산출일)</stp>
        <stp>46198</stp>
        <stp/>
        <tr r="BT205" s="1"/>
      </tp>
      <tp t="s">
        <v/>
        <stp/>
        <stp>P</stp>
        <stp>0</stp>
        <stp>BND</stp>
        <stp>KRZFE05944F9</stp>
        <stp>민평3사 수익률(산출일)</stp>
        <stp>46198</stp>
        <stp/>
        <tr r="BT260" s="1"/>
      </tp>
      <tp t="s">
        <v/>
        <stp/>
        <stp>P</stp>
        <stp>0</stp>
        <stp>BND</stp>
        <stp>KRZFE05945F9</stp>
        <stp>민평3사 수익률(산출일)</stp>
        <stp>46198</stp>
        <stp/>
        <tr r="BT261" s="1"/>
      </tp>
      <tp t="s">
        <v/>
        <stp/>
        <stp>P</stp>
        <stp>0</stp>
        <stp>BND</stp>
        <stp>KRZFE05946F9</stp>
        <stp>민평3사 수익률(산출일)</stp>
        <stp>46198</stp>
        <stp/>
        <tr r="BT110" s="1"/>
      </tp>
      <tp t="s">
        <v/>
        <stp/>
        <stp>P</stp>
        <stp>0</stp>
        <stp>BND</stp>
        <stp>KRZFE05947F9</stp>
        <stp>민평3사 수익률(산출일)</stp>
        <stp>46198</stp>
        <stp/>
        <tr r="BT111" s="1"/>
      </tp>
      <tp t="s">
        <v/>
        <stp/>
        <stp>P</stp>
        <stp>0</stp>
        <stp>BND</stp>
        <stp>KRZFA05940F8</stp>
        <stp>민평3사 수익률(산출일)</stp>
        <stp>46198</stp>
        <stp/>
        <tr r="DD172" s="1"/>
      </tp>
      <tp t="s">
        <v/>
        <stp/>
        <stp>P</stp>
        <stp>0</stp>
        <stp>BND</stp>
        <stp>KRZFA05941F8</stp>
        <stp>민평3사 수익률(산출일)</stp>
        <stp>46198</stp>
        <stp/>
        <tr r="DD173" s="1"/>
      </tp>
      <tp t="s">
        <v/>
        <stp/>
        <stp>P</stp>
        <stp>0</stp>
        <stp>BND</stp>
        <stp>KRZF00594BF8</stp>
        <stp>민평3사 수익률(산출일)</stp>
        <stp>46198</stp>
        <stp/>
        <tr r="BT105" s="1"/>
      </tp>
      <tp t="s">
        <v/>
        <stp/>
        <stp>P</stp>
        <stp>0</stp>
        <stp>BND</stp>
        <stp>KRZF00594CF8</stp>
        <stp>민평3사 수익률(산출일)</stp>
        <stp>46198</stp>
        <stp/>
        <tr r="BT106" s="1"/>
      </tp>
      <tp t="s">
        <v/>
        <stp/>
        <stp>P</stp>
        <stp>0</stp>
        <stp>BND</stp>
        <stp>KRZF00594DF8</stp>
        <stp>민평3사 수익률(산출일)</stp>
        <stp>46198</stp>
        <stp/>
        <tr r="BT104" s="1"/>
      </tp>
      <tp t="s">
        <v/>
        <stp/>
        <stp>P</stp>
        <stp>0</stp>
        <stp>BND</stp>
        <stp>KRZF00594EF8</stp>
        <stp>민평3사 수익률(산출일)</stp>
        <stp>46198</stp>
        <stp/>
        <tr r="BT107" s="1"/>
      </tp>
      <tp t="s">
        <v/>
        <stp/>
        <stp>P</stp>
        <stp>0</stp>
        <stp>BND</stp>
        <stp>KRZF03271LBN</stp>
        <stp>민평3사 수익률(산출일)</stp>
        <stp>46198</stp>
        <stp/>
        <tr r="DD197" s="1"/>
      </tp>
      <tp t="s">
        <v/>
        <stp/>
        <stp>P</stp>
        <stp>0</stp>
        <stp>BND</stp>
        <stp>KRZF047818GH</stp>
        <stp>민평3사 수익률(산출일)</stp>
        <stp>46198</stp>
        <stp/>
        <tr r="CF157" s="1"/>
      </tp>
      <tp t="s">
        <v/>
        <stp/>
        <stp>P</stp>
        <stp>0</stp>
        <stp>BND</stp>
        <stp>KRZF047819GH</stp>
        <stp>민평3사 수익률(산출일)</stp>
        <stp>46198</stp>
        <stp/>
        <tr r="CF156" s="1"/>
      </tp>
      <tp t="s">
        <v/>
        <stp/>
        <stp>P</stp>
        <stp>0</stp>
        <stp>BND</stp>
        <stp>KRZF047814GH</stp>
        <stp>민평3사 수익률(산출일)</stp>
        <stp>46198</stp>
        <stp/>
        <tr r="CF104" s="1"/>
      </tp>
      <tp t="s">
        <v/>
        <stp/>
        <stp>P</stp>
        <stp>0</stp>
        <stp>BND</stp>
        <stp>KRZF047815GH</stp>
        <stp>민평3사 수익률(산출일)</stp>
        <stp>46198</stp>
        <stp/>
        <tr r="CF101" s="1"/>
      </tp>
      <tp t="s">
        <v/>
        <stp/>
        <stp>P</stp>
        <stp>0</stp>
        <stp>BND</stp>
        <stp>KRZF047816GH</stp>
        <stp>민평3사 수익률(산출일)</stp>
        <stp>46198</stp>
        <stp/>
        <tr r="CF99" s="1"/>
      </tp>
      <tp t="s">
        <v/>
        <stp/>
        <stp>P</stp>
        <stp>0</stp>
        <stp>BND</stp>
        <stp>KRZF047817GH</stp>
        <stp>민평3사 수익률(산출일)</stp>
        <stp>46198</stp>
        <stp/>
        <tr r="CF100" s="1"/>
      </tp>
      <tp t="s">
        <v/>
        <stp/>
        <stp>P</stp>
        <stp>0</stp>
        <stp>BND</stp>
        <stp>KRZF047812GH</stp>
        <stp>민평3사 수익률(산출일)</stp>
        <stp>46198</stp>
        <stp/>
        <tr r="CF102" s="1"/>
      </tp>
      <tp t="s">
        <v/>
        <stp/>
        <stp>P</stp>
        <stp>0</stp>
        <stp>BND</stp>
        <stp>KRZF047813GH</stp>
        <stp>민평3사 수익률(산출일)</stp>
        <stp>46198</stp>
        <stp/>
        <tr r="CF103" s="1"/>
      </tp>
      <tp t="s">
        <v/>
        <stp/>
        <stp>P</stp>
        <stp>0</stp>
        <stp>BND</stp>
        <stp>KRZFA57125G4</stp>
        <stp>민평3사 수익률(산출일)</stp>
        <stp>46198</stp>
        <stp/>
        <tr r="CF138" s="1"/>
      </tp>
      <tp t="s">
        <v/>
        <stp/>
        <stp>P</stp>
        <stp>0</stp>
        <stp>BND</stp>
        <stp>KRZFA57124G4</stp>
        <stp>민평3사 수익률(산출일)</stp>
        <stp>46198</stp>
        <stp/>
        <tr r="CF137" s="1"/>
      </tp>
      <tp t="s">
        <v/>
        <stp/>
        <stp>P</stp>
        <stp>0</stp>
        <stp>BND</stp>
        <stp>KRZFA57126G4</stp>
        <stp>민평3사 수익률(산출일)</stp>
        <stp>46198</stp>
        <stp/>
        <tr r="CF146" s="1"/>
      </tp>
      <tp t="s">
        <v/>
        <stp/>
        <stp>P</stp>
        <stp>0</stp>
        <stp>BND</stp>
        <stp>KRZFA57123G4</stp>
        <stp>민평3사 수익률(산출일)</stp>
        <stp>46198</stp>
        <stp/>
        <tr r="CF139" s="1"/>
      </tp>
      <tp t="s">
        <v/>
        <stp/>
        <stp>P</stp>
        <stp>0</stp>
        <stp>BND</stp>
        <stp>KRZF11752EFM</stp>
        <stp>민평3사 수익률(산출일)</stp>
        <stp>46198</stp>
        <stp/>
        <tr r="CR49" s="1"/>
      </tp>
      <tp t="s">
        <v/>
        <stp/>
        <stp>P</stp>
        <stp>0</stp>
        <stp>BND</stp>
        <stp>KRZF11752FFM</stp>
        <stp>민평3사 수익률(산출일)</stp>
        <stp>46198</stp>
        <stp/>
        <tr r="CR48" s="1"/>
      </tp>
      <tp t="s">
        <v/>
        <stp/>
        <stp>P</stp>
        <stp>0</stp>
        <stp>BND</stp>
        <stp>KRZF11752TF9</stp>
        <stp>민평3사 수익률(산출일)</stp>
        <stp>46198</stp>
        <stp/>
        <tr r="CR52" s="1"/>
      </tp>
      <tp t="s">
        <v/>
        <stp/>
        <stp>P</stp>
        <stp>0</stp>
        <stp>BND</stp>
        <stp>KRZF11752VF9</stp>
        <stp>민평3사 수익률(산출일)</stp>
        <stp>46198</stp>
        <stp/>
        <tr r="CR53" s="1"/>
      </tp>
      <tp t="s">
        <v/>
        <stp/>
        <stp>P</stp>
        <stp>0</stp>
        <stp>BND</stp>
        <stp>KRZFA3049BFP</stp>
        <stp>민평3사 수익률(산출일)</stp>
        <stp>46198</stp>
        <stp/>
        <tr r="DD215" s="1"/>
      </tp>
      <tp t="s">
        <v/>
        <stp/>
        <stp>P</stp>
        <stp>0</stp>
        <stp>BND</stp>
        <stp>KRZFE3049ZFQ</stp>
        <stp>민평3사 수익률(산출일)</stp>
        <stp>46198</stp>
        <stp/>
        <tr r="DD233" s="1"/>
      </tp>
      <tp t="s">
        <v/>
        <stp/>
        <stp>P</stp>
        <stp>0</stp>
        <stp>BND</stp>
        <stp>KRZFE3049YFQ</stp>
        <stp>민평3사 수익률(산출일)</stp>
        <stp>46198</stp>
        <stp/>
        <tr r="DD236" s="1"/>
      </tp>
      <tp t="s">
        <v/>
        <stp/>
        <stp>P</stp>
        <stp>0</stp>
        <stp>BND</stp>
        <stp>KRZE00701FAF</stp>
        <stp>민평3사 수익률(산출일)</stp>
        <stp>46198</stp>
        <stp/>
        <tr r="DD104" s="1"/>
      </tp>
      <tp t="s">
        <v/>
        <stp/>
        <stp>P</stp>
        <stp>0</stp>
        <stp>BND</stp>
        <stp>KRZF0107PVFA</stp>
        <stp>민평3사 수익률(산출일)</stp>
        <stp>46198</stp>
        <stp/>
        <tr r="DD174" s="1"/>
      </tp>
      <tp t="s">
        <v/>
        <stp/>
        <stp>P</stp>
        <stp>0</stp>
        <stp>BND</stp>
        <stp>KRZFJ30491FC</stp>
        <stp>민평3사 수익률(산출일)</stp>
        <stp>46198</stp>
        <stp/>
        <tr r="DD235" s="1"/>
      </tp>
      <tp t="s">
        <v/>
        <stp/>
        <stp>P</stp>
        <stp>0</stp>
        <stp>BND</stp>
        <stp>KRZFJ30490FC</stp>
        <stp>민평3사 수익률(산출일)</stp>
        <stp>46198</stp>
        <stp/>
        <tr r="DD234" s="1"/>
      </tp>
      <tp t="s">
        <v/>
        <stp/>
        <stp>P</stp>
        <stp>0</stp>
        <stp>BND</stp>
        <stp>KRZFA1122CG6</stp>
        <stp>민평3사 수익률(산출일)</stp>
        <stp>46198</stp>
        <stp/>
        <tr r="DD216" s="1"/>
      </tp>
      <tp t="s">
        <v/>
        <stp/>
        <stp>P</stp>
        <stp>0</stp>
        <stp>BND</stp>
        <stp>KRZFA1122BG6</stp>
        <stp>민평3사 수익률(산출일)</stp>
        <stp>46198</stp>
        <stp/>
        <tr r="DD217" s="1"/>
      </tp>
      <tp t="s">
        <v/>
        <stp/>
        <stp>P</stp>
        <stp>0</stp>
        <stp>BND</stp>
        <stp>KRZF07105VG4</stp>
        <stp>민평3사 수익률(산출일)</stp>
        <stp>46198</stp>
        <stp/>
        <tr r="DD225" s="1"/>
      </tp>
      <tp t="s">
        <v/>
        <stp/>
        <stp>P</stp>
        <stp>0</stp>
        <stp>BND</stp>
        <stp>KRZF07105TG4</stp>
        <stp>민평3사 수익률(산출일)</stp>
        <stp>46198</stp>
        <stp/>
        <tr r="DD227" s="1"/>
      </tp>
      <tp t="s">
        <v/>
        <stp/>
        <stp>P</stp>
        <stp>0</stp>
        <stp>BND</stp>
        <stp>KRZF07105SG4</stp>
        <stp>민평3사 수익률(산출일)</stp>
        <stp>46198</stp>
        <stp/>
        <tr r="DD228" s="1"/>
      </tp>
      <tp t="s">
        <v/>
        <stp/>
        <stp>P</stp>
        <stp>0</stp>
        <stp>BND</stp>
        <stp>KRZF07105RG4</stp>
        <stp>민평3사 수익률(산출일)</stp>
        <stp>46198</stp>
        <stp/>
        <tr r="DD226" s="1"/>
      </tp>
      <tp t="s">
        <v/>
        <stp/>
        <stp>P</stp>
        <stp>0</stp>
        <stp>BND</stp>
        <stp>KRZFJ71054G2</stp>
        <stp>민평3사 수익률(산출일)</stp>
        <stp>46198</stp>
        <stp/>
        <tr r="DD222" s="1"/>
      </tp>
      <tp t="s">
        <v/>
        <stp/>
        <stp>P</stp>
        <stp>0</stp>
        <stp>BND</stp>
        <stp>KRZFJ71053G2</stp>
        <stp>민평3사 수익률(산출일)</stp>
        <stp>46198</stp>
        <stp/>
        <tr r="DD219" s="1"/>
      </tp>
      <tp t="s">
        <v/>
        <stp/>
        <stp>P</stp>
        <stp>0</stp>
        <stp>BND</stp>
        <stp>KRZFJ71052G2</stp>
        <stp>민평3사 수익률(산출일)</stp>
        <stp>46198</stp>
        <stp/>
        <tr r="DD218" s="1"/>
      </tp>
      <tp t="s">
        <v/>
        <stp/>
        <stp>P</stp>
        <stp>0</stp>
        <stp>BND</stp>
        <stp>KRZFJ71051G2</stp>
        <stp>민평3사 수익률(산출일)</stp>
        <stp>46198</stp>
        <stp/>
        <tr r="DD220" s="1"/>
      </tp>
      <tp t="s">
        <v/>
        <stp/>
        <stp>P</stp>
        <stp>0</stp>
        <stp>BND</stp>
        <stp>KRZFJ71050G2</stp>
        <stp>민평3사 수익률(산출일)</stp>
        <stp>46198</stp>
        <stp/>
        <tr r="DD221" s="1"/>
      </tp>
      <tp>
        <v>0</v>
        <stp/>
        <stp>H</stp>
        <stp>x3.aBM71_0</stp>
        <stp>68</stp>
        <stp>1185616</stp>
        <tr r="A2" s="2"/>
      </tp>
      <tp>
        <v>0</v>
        <stp/>
        <stp>H</stp>
        <stp>x1.aBM71_0</stp>
        <stp>66</stp>
        <stp>1185616</stp>
        <tr r="N2" s="2"/>
      </tp>
      <tp>
        <v>0</v>
        <stp/>
        <stp>H</stp>
        <stp>x2.aBM71_0</stp>
        <stp>67</stp>
        <stp>1185616</stp>
        <tr r="H2" s="2"/>
      </tp>
      <tp>
        <v>0</v>
        <stp/>
        <stp>H</stp>
        <stp>x2.bBM71_0</stp>
        <stp>70</stp>
        <stp>1185616</stp>
        <tr r="BL2" s="2"/>
      </tp>
      <tp>
        <v>0</v>
        <stp/>
        <stp>H</stp>
        <stp>x3.bBM71_0</stp>
        <stp>71</stp>
        <stp>1185616</stp>
        <tr r="AF2" s="2"/>
      </tp>
      <tp>
        <v>0</v>
        <stp/>
        <stp>H</stp>
        <stp>x4.bBM71_0</stp>
        <stp>72</stp>
        <stp>1185616</stp>
        <tr r="AS2" s="2"/>
      </tp>
      <tp>
        <v>0</v>
        <stp/>
        <stp>H</stp>
        <stp>x5.bBM71_0</stp>
        <stp>73</stp>
        <stp>1185616</stp>
        <tr r="AY2" s="2"/>
      </tp>
      <tp>
        <v>0</v>
        <stp/>
        <stp>H</stp>
        <stp>x6.bBM71_0</stp>
        <stp>74</stp>
        <stp>1185616</stp>
        <tr r="Z2" s="2"/>
      </tp>
      <tp>
        <v>0</v>
        <stp/>
        <stp>H</stp>
        <stp>x7.bBM71_0</stp>
        <stp>75</stp>
        <stp>1185616</stp>
        <tr r="AM2" s="2"/>
      </tp>
      <tp>
        <v>0</v>
        <stp/>
        <stp>H</stp>
        <stp>x8.bBM71_0</stp>
        <stp>76</stp>
        <stp>1185616</stp>
        <tr r="BF2" s="2"/>
      </tp>
      <tp>
        <v>0</v>
        <stp/>
        <stp>H</stp>
        <stp>x1.bBM71_0</stp>
        <stp>69</stp>
        <stp>1185616</stp>
        <tr r="T2" s="2"/>
      </tp>
      <tp t="s">
        <v/>
        <stp/>
        <stp>P</stp>
        <stp>0</stp>
        <stp>BND</stp>
        <stp>KRZF071057FQ</stp>
        <stp>민평3사 수익률(산출일)</stp>
        <stp>46198</stp>
        <stp/>
        <tr r="DD231" s="1"/>
      </tp>
      <tp t="s">
        <v/>
        <stp/>
        <stp>P</stp>
        <stp>0</stp>
        <stp>BND</stp>
        <stp>KRZF071056FQ</stp>
        <stp>민평3사 수익률(산출일)</stp>
        <stp>46198</stp>
        <stp/>
        <tr r="DD232" s="1"/>
      </tp>
      <tp t="s">
        <v/>
        <stp/>
        <stp>P</stp>
        <stp>0</stp>
        <stp>BND</stp>
        <stp>KRZF071052FA</stp>
        <stp>민평3사 수익률(산출일)</stp>
        <stp>46198</stp>
        <stp/>
        <tr r="DD181" s="1"/>
      </tp>
      <tp t="s">
        <v/>
        <stp/>
        <stp>P</stp>
        <stp>0</stp>
        <stp>BND</stp>
        <stp>KRZF071051FA</stp>
        <stp>민평3사 수익률(산출일)</stp>
        <stp>46198</stp>
        <stp/>
        <tr r="DD180" s="1"/>
      </tp>
      <tp t="s">
        <v/>
        <stp/>
        <stp>P</stp>
        <stp>0</stp>
        <stp>BND</stp>
        <stp>KRZF31010WG4</stp>
        <stp>민평3사 수익률(산출일)</stp>
        <stp>46198</stp>
        <stp/>
        <tr r="CF76" s="1"/>
      </tp>
      <tp t="s">
        <v/>
        <stp/>
        <stp>P</stp>
        <stp>0</stp>
        <stp>BND</stp>
        <stp>KRZFA2047RG2</stp>
        <stp>민평3사 수익률(산출일)</stp>
        <stp>46198</stp>
        <stp/>
        <tr r="BT128" s="1"/>
      </tp>
      <tp t="s">
        <v/>
        <stp/>
        <stp>P</stp>
        <stp>0</stp>
        <stp>BND</stp>
        <stp>KRZFA2047QG2</stp>
        <stp>민평3사 수익률(산출일)</stp>
        <stp>46198</stp>
        <stp/>
        <tr r="BT129" s="1"/>
      </tp>
      <tp t="s">
        <v/>
        <stp/>
        <stp>P</stp>
        <stp>0</stp>
        <stp>BND</stp>
        <stp>KRZF01117QF7</stp>
        <stp>민평3사 수익률(산출일)</stp>
        <stp>46198</stp>
        <stp/>
        <tr r="CF97" s="1"/>
      </tp>
      <tp t="s">
        <v/>
        <stp/>
        <stp>P</stp>
        <stp>0</stp>
        <stp>BND</stp>
        <stp>KRZF01117PF7</stp>
        <stp>민평3사 수익률(산출일)</stp>
        <stp>46198</stp>
        <stp/>
        <tr r="CF98" s="1"/>
      </tp>
      <tp t="s">
        <v/>
        <stp/>
        <stp>P</stp>
        <stp>0</stp>
        <stp>BND</stp>
        <stp>KRZF01117SF7</stp>
        <stp>민평3사 수익률(산출일)</stp>
        <stp>46198</stp>
        <stp/>
        <tr r="CF95" s="1"/>
      </tp>
      <tp t="s">
        <v/>
        <stp/>
        <stp>P</stp>
        <stp>0</stp>
        <stp>BND</stp>
        <stp>KRZF01117RF7</stp>
        <stp>민평3사 수익률(산출일)</stp>
        <stp>46198</stp>
        <stp/>
        <tr r="CF96" s="1"/>
      </tp>
      <tp t="s">
        <v/>
        <stp/>
        <stp>P</stp>
        <stp>0</stp>
        <stp>BND</stp>
        <stp>KRZFE30495G5</stp>
        <stp>민평3사 수익률(산출일)</stp>
        <stp>46198</stp>
        <stp/>
        <tr r="DD99" s="1"/>
      </tp>
      <tp t="s">
        <v/>
        <stp/>
        <stp>P</stp>
        <stp>0</stp>
        <stp>BND</stp>
        <stp>KRZF03049BG5</stp>
        <stp>민평3사 수익률(산출일)</stp>
        <stp>46198</stp>
        <stp/>
        <tr r="DD183" s="1"/>
      </tp>
      <tp t="s">
        <v/>
        <stp/>
        <stp>P</stp>
        <stp>0</stp>
        <stp>BND</stp>
        <stp>KRZF00354JGJ</stp>
        <stp>민평3사 수익률(산출일)</stp>
        <stp>46198</stp>
        <stp/>
        <tr r="DD201" s="1"/>
      </tp>
      <tp t="s">
        <v/>
        <stp/>
        <stp>P</stp>
        <stp>0</stp>
        <stp>BND</stp>
        <stp>KRZF00354KGJ</stp>
        <stp>민평3사 수익률(산출일)</stp>
        <stp>46198</stp>
        <stp/>
        <tr r="DD203" s="1"/>
      </tp>
      <tp t="s">
        <v/>
        <stp/>
        <stp>P</stp>
        <stp>0</stp>
        <stp>BND</stp>
        <stp>KRZF00354LGJ</stp>
        <stp>민평3사 수익률(산출일)</stp>
        <stp>46198</stp>
        <stp/>
        <tr r="DD202" s="1"/>
      </tp>
      <tp t="s">
        <v/>
        <stp/>
        <stp>P</stp>
        <stp>0</stp>
        <stp>BND</stp>
        <stp>KRZF00354MGJ</stp>
        <stp>민평3사 수익률(산출일)</stp>
        <stp>46198</stp>
        <stp/>
        <tr r="DD205" s="1"/>
      </tp>
      <tp t="s">
        <v/>
        <stp/>
        <stp>P</stp>
        <stp>0</stp>
        <stp>BND</stp>
        <stp>KRZF00354NGJ</stp>
        <stp>민평3사 수익률(산출일)</stp>
        <stp>46198</stp>
        <stp/>
        <tr r="DD204" s="1"/>
      </tp>
      <tp t="s">
        <v/>
        <stp/>
        <stp>P</stp>
        <stp>0</stp>
        <stp>BND</stp>
        <stp>KRZF00354PGJ</stp>
        <stp>민평3사 수익률(산출일)</stp>
        <stp>46198</stp>
        <stp/>
        <tr r="DD200" s="1"/>
      </tp>
      <tp t="s">
        <v/>
        <stp/>
        <stp>P</stp>
        <stp>0</stp>
        <stp>BND</stp>
        <stp>KRZF00354QGJ</stp>
        <stp>민평3사 수익률(산출일)</stp>
        <stp>46198</stp>
        <stp/>
        <tr r="DD199" s="1"/>
      </tp>
      <tp t="s">
        <v/>
        <stp/>
        <stp>P</stp>
        <stp>0</stp>
        <stp>BND</stp>
        <stp>KRZF00354RGJ</stp>
        <stp>민평3사 수익률(산출일)</stp>
        <stp>46198</stp>
        <stp/>
        <tr r="DD198" s="1"/>
      </tp>
      <tp t="s">
        <v/>
        <stp/>
        <stp>P</stp>
        <stp>0</stp>
        <stp>BND</stp>
        <stp>KRZF15399QG5</stp>
        <stp>민평3사 수익률(산출일)</stp>
        <stp>46198</stp>
        <stp/>
        <tr r="DD178" s="1"/>
      </tp>
      <tp t="s">
        <v/>
        <stp/>
        <stp>P</stp>
        <stp>0</stp>
        <stp>BND</stp>
        <stp>KRZF15399RG5</stp>
        <stp>민평3사 수익률(산출일)</stp>
        <stp>46198</stp>
        <stp/>
        <tr r="DD177" s="1"/>
      </tp>
      <tp t="s">
        <v/>
        <stp/>
        <stp>P</stp>
        <stp>0</stp>
        <stp>BND</stp>
        <stp>KRZF023538G1</stp>
        <stp>민평3사 수익률(산출일)</stp>
        <stp>46198</stp>
        <stp/>
        <tr r="BT100" s="1"/>
      </tp>
      <tp t="s">
        <v/>
        <stp/>
        <stp>P</stp>
        <stp>0</stp>
        <stp>BND</stp>
        <stp>KRZF023539G1</stp>
        <stp>민평3사 수익률(산출일)</stp>
        <stp>46198</stp>
        <stp/>
        <tr r="BT97" s="1"/>
      </tp>
      <tp t="s">
        <v/>
        <stp/>
        <stp>P</stp>
        <stp>0</stp>
        <stp>BND</stp>
        <stp>KRZF023536G1</stp>
        <stp>민평3사 수익률(산출일)</stp>
        <stp>46198</stp>
        <stp/>
        <tr r="BT98" s="1"/>
      </tp>
      <tp t="s">
        <v/>
        <stp/>
        <stp>P</stp>
        <stp>0</stp>
        <stp>BND</stp>
        <stp>KRZF023537G1</stp>
        <stp>민평3사 수익률(산출일)</stp>
        <stp>46198</stp>
        <stp/>
        <tr r="BT99" s="1"/>
      </tp>
      <tp t="s">
        <v/>
        <stp/>
        <stp>P</stp>
        <stp>0</stp>
        <stp>BND</stp>
        <stp>KRZF02353BG1</stp>
        <stp>민평3사 수익률(산출일)</stp>
        <stp>46198</stp>
        <stp/>
        <tr r="CF92" s="1"/>
      </tp>
      <tp t="s">
        <v/>
        <stp/>
        <stp>P</stp>
        <stp>0</stp>
        <stp>BND</stp>
        <stp>KRZF02353CG1</stp>
        <stp>민평3사 수익률(산출일)</stp>
        <stp>46198</stp>
        <stp/>
        <tr r="CF90" s="1"/>
      </tp>
      <tp t="s">
        <v/>
        <stp/>
        <stp>P</stp>
        <stp>0</stp>
        <stp>BND</stp>
        <stp>KRZF02353AG1</stp>
        <stp>민평3사 수익률(산출일)</stp>
        <stp>46198</stp>
        <stp/>
        <tr r="CF91" s="1"/>
      </tp>
      <tp t="s">
        <v/>
        <stp/>
        <stp>P</stp>
        <stp>0</stp>
        <stp>BND</stp>
        <stp>KRZF02353DG1</stp>
        <stp>민평3사 수익률(산출일)</stp>
        <stp>46198</stp>
        <stp/>
        <tr r="CF155" s="1"/>
      </tp>
      <tp t="s">
        <v/>
        <stp/>
        <stp>P</stp>
        <stp>0</stp>
        <stp>BND</stp>
        <stp>KRZF103343G5</stp>
        <stp>민평3사 수익률(산출일)</stp>
        <stp>46198</stp>
        <stp/>
        <tr r="CR51" s="1"/>
      </tp>
      <tp t="s">
        <v/>
        <stp/>
        <stp>P</stp>
        <stp>0</stp>
        <stp>BND</stp>
        <stp>KRZF103344G5</stp>
        <stp>민평3사 수익률(산출일)</stp>
        <stp>46198</stp>
        <stp/>
        <tr r="CF162" s="1"/>
      </tp>
      <tp t="s">
        <v/>
        <stp/>
        <stp>P</stp>
        <stp>0</stp>
        <stp>BND</stp>
        <stp>KRZF103345G5</stp>
        <stp>민평3사 수익률(산출일)</stp>
        <stp>46198</stp>
        <stp/>
        <tr r="CF119" s="1"/>
      </tp>
      <tp t="s">
        <v/>
        <stp/>
        <stp>P</stp>
        <stp>0</stp>
        <stp>BND</stp>
        <stp>KRZF103346G5</stp>
        <stp>민평3사 수익률(산출일)</stp>
        <stp>46198</stp>
        <stp/>
        <tr r="CF120" s="1"/>
      </tp>
      <tp t="s">
        <v/>
        <stp/>
        <stp>P</stp>
        <stp>0</stp>
        <stp>BND</stp>
        <stp>KRZF10334QG4</stp>
        <stp>민평3사 수익률(산출일)</stp>
        <stp>46198</stp>
        <stp/>
        <tr r="CF113" s="1"/>
      </tp>
      <tp t="s">
        <v/>
        <stp/>
        <stp>P</stp>
        <stp>0</stp>
        <stp>BND</stp>
        <stp>KRZF10334RG4</stp>
        <stp>민평3사 수익률(산출일)</stp>
        <stp>46198</stp>
        <stp/>
        <tr r="CF111" s="1"/>
      </tp>
      <tp t="s">
        <v/>
        <stp/>
        <stp>P</stp>
        <stp>0</stp>
        <stp>BND</stp>
        <stp>KRZF10334SG4</stp>
        <stp>민평3사 수익률(산출일)</stp>
        <stp>46198</stp>
        <stp/>
        <tr r="CF110" s="1"/>
      </tp>
      <tp t="s">
        <v/>
        <stp/>
        <stp>P</stp>
        <stp>0</stp>
        <stp>BND</stp>
        <stp>KRZF10334TG4</stp>
        <stp>민평3사 수익률(산출일)</stp>
        <stp>46198</stp>
        <stp/>
        <tr r="CF112" s="1"/>
      </tp>
      <tp t="s">
        <v/>
        <stp/>
        <stp>P</stp>
        <stp>0</stp>
        <stp>BND</stp>
        <stp>KRZF10334VG4</stp>
        <stp>민평3사 수익률(산출일)</stp>
        <stp>46198</stp>
        <stp/>
        <tr r="CF114" s="1"/>
      </tp>
      <tp t="s">
        <v/>
        <stp/>
        <stp>P</stp>
        <stp>0</stp>
        <stp>BND</stp>
        <stp>KRZF10334WG4</stp>
        <stp>민평3사 수익률(산출일)</stp>
        <stp>46198</stp>
        <stp/>
        <tr r="CF160" s="1"/>
      </tp>
      <tp t="s">
        <v/>
        <stp/>
        <stp>P</stp>
        <stp>0</stp>
        <stp>BND</stp>
        <stp>KRZF023763G6</stp>
        <stp>민평3사 수익률(산출일)</stp>
        <stp>46198</stp>
        <stp/>
        <tr r="CF158" s="1"/>
      </tp>
      <tp t="s">
        <v/>
        <stp/>
        <stp>P</stp>
        <stp>0</stp>
        <stp>BND</stp>
        <stp>KRZF023766G6</stp>
        <stp>민평3사 수익률(산출일)</stp>
        <stp>46198</stp>
        <stp/>
        <tr r="CF105" s="1"/>
      </tp>
      <tp t="s">
        <v/>
        <stp/>
        <stp>P</stp>
        <stp>0</stp>
        <stp>BND</stp>
        <stp>KRZF023764G6</stp>
        <stp>민평3사 수익률(산출일)</stp>
        <stp>46198</stp>
        <stp/>
        <tr r="CF106" s="1"/>
      </tp>
      <tp t="s">
        <v/>
        <stp/>
        <stp>P</stp>
        <stp>0</stp>
        <stp>BND</stp>
        <stp>KRZF023765G6</stp>
        <stp>민평3사 수익률(산출일)</stp>
        <stp>46198</stp>
        <stp/>
        <tr r="CF107" s="1"/>
      </tp>
      <tp t="s">
        <v/>
        <stp/>
        <stp>P</stp>
        <stp>0</stp>
        <stp>BND</stp>
        <stp>KRZFA0354HG6</stp>
        <stp>민평3사 수익률(산출일)</stp>
        <stp>46198</stp>
        <stp/>
        <tr r="DD190" s="1"/>
      </tp>
      <tp t="s">
        <v/>
        <stp/>
        <stp>P</stp>
        <stp>0</stp>
        <stp>BND</stp>
        <stp>KRZFA0354JG6</stp>
        <stp>민평3사 수익률(산출일)</stp>
        <stp>46198</stp>
        <stp/>
        <tr r="DD195" s="1"/>
      </tp>
      <tp t="s">
        <v/>
        <stp/>
        <stp>P</stp>
        <stp>0</stp>
        <stp>BND</stp>
        <stp>KRZFA0354KG6</stp>
        <stp>민평3사 수익률(산출일)</stp>
        <stp>46198</stp>
        <stp/>
        <tr r="DD194" s="1"/>
      </tp>
      <tp t="s">
        <v/>
        <stp/>
        <stp>P</stp>
        <stp>0</stp>
        <stp>BND</stp>
        <stp>KRZFA0354LG6</stp>
        <stp>민평3사 수익률(산출일)</stp>
        <stp>46198</stp>
        <stp/>
        <tr r="DD192" s="1"/>
      </tp>
      <tp t="s">
        <v/>
        <stp/>
        <stp>P</stp>
        <stp>0</stp>
        <stp>BND</stp>
        <stp>KRZFA0354MG6</stp>
        <stp>민평3사 수익률(산출일)</stp>
        <stp>46198</stp>
        <stp/>
        <tr r="DD196" s="1"/>
      </tp>
      <tp t="s">
        <v/>
        <stp/>
        <stp>P</stp>
        <stp>0</stp>
        <stp>BND</stp>
        <stp>KRZFA0354NG6</stp>
        <stp>민평3사 수익률(산출일)</stp>
        <stp>46198</stp>
        <stp/>
        <tr r="DD191" s="1"/>
      </tp>
      <tp t="s">
        <v/>
        <stp/>
        <stp>P</stp>
        <stp>0</stp>
        <stp>BND</stp>
        <stp>KRZFA0354FG6</stp>
        <stp>민평3사 수익률(산출일)</stp>
        <stp>46198</stp>
        <stp/>
        <tr r="DD189" s="1"/>
      </tp>
      <tp t="s">
        <v/>
        <stp/>
        <stp>P</stp>
        <stp>0</stp>
        <stp>BND</stp>
        <stp>KRZFA0354GG6</stp>
        <stp>민평3사 수익률(산출일)</stp>
        <stp>46198</stp>
        <stp/>
        <tr r="DD187" s="1"/>
      </tp>
      <tp t="s">
        <v/>
        <stp/>
        <stp>P</stp>
        <stp>0</stp>
        <stp>BND</stp>
        <stp>KRZFA0354PG6</stp>
        <stp>민평3사 수익률(산출일)</stp>
        <stp>46198</stp>
        <stp/>
        <tr r="DD188" s="1"/>
      </tp>
      <tp t="s">
        <v/>
        <stp/>
        <stp>P</stp>
        <stp>0</stp>
        <stp>BND</stp>
        <stp>KRZFA0354QG6</stp>
        <stp>민평3사 수익률(산출일)</stp>
        <stp>46198</stp>
        <stp/>
        <tr r="DD193" s="1"/>
      </tp>
      <tp t="s">
        <v/>
        <stp/>
        <stp>P</stp>
        <stp>0</stp>
        <stp>BND</stp>
        <stp>KRZS039494M8</stp>
        <stp>민평3사 수익률(산출일)</stp>
        <stp>46198</stp>
        <stp/>
        <tr r="BT51" s="1"/>
      </tp>
      <tp t="s">
        <v/>
        <stp/>
        <stp>P</stp>
        <stp>0</stp>
        <stp>BND</stp>
        <stp>KRZE08401FAW</stp>
        <stp>민평3사 수익률(산출일)</stp>
        <stp>46198</stp>
        <stp/>
        <tr r="DD109" s="1"/>
      </tp>
      <tp t="s">
        <v/>
        <stp/>
        <stp>P</stp>
        <stp>0</stp>
        <stp>BND</stp>
        <stp>KRZF003549FQ</stp>
        <stp>민평3사 수익률(산출일)</stp>
        <stp>46198</stp>
        <stp/>
        <tr r="DD230" s="1"/>
      </tp>
      <tp t="s">
        <v/>
        <stp/>
        <stp>P</stp>
        <stp>0</stp>
        <stp>BND</stp>
        <stp>KRZF00354AFQ</stp>
        <stp>민평3사 수익률(산출일)</stp>
        <stp>46198</stp>
        <stp/>
        <tr r="DD229" s="1"/>
      </tp>
      <tp t="s">
        <v/>
        <stp/>
        <stp>P</stp>
        <stp>0</stp>
        <stp>BND</stp>
        <stp>KRZF00345ZFM</stp>
        <stp>민평3사 수익률(산출일)</stp>
        <stp>46198</stp>
        <stp/>
        <tr r="BT262" s="1"/>
      </tp>
      <tp t="s">
        <v/>
        <stp/>
        <stp>P</stp>
        <stp>0</stp>
        <stp>BND</stp>
        <stp>KRZF00353BFA</stp>
        <stp>민평3사 수익률(산출일)</stp>
        <stp>46198</stp>
        <stp/>
        <tr r="DD185" s="1"/>
      </tp>
      <tp t="s">
        <v/>
        <stp/>
        <stp>P</stp>
        <stp>0</stp>
        <stp>BND</stp>
        <stp>KRZF00353CFA</stp>
        <stp>민평3사 수익률(산출일)</stp>
        <stp>46198</stp>
        <stp/>
        <tr r="DD186" s="1"/>
      </tp>
      <tp t="s">
        <v/>
        <stp/>
        <stp>P</stp>
        <stp>0</stp>
        <stp>BND</stp>
        <stp>KRZFA0345XFA</stp>
        <stp>민평3사 수익률(산출일)</stp>
        <stp>46198</stp>
        <stp/>
        <tr r="BT120" s="1"/>
      </tp>
      <tp t="s">
        <v/>
        <stp/>
        <stp>P</stp>
        <stp>0</stp>
        <stp>BND</stp>
        <stp>KRZFA0345YFA</stp>
        <stp>민평3사 수익률(산출일)</stp>
        <stp>46198</stp>
        <stp/>
        <tr r="BT118" s="1"/>
      </tp>
      <tp t="s">
        <v/>
        <stp/>
        <stp>P</stp>
        <stp>0</stp>
        <stp>BND</stp>
        <stp>KRZFA0345WFA</stp>
        <stp>민평3사 수익률(산출일)</stp>
        <stp>46198</stp>
        <stp/>
        <tr r="BT119" s="1"/>
      </tp>
      <tp t="s">
        <v/>
        <stp/>
        <stp>P</stp>
        <stp>0</stp>
        <stp>BND</stp>
        <stp>KRZE08402FAF</stp>
        <stp>민평3사 수익률(산출일)</stp>
        <stp>46198</stp>
        <stp/>
        <tr r="BT188" s="1"/>
      </tp>
      <tp t="s">
        <v/>
        <stp/>
        <stp>P</stp>
        <stp>0</stp>
        <stp>BND</stp>
        <stp>KRZF10334XFB</stp>
        <stp>민평3사 수익률(산출일)</stp>
        <stp>46198</stp>
        <stp/>
        <tr r="EB88" s="1"/>
      </tp>
      <tp t="s">
        <v/>
        <stp/>
        <stp>P</stp>
        <stp>0</stp>
        <stp>BND</stp>
        <stp>KRZF10334ZFB</stp>
        <stp>민평3사 수익률(산출일)</stp>
        <stp>46198</stp>
        <stp/>
        <tr r="EB87" s="1"/>
      </tp>
      <tp t="s">
        <v/>
        <stp/>
        <stp>P</stp>
        <stp>0</stp>
        <stp>BND</stp>
        <stp>KRZFA03450F9</stp>
        <stp>민평3사 수익률(산출일)</stp>
        <stp>46198</stp>
        <stp/>
        <tr r="BT263" s="1"/>
      </tp>
      <tp t="s">
        <v/>
        <stp/>
        <stp>P</stp>
        <stp>0</stp>
        <stp>BND</stp>
        <stp>KRZFA03451F9</stp>
        <stp>민평3사 수익률(산출일)</stp>
        <stp>46198</stp>
        <stp/>
        <tr r="BT114" s="1"/>
      </tp>
      <tp t="s">
        <v/>
        <stp/>
        <stp>P</stp>
        <stp>0</stp>
        <stp>BND</stp>
        <stp>KRZFA03452F9</stp>
        <stp>민평3사 수익률(산출일)</stp>
        <stp>46198</stp>
        <stp/>
        <tr r="BT115" s="1"/>
      </tp>
      <tp t="s">
        <v/>
        <stp/>
        <stp>P</stp>
        <stp>0</stp>
        <stp>BND</stp>
        <stp>KRZF10334AF7</stp>
        <stp>민평3사 수익률(산출일)</stp>
        <stp>46198</stp>
        <stp/>
        <tr r="EB85" s="1"/>
      </tp>
      <tp t="s">
        <v/>
        <stp/>
        <stp>P</stp>
        <stp>0</stp>
        <stp>BND</stp>
        <stp>KRZF00238BG4</stp>
        <stp>민평3사 수익률(산출일)</stp>
        <stp>46198</stp>
        <stp/>
        <tr r="BT124" s="1"/>
      </tp>
      <tp t="s">
        <v/>
        <stp/>
        <stp>P</stp>
        <stp>0</stp>
        <stp>BND</stp>
        <stp>KRZF00238CG4</stp>
        <stp>민평3사 수익률(산출일)</stp>
        <stp>46198</stp>
        <stp/>
        <tr r="BT125" s="1"/>
      </tp>
      <tp>
        <v>4.13</v>
        <stp/>
        <stp>P</stp>
        <stp>0</stp>
        <stp>BND</stp>
        <stp>KR351607GF38</stp>
        <stp>민평3사 수익률(산출일)</stp>
        <stp>46198</stp>
        <stp/>
        <tr r="DD242" s="1"/>
      </tp>
      <tp>
        <v>3.1909999999999998</v>
        <stp/>
        <stp>P</stp>
        <stp>0</stp>
        <stp>BND</stp>
        <stp>KR2004131539</stp>
        <stp>민평3사 수익률(산출일)</stp>
        <stp>46198</stp>
        <stp/>
        <tr r="L72" s="1"/>
      </tp>
      <tp>
        <v>4.6589999999999998</v>
        <stp/>
        <stp>P</stp>
        <stp>0</stp>
        <stp>BND</stp>
        <stp>KR6215592F30</stp>
        <stp>민평3사 수익률(산출일)</stp>
        <stp>46198</stp>
        <stp/>
        <tr r="EB58" s="1"/>
      </tp>
      <tp>
        <v>3.4279999999999999</v>
        <stp/>
        <stp>P</stp>
        <stp>0</stp>
        <stp>BND</stp>
        <stp>KR381101GA31</stp>
        <stp>민평3사 수익률(산출일)</stp>
        <stp>46198</stp>
        <stp/>
        <tr r="DD156" s="1"/>
      </tp>
      <tp>
        <v>3.3119999999999998</v>
        <stp/>
        <stp>P</stp>
        <stp>0</stp>
        <stp>BND</stp>
        <stp>KR6051501F39</stp>
        <stp>민평3사 수익률(산출일)</stp>
        <stp>46198</stp>
        <stp/>
        <tr r="CF67" s="1"/>
        <tr r="CR60" s="1"/>
      </tp>
      <tp>
        <v>3.2189999999999999</v>
        <stp/>
        <stp>P</stp>
        <stp>0</stp>
        <stp>BND</stp>
        <stp>KR6079319E58</stp>
        <stp>민평3사 수익률(산출일)</stp>
        <stp>46198</stp>
        <stp/>
        <tr r="BT176" s="1"/>
      </tp>
      <tp>
        <v>4.1630000000000003</v>
        <stp/>
        <stp>P</stp>
        <stp>0</stp>
        <stp>BND</stp>
        <stp>KR6105561G39</stp>
        <stp>민평3사 수익률(산출일)</stp>
        <stp>46198</stp>
        <stp/>
        <tr r="L40" s="1"/>
      </tp>
      <tp>
        <v>4.2</v>
        <stp/>
        <stp>P</stp>
        <stp>0</stp>
        <stp>BND</stp>
        <stp>KR6030492F26</stp>
        <stp>민평3사 수익률(산출일)</stp>
        <stp>46198</stp>
        <stp/>
        <tr r="L308" s="1"/>
      </tp>
      <tp>
        <v>3.1459999999999999</v>
        <stp/>
        <stp>P</stp>
        <stp>0</stp>
        <stp>BND</stp>
        <stp>KR6093052D69</stp>
        <stp>민평3사 수익률(산출일)</stp>
        <stp>46198</stp>
        <stp/>
        <tr r="L320" s="1"/>
      </tp>
      <tp>
        <v>3.3220000000000001</v>
        <stp/>
        <stp>P</stp>
        <stp>0</stp>
        <stp>BND</stp>
        <stp>KR354411GG29</stp>
        <stp>민평3사 수익률(산출일)</stp>
        <stp>46198</stp>
        <stp/>
        <tr r="L362" s="1"/>
      </tp>
      <tp>
        <v>3.5230000000000001</v>
        <stp/>
        <stp>P</stp>
        <stp>0</stp>
        <stp>BND</stp>
        <stp>KR355201GF39</stp>
        <stp>민평3사 수익률(산출일)</stp>
        <stp>46198</stp>
        <stp/>
        <tr r="EB23" s="1"/>
      </tp>
      <tp>
        <v>3.6779999999999999</v>
        <stp/>
        <stp>P</stp>
        <stp>0</stp>
        <stp>BND</stp>
        <stp>KR6003492E24</stp>
        <stp>민평3사 수익률(산출일)</stp>
        <stp>46198</stp>
        <stp/>
        <tr r="CR58" s="1"/>
      </tp>
      <tp>
        <v>4.1779999999999999</v>
        <stp/>
        <stp>P</stp>
        <stp>0</stp>
        <stp>BND</stp>
        <stp>KR6055551G38</stp>
        <stp>민평3사 수익률(산출일)</stp>
        <stp>46198</stp>
        <stp/>
        <tr r="L159" s="1"/>
      </tp>
      <tp>
        <v>3.468</v>
        <stp/>
        <stp>P</stp>
        <stp>0</stp>
        <stp>BND</stp>
        <stp>KR350102GA35</stp>
        <stp>민평3사 수익률(산출일)</stp>
        <stp>46198</stp>
        <stp/>
        <tr r="X38" s="1"/>
        <tr r="L380" s="1"/>
      </tp>
      <tp>
        <v>4.274</v>
        <stp/>
        <stp>P</stp>
        <stp>0</stp>
        <stp>BND</stp>
        <stp>KR3561027235</stp>
        <stp>민평3사 수익률(산출일)</stp>
        <stp>46198</stp>
        <stp/>
        <tr r="DD305" s="1"/>
      </tp>
      <tp>
        <v>4.274</v>
        <stp/>
        <stp>P</stp>
        <stp>0</stp>
        <stp>BND</stp>
        <stp>KR3561127225</stp>
        <stp>민평3사 수익률(산출일)</stp>
        <stp>46198</stp>
        <stp/>
        <tr r="L100" s="1"/>
        <tr r="BT269" s="1"/>
        <tr r="DD259" s="1"/>
      </tp>
      <tp>
        <v>3.4529999999999998</v>
        <stp/>
        <stp>P</stp>
        <stp>0</stp>
        <stp>BND</stp>
        <stp>KR3546017236</stp>
        <stp>민평3사 수익률(산출일)</stp>
        <stp>46198</stp>
        <stp/>
        <tr r="L283" s="1"/>
      </tp>
      <tp>
        <v>3.9380000000000002</v>
        <stp/>
        <stp>P</stp>
        <stp>0</stp>
        <stp>BND</stp>
        <stp>KR6000038F61</stp>
        <stp>민평3사 수익률(산출일)</stp>
        <stp>46198</stp>
        <stp/>
        <tr r="L156" s="1"/>
      </tp>
      <tp>
        <v>3.6120000000000001</v>
        <stp/>
        <stp>P</stp>
        <stp>0</stp>
        <stp>BND</stp>
        <stp>KR6169379E54</stp>
        <stp>민평3사 수익률(산출일)</stp>
        <stp>46198</stp>
        <stp/>
        <tr r="CF47" s="1"/>
      </tp>
      <tp>
        <v>4.2480000000000002</v>
        <stp/>
        <stp>P</stp>
        <stp>0</stp>
        <stp>BND</stp>
        <stp>KR356101GG37</stp>
        <stp>민평3사 수익률(산출일)</stp>
        <stp>46198</stp>
        <stp/>
        <tr r="L175" s="1"/>
      </tp>
      <tp>
        <v>4.1050000000000004</v>
        <stp/>
        <stp>P</stp>
        <stp>0</stp>
        <stp>BND</stp>
        <stp>KR350101G934</stp>
        <stp>민평3사 수익률(산출일)</stp>
        <stp>46198</stp>
        <stp/>
        <tr r="BT199" s="1"/>
      </tp>
      <tp>
        <v>4.2770000000000001</v>
        <stp/>
        <stp>P</stp>
        <stp>0</stp>
        <stp>BND</stp>
        <stp>KR351605GF30</stp>
        <stp>민평3사 수익률(산출일)</stp>
        <stp>46198</stp>
        <stp/>
        <tr r="L236" s="1"/>
      </tp>
      <tp>
        <v>3.5569999999999999</v>
        <stp/>
        <stp>P</stp>
        <stp>0</stp>
        <stp>BND</stp>
        <stp>KR6139481E29</stp>
        <stp>민평3사 수익률(산출일)</stp>
        <stp>46198</stp>
        <stp/>
        <tr r="BT34" s="1"/>
      </tp>
      <tp>
        <v>4.3230000000000004</v>
        <stp/>
        <stp>P</stp>
        <stp>0</stp>
        <stp>BND</stp>
        <stp>KR6174142F75</stp>
        <stp>민평3사 수익률(산출일)</stp>
        <stp>46198</stp>
        <stp/>
        <tr r="L178" s="1"/>
      </tp>
      <tp>
        <v>3.6680000000000001</v>
        <stp/>
        <stp>P</stp>
        <stp>0</stp>
        <stp>BND</stp>
        <stp>KR2044022D22</stp>
        <stp>민평3사 수익률(산출일)</stp>
        <stp>46198</stp>
        <stp/>
        <tr r="L74" s="1"/>
      </tp>
      <tp>
        <v>4.3849999999999998</v>
        <stp/>
        <stp>P</stp>
        <stp>0</stp>
        <stp>BND</stp>
        <stp>KR6008278G47</stp>
        <stp>민평3사 수익률(산출일)</stp>
        <stp>46198</stp>
        <stp/>
        <tr r="BT40" s="1"/>
        <tr r="DD33" s="1"/>
      </tp>
      <tp>
        <v>4.0279999999999996</v>
        <stp/>
        <stp>P</stp>
        <stp>0</stp>
        <stp>BND</stp>
        <stp>KR354202G936</stp>
        <stp>민평3사 수익률(산출일)</stp>
        <stp>46198</stp>
        <stp/>
        <tr r="DD307" s="1"/>
        <tr r="BT251" s="1"/>
      </tp>
      <tp>
        <v>4.2069999999999999</v>
        <stp/>
        <stp>P</stp>
        <stp>0</stp>
        <stp>BND</stp>
        <stp>KR351601G635</stp>
        <stp>민평3사 수익률(산출일)</stp>
        <stp>46198</stp>
        <stp/>
        <tr r="L275" s="1"/>
      </tp>
      <tp>
        <v>4.2110000000000003</v>
        <stp/>
        <stp>P</stp>
        <stp>0</stp>
        <stp>BND</stp>
        <stp>KR351605GE31</stp>
        <stp>민평3사 수익률(산출일)</stp>
        <stp>46198</stp>
        <stp/>
        <tr r="L179" s="1"/>
      </tp>
      <tp>
        <v>3.613</v>
        <stp/>
        <stp>P</stp>
        <stp>0</stp>
        <stp>BND</stp>
        <stp>KR6139481F28</stp>
        <stp>민평3사 수익률(산출일)</stp>
        <stp>46198</stp>
        <stp/>
        <tr r="CR45" s="1"/>
      </tp>
      <tp>
        <v>4.3090000000000002</v>
        <stp/>
        <stp>P</stp>
        <stp>0</stp>
        <stp>BND</stp>
        <stp>KR6063321253</stp>
        <stp>민평3사 수익률(산출일)</stp>
        <stp>46198</stp>
        <stp/>
        <tr r="L151" s="1"/>
      </tp>
      <tp>
        <v>3.9460000000000002</v>
        <stp/>
        <stp>P</stp>
        <stp>0</stp>
        <stp>BND</stp>
        <stp>KR6032712G17</stp>
        <stp>민평3사 수익률(산출일)</stp>
        <stp>46198</stp>
        <stp/>
        <tr r="L143" s="1"/>
      </tp>
      <tp>
        <v>3.4409999999999998</v>
        <stp/>
        <stp>P</stp>
        <stp>0</stp>
        <stp>BND</stp>
        <stp>KR356102GC30</stp>
        <stp>민평3사 수익률(산출일)</stp>
        <stp>46198</stp>
        <stp/>
        <tr r="L142" s="1"/>
      </tp>
      <tp>
        <v>3.5209999999999999</v>
        <stp/>
        <stp>P</stp>
        <stp>0</stp>
        <stp>BND</stp>
        <stp>KR6003451F22</stp>
        <stp>민평3사 수익률(산출일)</stp>
        <stp>46198</stp>
        <stp/>
        <tr r="L117" s="1"/>
      </tp>
      <tp>
        <v>4.0620000000000003</v>
        <stp/>
        <stp>P</stp>
        <stp>0</stp>
        <stp>BND</stp>
        <stp>KR6136301E56</stp>
        <stp>민평3사 수익률(산출일)</stp>
        <stp>46198</stp>
        <stp/>
        <tr r="DD27" s="1"/>
      </tp>
      <tp>
        <v>4.3109999999999999</v>
        <stp/>
        <stp>P</stp>
        <stp>0</stp>
        <stp>BND</stp>
        <stp>KR6169371F51</stp>
        <stp>민평3사 수익률(산출일)</stp>
        <stp>46198</stp>
        <stp/>
        <tr r="EB86" s="1"/>
      </tp>
      <tp>
        <v>4.5999999999999996</v>
        <stp/>
        <stp>P</stp>
        <stp>0</stp>
        <stp>BND</stp>
        <stp>KR310501GC34</stp>
        <stp>민평3사 수익률(산출일)</stp>
        <stp>46198</stp>
        <stp/>
        <tr r="EB67" s="1"/>
      </tp>
      <tp>
        <v>4.4729999999999999</v>
        <stp/>
        <stp>P</stp>
        <stp>0</stp>
        <stp>BND</stp>
        <stp>KR6002551F31</stp>
        <stp>민평3사 수익률(산출일)</stp>
        <stp>46198</stp>
        <stp/>
        <tr r="EB44" s="1"/>
      </tp>
      <tp>
        <v>4.117</v>
        <stp/>
        <stp>P</stp>
        <stp>0</stp>
        <stp>BND</stp>
        <stp>KR6003452F21</stp>
        <stp>민평3사 수익률(산출일)</stp>
        <stp>46198</stp>
        <stp/>
        <tr r="L158" s="1"/>
      </tp>
      <tp>
        <v>4.3150000000000004</v>
        <stp/>
        <stp>P</stp>
        <stp>0</stp>
        <stp>BND</stp>
        <stp>KR350708GF38</stp>
        <stp>민평3사 수익률(산출일)</stp>
        <stp>46198</stp>
        <stp/>
        <tr r="BT225" s="1"/>
      </tp>
      <tp>
        <v>3.492</v>
        <stp/>
        <stp>P</stp>
        <stp>0</stp>
        <stp>BND</stp>
        <stp>KRC0350C27C8</stp>
        <stp>민평3사 수익률(산출일)</stp>
        <stp>46198</stp>
        <stp/>
        <tr r="L225" s="1"/>
      </tp>
      <tp>
        <v>2.8879999999999999</v>
        <stp/>
        <stp>P</stp>
        <stp>0</stp>
        <stp>BND</stp>
        <stp>KRC0350C26C0</stp>
        <stp>민평3사 수익률(산출일)</stp>
        <stp>46198</stp>
        <stp/>
        <tr r="L157" s="1"/>
      </tp>
      <tp>
        <v>4.13</v>
        <stp/>
        <stp>P</stp>
        <stp>0</stp>
        <stp>BND</stp>
        <stp>KRC0350C31C0</stp>
        <stp>민평3사 수익률(산출일)</stp>
        <stp>46198</stp>
        <stp/>
        <tr r="DD284" s="1"/>
      </tp>
      <tp>
        <v>0</v>
        <stp/>
        <stp>T</stp>
        <stp>x1.XBM71_0</stp>
        <stp>44</stp>
        <stp>1185616</stp>
        <tr r="CS7" s="1"/>
      </tp>
      <tp>
        <v>4.2850000000000001</v>
        <stp/>
        <stp>P</stp>
        <stp>0</stp>
        <stp>BND</stp>
        <stp>KR2001021G38</stp>
        <stp>민평3사 수익률(산출일)</stp>
        <stp>46198</stp>
        <stp/>
        <tr r="DD103" s="1"/>
      </tp>
      <tp>
        <v>4.3090000000000002</v>
        <stp/>
        <stp>P</stp>
        <stp>0</stp>
        <stp>BND</stp>
        <stp>KR350104GG29</stp>
        <stp>민평3사 수익률(산출일)</stp>
        <stp>46198</stp>
        <stp/>
        <tr r="DD160" s="1"/>
      </tp>
      <tp>
        <v>4.319</v>
        <stp/>
        <stp>P</stp>
        <stp>0</stp>
        <stp>BND</stp>
        <stp>KR6204321G49</stp>
        <stp>민평3사 수익률(산출일)</stp>
        <stp>46198</stp>
        <stp/>
        <tr r="BT47" s="1"/>
      </tp>
      <tp>
        <v>4.391</v>
        <stp/>
        <stp>P</stp>
        <stp>0</stp>
        <stp>BND</stp>
        <stp>KR6008274G58</stp>
        <stp>민평3사 수익률(산출일)</stp>
        <stp>46198</stp>
        <stp/>
        <tr r="BT43" s="1"/>
      </tp>
      <tp>
        <v>4.2750000000000004</v>
        <stp/>
        <stp>P</stp>
        <stp>0</stp>
        <stp>BND</stp>
        <stp>KR3561087221</stp>
        <stp>민평3사 수익률(산출일)</stp>
        <stp>46198</stp>
        <stp/>
        <tr r="L91" s="1"/>
      </tp>
      <tp>
        <v>4.274</v>
        <stp/>
        <stp>P</stp>
        <stp>0</stp>
        <stp>BND</stp>
        <stp>KR3561097220</stp>
        <stp>민평3사 수익률(산출일)</stp>
        <stp>46198</stp>
        <stp/>
        <tr r="L352" s="1"/>
      </tp>
      <tp>
        <v>4.048</v>
        <stp/>
        <stp>P</stp>
        <stp>0</stp>
        <stp>BND</stp>
        <stp>KR6055553F29</stp>
        <stp>민평3사 수익률(산출일)</stp>
        <stp>46198</stp>
        <stp/>
        <tr r="L169" s="1"/>
      </tp>
      <tp>
        <v>3.22</v>
        <stp/>
        <stp>P</stp>
        <stp>0</stp>
        <stp>BND</stp>
        <stp>KR6097247D58</stp>
        <stp>민평3사 수익률(산출일)</stp>
        <stp>46198</stp>
        <stp/>
        <tr r="CF151" s="1"/>
      </tp>
      <tp>
        <v>4.3209999999999997</v>
        <stp/>
        <stp>P</stp>
        <stp>0</stp>
        <stp>BND</stp>
        <stp>KR354406GB21</stp>
        <stp>민평3사 수익률(산출일)</stp>
        <stp>46198</stp>
        <stp/>
        <tr r="L314" s="1"/>
        <tr r="DD279" s="1"/>
      </tp>
      <tp>
        <v>4.3739999999999997</v>
        <stp/>
        <stp>P</stp>
        <stp>0</stp>
        <stp>BND</stp>
        <stp>KR352302GG25</stp>
        <stp>민평3사 수익률(산출일)</stp>
        <stp>46198</stp>
        <stp/>
        <tr r="DD136" s="1"/>
      </tp>
      <tp>
        <v>4.1660000000000004</v>
        <stp/>
        <stp>P</stp>
        <stp>0</stp>
        <stp>BND</stp>
        <stp>KR350702G525</stp>
        <stp>민평3사 수익률(산출일)</stp>
        <stp>46198</stp>
        <stp/>
        <tr r="L224" s="1"/>
      </tp>
      <tp>
        <v>4.351</v>
        <stp/>
        <stp>P</stp>
        <stp>0</stp>
        <stp>BND</stp>
        <stp>KR350102GC25</stp>
        <stp>민평3사 수익률(산출일)</stp>
        <stp>46198</stp>
        <stp/>
        <tr r="DD142" s="1"/>
      </tp>
      <tp>
        <v>4.3049999999999997</v>
        <stp/>
        <stp>P</stp>
        <stp>0</stp>
        <stp>BND</stp>
        <stp>KR6018672F15</stp>
        <stp>민평3사 수익률(산출일)</stp>
        <stp>46198</stp>
        <stp/>
        <tr r="L66" s="1"/>
      </tp>
      <tp>
        <v>3.7480000000000002</v>
        <stp/>
        <stp>P</stp>
        <stp>0</stp>
        <stp>BND</stp>
        <stp>KR6068171F65</stp>
        <stp>민평3사 수익률(산출일)</stp>
        <stp>46198</stp>
        <stp/>
        <tr r="DD35" s="1"/>
      </tp>
      <tp>
        <v>3.7</v>
        <stp/>
        <stp>P</stp>
        <stp>0</stp>
        <stp>BND</stp>
        <stp>KR2044022D30</stp>
        <stp>민평3사 수익률(산출일)</stp>
        <stp>46198</stp>
        <stp/>
        <tr r="L344" s="1"/>
      </tp>
      <tp>
        <v>4.3250000000000002</v>
        <stp/>
        <stp>P</stp>
        <stp>0</stp>
        <stp>BND</stp>
        <stp>KR354901GF27</stp>
        <stp>민평3사 수익률(산출일)</stp>
        <stp>46198</stp>
        <stp/>
        <tr r="EB56" s="1"/>
      </tp>
      <tp>
        <v>3.6680000000000001</v>
        <stp/>
        <stp>P</stp>
        <stp>0</stp>
        <stp>BND</stp>
        <stp>KR2001124B21</stp>
        <stp>민평3사 수익률(산출일)</stp>
        <stp>46198</stp>
        <stp/>
        <tr r="L351" s="1"/>
        <tr r="DD272" s="1"/>
      </tp>
      <tp>
        <v>3.4</v>
        <stp/>
        <stp>P</stp>
        <stp>0</stp>
        <stp>BND</stp>
        <stp>KR381101GE29</stp>
        <stp>민평3사 수익률(산출일)</stp>
        <stp>46198</stp>
        <stp/>
        <tr r="L97" s="1"/>
      </tp>
      <tp>
        <v>4.274</v>
        <stp/>
        <stp>P</stp>
        <stp>0</stp>
        <stp>BND</stp>
        <stp>KR3561027227</stp>
        <stp>민평3사 수익률(산출일)</stp>
        <stp>46198</stp>
        <stp/>
        <tr r="L98" s="1"/>
        <tr r="DD260" s="1"/>
      </tp>
      <tp>
        <v>3.3660000000000001</v>
        <stp/>
        <stp>P</stp>
        <stp>0</stp>
        <stp>BND</stp>
        <stp>KR6032642E14</stp>
        <stp>민평3사 수익률(산출일)</stp>
        <stp>46198</stp>
        <stp/>
        <tr r="L86" s="1"/>
        <tr r="BT191" s="1"/>
      </tp>
      <tp>
        <v>4.3079999999999998</v>
        <stp/>
        <stp>P</stp>
        <stp>0</stp>
        <stp>BND</stp>
        <stp>KR6063323242</stp>
        <stp>민평3사 수익률(산출일)</stp>
        <stp>46198</stp>
        <stp/>
        <tr r="L124" s="1"/>
      </tp>
      <tp>
        <v>4.1029999999999998</v>
        <stp/>
        <stp>P</stp>
        <stp>0</stp>
        <stp>BND</stp>
        <stp>KR6063321D42</stp>
        <stp>민평3사 수익률(산출일)</stp>
        <stp>46198</stp>
        <stp/>
        <tr r="L323" s="1"/>
      </tp>
      <tp>
        <v>4.258</v>
        <stp/>
        <stp>P</stp>
        <stp>0</stp>
        <stp>BND</stp>
        <stp>KR6079318F41</stp>
        <stp>민평3사 수익률(산출일)</stp>
        <stp>46198</stp>
        <stp/>
        <tr r="BT238" s="1"/>
      </tp>
      <tp>
        <v>4.3129999999999997</v>
        <stp/>
        <stp>P</stp>
        <stp>0</stp>
        <stp>BND</stp>
        <stp>KR350702GF26</stp>
        <stp>민평3사 수익률(산출일)</stp>
        <stp>46198</stp>
        <stp/>
        <tr r="BT76" s="1"/>
      </tp>
      <tp>
        <v>3.992</v>
        <stp/>
        <stp>P</stp>
        <stp>0</stp>
        <stp>BND</stp>
        <stp>KR310211GG31</stp>
        <stp>민평3사 수익률(산출일)</stp>
        <stp>46198</stp>
        <stp/>
        <tr r="BT36" s="1"/>
      </tp>
      <tp>
        <v>3.952</v>
        <stp/>
        <stp>P</stp>
        <stp>0</stp>
        <stp>BND</stp>
        <stp>KR6138042C74</stp>
        <stp>민평3사 수익률(산출일)</stp>
        <stp>46198</stp>
        <stp/>
        <tr r="DD51" s="1"/>
      </tp>
      <tp>
        <v>3.516</v>
        <stp/>
        <stp>P</stp>
        <stp>0</stp>
        <stp>BND</stp>
        <stp>KR6029692F18</stp>
        <stp>민평3사 수익률(산출일)</stp>
        <stp>46198</stp>
        <stp/>
        <tr r="CF148" s="1"/>
      </tp>
      <tp>
        <v>4.2839999999999998</v>
        <stp/>
        <stp>P</stp>
        <stp>0</stp>
        <stp>BND</stp>
        <stp>KR6079319F40</stp>
        <stp>민평3사 수익률(산출일)</stp>
        <stp>46198</stp>
        <stp/>
        <tr r="DD162" s="1"/>
      </tp>
      <tp>
        <v>4.2329999999999997</v>
        <stp/>
        <stp>P</stp>
        <stp>0</stp>
        <stp>BND</stp>
        <stp>KR353602GF21</stp>
        <stp>민평3사 수익률(산출일)</stp>
        <stp>46198</stp>
        <stp/>
        <tr r="L216" s="1"/>
      </tp>
      <tp>
        <v>4.3380000000000001</v>
        <stp/>
        <stp>P</stp>
        <stp>0</stp>
        <stp>BND</stp>
        <stp>KR350202GG20</stp>
        <stp>민평3사 수익률(산출일)</stp>
        <stp>46198</stp>
        <stp/>
        <tr r="DD134" s="1"/>
      </tp>
      <tp>
        <v>4.2240000000000002</v>
        <stp/>
        <stp>P</stp>
        <stp>0</stp>
        <stp>BND</stp>
        <stp>KR350103GF21</stp>
        <stp>민평3사 수익률(산출일)</stp>
        <stp>46198</stp>
        <stp/>
        <tr r="L56" s="1"/>
      </tp>
      <tp>
        <v>4.2160000000000002</v>
        <stp/>
        <stp>P</stp>
        <stp>0</stp>
        <stp>BND</stp>
        <stp>KR6004173D60</stp>
        <stp>민평3사 수익률(산출일)</stp>
        <stp>46198</stp>
        <stp/>
        <tr r="L81" s="1"/>
      </tp>
      <tp>
        <v>4.1829999999999998</v>
        <stp/>
        <stp>P</stp>
        <stp>0</stp>
        <stp>BND</stp>
        <stp>KR6032641G13</stp>
        <stp>민평3사 수익률(산출일)</stp>
        <stp>46198</stp>
        <stp/>
        <tr r="DD125" s="1"/>
      </tp>
      <tp>
        <v>0</v>
        <stp/>
        <stp>H</stp>
        <stp>x1.dJM71_0</stp>
        <stp>103</stp>
        <stp>1185616</stp>
        <tr r="G2" s="4"/>
      </tp>
      <tp>
        <v>3.9489999999999998</v>
        <stp/>
        <stp>P</stp>
        <stp>0</stp>
        <stp>BND</stp>
        <stp>KR354602GB23</stp>
        <stp>민평3사 수익률(산출일)</stp>
        <stp>46198</stp>
        <stp/>
        <tr r="L333" s="1"/>
      </tp>
      <tp>
        <v>4.3890000000000002</v>
        <stp/>
        <stp>P</stp>
        <stp>0</stp>
        <stp>BND</stp>
        <stp>KR6018673G13</stp>
        <stp>민평3사 수익률(산출일)</stp>
        <stp>46198</stp>
        <stp/>
        <tr r="L183" s="1"/>
      </tp>
      <tp>
        <v>3.7959999999999998</v>
        <stp/>
        <stp>P</stp>
        <stp>0</stp>
        <stp>BND</stp>
        <stp>KR6019455G31</stp>
        <stp>민평3사 수익률(산출일)</stp>
        <stp>46198</stp>
        <stp/>
        <tr r="CR18" s="1"/>
      </tp>
      <tp>
        <v>3.9260000000000002</v>
        <stp/>
        <stp>P</stp>
        <stp>0</stp>
        <stp>BND</stp>
        <stp>KR3507037322</stp>
        <stp>민평3사 수익률(산출일)</stp>
        <stp>46198</stp>
        <stp/>
        <tr r="L127" s="1"/>
      </tp>
      <tp>
        <v>4.306</v>
        <stp/>
        <stp>P</stp>
        <stp>0</stp>
        <stp>BND</stp>
        <stp>KR356102G522</stp>
        <stp>민평3사 수익률(산출일)</stp>
        <stp>46198</stp>
        <stp/>
        <tr r="L296" s="1"/>
        <tr r="DD145" s="1"/>
      </tp>
      <tp>
        <v>3.36</v>
        <stp/>
        <stp>P</stp>
        <stp>0</stp>
        <stp>BND</stp>
        <stp>KR6008272E52</stp>
        <stp>민평3사 수익률(산출일)</stp>
        <stp>46198</stp>
        <stp/>
        <tr r="BT171" s="1"/>
      </tp>
      <tp>
        <v>4.0019999999999998</v>
        <stp/>
        <stp>P</stp>
        <stp>0</stp>
        <stp>BND</stp>
        <stp>KR6169372F43</stp>
        <stp>민평3사 수익률(산출일)</stp>
        <stp>46198</stp>
        <stp/>
        <tr r="EB22" s="1"/>
      </tp>
      <tp>
        <v>4.3490000000000002</v>
        <stp/>
        <stp>P</stp>
        <stp>0</stp>
        <stp>BND</stp>
        <stp>KR103502GF39</stp>
        <stp>민평3사 수익률(산출일)</stp>
        <stp>46198</stp>
        <stp/>
        <tr r="L340" s="1"/>
        <tr r="X10" s="1"/>
        <tr r="AJ25" s="1"/>
        <tr r="BT12" s="1"/>
        <tr r="DD11" s="1"/>
      </tp>
      <tp>
        <v>3.923</v>
        <stp/>
        <stp>P</stp>
        <stp>0</stp>
        <stp>BND</stp>
        <stp>KR103503GF38</stp>
        <stp>민평3사 수익률(산출일)</stp>
        <stp>46198</stp>
        <stp/>
        <tr r="L277" s="1"/>
        <tr r="X14" s="1"/>
        <tr r="BT21" s="1"/>
        <tr r="BH14" s="1"/>
        <tr r="DD23" s="1"/>
        <tr r="DP14" s="1"/>
      </tp>
      <tp>
        <v>4.3419999999999996</v>
        <stp/>
        <stp>P</stp>
        <stp>0</stp>
        <stp>BND</stp>
        <stp>KR103501GG39</stp>
        <stp>민평3사 수익률(산출일)</stp>
        <stp>46198</stp>
        <stp/>
        <tr r="L9" s="1"/>
        <tr r="BT9" s="1"/>
        <tr r="X11" s="1"/>
        <tr r="AJ9" s="1"/>
        <tr r="DD9" s="1"/>
      </tp>
      <tp>
        <v>4.4039999999999999</v>
        <stp/>
        <stp>P</stp>
        <stp>0</stp>
        <stp>BND</stp>
        <stp>KR6018602F28</stp>
        <stp>민평3사 수익률(산출일)</stp>
        <stp>46198</stp>
        <stp/>
        <tr r="CR55" s="1"/>
      </tp>
      <tp>
        <v>4.3899999999999997</v>
        <stp/>
        <stp>P</stp>
        <stp>0</stp>
        <stp>BND</stp>
        <stp>KR6053212E69</stp>
        <stp>민평3사 수익률(산출일)</stp>
        <stp>46198</stp>
        <stp/>
        <tr r="X28" s="1"/>
        <tr r="DD126" s="1"/>
      </tp>
      <tp>
        <v>3.7770000000000001</v>
        <stp/>
        <stp>P</stp>
        <stp>0</stp>
        <stp>BND</stp>
        <stp>KR101501DE38</stp>
        <stp>민평3사 수익률(산출일)</stp>
        <stp>46198</stp>
        <stp/>
        <tr r="L215" s="1"/>
      </tp>
      <tp>
        <v>2.8279999999999998</v>
        <stp/>
        <stp>P</stp>
        <stp>0</stp>
        <stp>BND</stp>
        <stp>KR310101GF19</stp>
        <stp>민평3사 수익률(산출일)</stp>
        <stp>46198</stp>
        <stp/>
        <tr r="BT91" s="1"/>
      </tp>
      <tp>
        <v>4.37</v>
        <stp/>
        <stp>P</stp>
        <stp>0</stp>
        <stp>BND</stp>
        <stp>KR6032718F38</stp>
        <stp>민평3사 수익률(산출일)</stp>
        <stp>46198</stp>
        <stp/>
        <tr r="EB57" s="1"/>
      </tp>
      <tp>
        <v>4.274</v>
        <stp/>
        <stp>P</stp>
        <stp>0</stp>
        <stp>BND</stp>
        <stp>KR3561097212</stp>
        <stp>민평3사 수익률(산출일)</stp>
        <stp>46198</stp>
        <stp/>
        <tr r="BT208" s="1"/>
      </tp>
      <tp>
        <v>3.855</v>
        <stp/>
        <stp>P</stp>
        <stp>0</stp>
        <stp>BND</stp>
        <stp>KR6011762E38</stp>
        <stp>민평3사 수익률(산출일)</stp>
        <stp>46198</stp>
        <stp/>
        <tr r="CR57" s="1"/>
      </tp>
      <tp>
        <v>4.0810000000000004</v>
        <stp/>
        <stp>P</stp>
        <stp>0</stp>
        <stp>BND</stp>
        <stp>KR6037561F19</stp>
        <stp>민평3사 수익률(산출일)</stp>
        <stp>46198</stp>
        <stp/>
        <tr r="L379" s="1"/>
      </tp>
      <tp>
        <v>4.1840000000000002</v>
        <stp/>
        <stp>P</stp>
        <stp>0</stp>
        <stp>BND</stp>
        <stp>KR6166263D68</stp>
        <stp>민평3사 수익률(산출일)</stp>
        <stp>46198</stp>
        <stp/>
        <tr r="L284" s="1"/>
      </tp>
      <tp>
        <v>3.972</v>
        <stp/>
        <stp>P</stp>
        <stp>0</stp>
        <stp>BND</stp>
        <stp>KR6023765F39</stp>
        <stp>민평3사 수익률(산출일)</stp>
        <stp>46198</stp>
        <stp/>
        <tr r="CF36" s="1"/>
        <tr r="EB19" s="1"/>
      </tp>
      <tp>
        <v>4.0220000000000002</v>
        <stp/>
        <stp>P</stp>
        <stp>0</stp>
        <stp>BND</stp>
        <stp>KR350701GG18</stp>
        <stp>민평3사 수익률(산출일)</stp>
        <stp>46198</stp>
        <stp/>
        <tr r="DD83" s="1"/>
      </tp>
      <tp>
        <v>4.3499999999999996</v>
        <stp/>
        <stp>P</stp>
        <stp>0</stp>
        <stp>BND</stp>
        <stp>KR350108GC11</stp>
        <stp>민평3사 수익률(산출일)</stp>
        <stp>46198</stp>
        <stp/>
        <tr r="L231" s="1"/>
        <tr r="DD18" s="1"/>
      </tp>
      <tp>
        <v>3.9079999999999999</v>
        <stp/>
        <stp>P</stp>
        <stp>0</stp>
        <stp>BND</stp>
        <stp>KR350701GF19</stp>
        <stp>민평3사 수익률(산출일)</stp>
        <stp>46198</stp>
        <stp/>
        <tr r="BT108" s="1"/>
      </tp>
      <tp>
        <v>4.2880000000000003</v>
        <stp/>
        <stp>P</stp>
        <stp>0</stp>
        <stp>BND</stp>
        <stp>KR6174142G58</stp>
        <stp>민평3사 수익률(산출일)</stp>
        <stp>46198</stp>
        <stp/>
        <tr r="L125" s="1"/>
      </tp>
      <tp>
        <v>4.3490000000000002</v>
        <stp/>
        <stp>P</stp>
        <stp>0</stp>
        <stp>BND</stp>
        <stp>KR103502GE30</stp>
        <stp>민평3사 수익률(산출일)</stp>
        <stp>46198</stp>
        <stp/>
        <tr r="BT16" s="1"/>
        <tr r="L19" s="1"/>
        <tr r="X15" s="1"/>
        <tr r="AJ23" s="1"/>
        <tr r="DD19" s="1"/>
      </tp>
      <tp>
        <v>3.2210000000000001</v>
        <stp/>
        <stp>P</stp>
        <stp>0</stp>
        <stp>BND</stp>
        <stp>KR103501GC33</stp>
        <stp>민평3사 수익률(산출일)</stp>
        <stp>46198</stp>
        <stp/>
        <tr r="L327" s="1"/>
        <tr r="BT245" s="1"/>
        <tr r="DD311" s="1"/>
      </tp>
      <tp>
        <v>3.319</v>
        <stp/>
        <stp>P</stp>
        <stp>0</stp>
        <stp>BND</stp>
        <stp>KR381103GE19</stp>
        <stp>민평3사 수익률(산출일)</stp>
        <stp>46198</stp>
        <stp/>
        <tr r="CF44" s="1"/>
      </tp>
      <tp>
        <v>4.2389999999999999</v>
        <stp/>
        <stp>P</stp>
        <stp>0</stp>
        <stp>BND</stp>
        <stp>KR6017672F25</stp>
        <stp>민평3사 수익률(산출일)</stp>
        <stp>46198</stp>
        <stp/>
        <tr r="L297" s="1"/>
      </tp>
      <tp>
        <v>4.2990000000000004</v>
        <stp/>
        <stp>P</stp>
        <stp>0</stp>
        <stp>BND</stp>
        <stp>KR6174144F57</stp>
        <stp>민평3사 수익률(산출일)</stp>
        <stp>46198</stp>
        <stp/>
        <tr r="L188" s="1"/>
      </tp>
      <tp>
        <v>4.0629999999999997</v>
        <stp/>
        <stp>P</stp>
        <stp>0</stp>
        <stp>BND</stp>
        <stp>KR6017673825</stp>
        <stp>민평3사 수익률(산출일)</stp>
        <stp>46198</stp>
        <stp/>
        <tr r="L337" s="1"/>
      </tp>
      <tp>
        <v>4.109</v>
        <stp/>
        <stp>P</stp>
        <stp>0</stp>
        <stp>BND</stp>
        <stp>KR6063622F20</stp>
        <stp>민평3사 수익률(산출일)</stp>
        <stp>46198</stp>
        <stp/>
        <tr r="L164" s="1"/>
      </tp>
      <tp>
        <v>4.26</v>
        <stp/>
        <stp>P</stp>
        <stp>0</stp>
        <stp>BND</stp>
        <stp>KR6063621G20</stp>
        <stp>민평3사 수익률(산출일)</stp>
        <stp>46198</stp>
        <stp/>
        <tr r="DD113" s="1"/>
      </tp>
      <tp>
        <v>3.6680000000000001</v>
        <stp/>
        <stp>P</stp>
        <stp>0</stp>
        <stp>BND</stp>
        <stp>KR103501GD32</stp>
        <stp>민평3사 수익률(산출일)</stp>
        <stp>46198</stp>
        <stp/>
        <tr r="L281" s="1"/>
        <tr r="DD306" s="1"/>
        <tr r="BT250" s="1"/>
      </tp>
      <tp>
        <v>4.3620000000000001</v>
        <stp/>
        <stp>P</stp>
        <stp>0</stp>
        <stp>BND</stp>
        <stp>KR103502GD31</stp>
        <stp>민평3사 수익률(산출일)</stp>
        <stp>46198</stp>
        <stp/>
        <tr r="AJ17" s="1"/>
        <tr r="L245" s="1"/>
        <tr r="BT153" s="1"/>
        <tr r="DD264" s="1"/>
      </tp>
      <tp>
        <v>4.0549999999999997</v>
        <stp/>
        <stp>P</stp>
        <stp>0</stp>
        <stp>BND</stp>
        <stp>KR6000662D25</stp>
        <stp>민평3사 수익률(산출일)</stp>
        <stp>46198</stp>
        <stp/>
        <tr r="BT221" s="1"/>
        <tr r="L90" s="1"/>
      </tp>
      <tp>
        <v>3.9060000000000001</v>
        <stp/>
        <stp>P</stp>
        <stp>0</stp>
        <stp>BND</stp>
        <stp>KR6097244F67</stp>
        <stp>민평3사 수익률(산출일)</stp>
        <stp>46198</stp>
        <stp/>
        <tr r="DD92" s="1"/>
      </tp>
      <tp>
        <v>3.919</v>
        <stp/>
        <stp>P</stp>
        <stp>0</stp>
        <stp>BND</stp>
        <stp>KR356101GD14</stp>
        <stp>민평3사 수익률(산출일)</stp>
        <stp>46198</stp>
        <stp/>
        <tr r="BT86" s="1"/>
      </tp>
      <tp>
        <v>4.0229999999999997</v>
        <stp/>
        <stp>P</stp>
        <stp>0</stp>
        <stp>BND</stp>
        <stp>KR355001GG14</stp>
        <stp>민평3사 수익률(산출일)</stp>
        <stp>46198</stp>
        <stp/>
        <tr r="EB35" s="1"/>
      </tp>
      <tp>
        <v>3.77</v>
        <stp/>
        <stp>P</stp>
        <stp>0</stp>
        <stp>BND</stp>
        <stp>KR103501GE31</stp>
        <stp>민평3사 수익률(산출일)</stp>
        <stp>46198</stp>
        <stp/>
        <tr r="BT279" s="1"/>
        <tr r="DD282" s="1"/>
        <tr r="L341" s="1"/>
      </tp>
      <tp>
        <v>4.3710000000000004</v>
        <stp/>
        <stp>P</stp>
        <stp>0</stp>
        <stp>BND</stp>
        <stp>KR103502GC32</stp>
        <stp>민평3사 수익률(산출일)</stp>
        <stp>46198</stp>
        <stp/>
        <tr r="BT27" s="1"/>
        <tr r="L38" s="1"/>
        <tr r="AJ18" s="1"/>
        <tr r="X41" s="1"/>
        <tr r="DD304" s="1"/>
      </tp>
      <tp>
        <v>3.8780000000000001</v>
        <stp/>
        <stp>P</stp>
        <stp>0</stp>
        <stp>BND</stp>
        <stp>KR310201GD10</stp>
        <stp>민평3사 수익률(산출일)</stp>
        <stp>46198</stp>
        <stp/>
        <tr r="BT85" s="1"/>
      </tp>
      <tp>
        <v>3.302</v>
        <stp/>
        <stp>P</stp>
        <stp>0</stp>
        <stp>BND</stp>
        <stp>KR6136301F71</stp>
        <stp>민평3사 수익률(산출일)</stp>
        <stp>46198</stp>
        <stp/>
        <tr r="CF152" s="1"/>
      </tp>
      <tp>
        <v>4.0590000000000002</v>
        <stp/>
        <stp>P</stp>
        <stp>0</stp>
        <stp>BND</stp>
        <stp>KR6169372F76</stp>
        <stp>민평3사 수익률(산출일)</stp>
        <stp>46198</stp>
        <stp/>
        <tr r="DD73" s="1"/>
      </tp>
      <tp>
        <v>4.2359999999999998</v>
        <stp/>
        <stp>P</stp>
        <stp>0</stp>
        <stp>BND</stp>
        <stp>KR6032717D31</stp>
        <stp>민평3사 수익률(산출일)</stp>
        <stp>46198</stp>
        <stp/>
        <tr r="L253" s="1"/>
      </tp>
      <tp>
        <v>3.6720000000000002</v>
        <stp/>
        <stp>P</stp>
        <stp>0</stp>
        <stp>BND</stp>
        <stp>KR1035027V32</stp>
        <stp>민평3사 수익률(산출일)</stp>
        <stp>46198</stp>
        <stp/>
        <tr r="BT282" s="1"/>
        <tr r="L75" s="1"/>
      </tp>
      <tp>
        <v>5.61</v>
        <stp/>
        <stp>P</stp>
        <stp>0</stp>
        <stp>BND</stp>
        <stp>KR6310106F53</stp>
        <stp>민평3사 수익률(산출일)</stp>
        <stp>46198</stp>
        <stp/>
        <tr r="CR24" s="1"/>
      </tp>
      <tp>
        <v>4.2569999999999997</v>
        <stp/>
        <stp>P</stp>
        <stp>0</stp>
        <stp>BND</stp>
        <stp>KR6280361F74</stp>
        <stp>민평3사 수익률(산출일)</stp>
        <stp>46198</stp>
        <stp/>
        <tr r="CR28" s="1"/>
      </tp>
      <tp>
        <v>3.2149999999999999</v>
        <stp/>
        <stp>P</stp>
        <stp>0</stp>
        <stp>BND</stp>
        <stp>KR354401GE15</stp>
        <stp>민평3사 수익률(산출일)</stp>
        <stp>46198</stp>
        <stp/>
        <tr r="BT190" s="1"/>
        <tr r="L348" s="1"/>
      </tp>
      <tp>
        <v>4.3339999999999996</v>
        <stp/>
        <stp>P</stp>
        <stp>0</stp>
        <stp>BND</stp>
        <stp>KR103502G933</stp>
        <stp>민평3사 수익률(산출일)</stp>
        <stp>46198</stp>
        <stp/>
        <tr r="DD44" s="1"/>
        <tr r="L24" s="1"/>
        <tr r="BT138" s="1"/>
        <tr r="AJ16" s="1"/>
      </tp>
      <tp>
        <v>4.3710000000000004</v>
        <stp/>
        <stp>P</stp>
        <stp>0</stp>
        <stp>BND</stp>
        <stp>KR103502GB33</stp>
        <stp>민평3사 수익률(산출일)</stp>
        <stp>46198</stp>
        <stp/>
        <tr r="X20" s="1"/>
        <tr r="L10" s="1"/>
        <tr r="AJ22" s="1"/>
        <tr r="BT139" s="1"/>
        <tr r="DD48" s="1"/>
      </tp>
      <tp>
        <v>3.5920000000000001</v>
        <stp/>
        <stp>P</stp>
        <stp>0</stp>
        <stp>BND</stp>
        <stp>KR6316141G56</stp>
        <stp>민평3사 수익률(산출일)</stp>
        <stp>46198</stp>
        <stp/>
        <tr r="L41" s="1"/>
      </tp>
      <tp>
        <v>4.1630000000000003</v>
        <stp/>
        <stp>P</stp>
        <stp>0</stp>
        <stp>BND</stp>
        <stp>KR6060001841</stp>
        <stp>민평3사 수익률(산출일)</stp>
        <stp>46198</stp>
        <stp/>
        <tr r="EB36" s="1"/>
      </tp>
      <tp>
        <v>4.5350000000000001</v>
        <stp/>
        <stp>P</stp>
        <stp>0</stp>
        <stp>BND</stp>
        <stp>KR6138094B49</stp>
        <stp>민평3사 수익률(산출일)</stp>
        <stp>46198</stp>
        <stp/>
        <tr r="EB72" s="1"/>
      </tp>
      <tp>
        <v>4.3369999999999997</v>
        <stp/>
        <stp>P</stp>
        <stp>0</stp>
        <stp>BND</stp>
        <stp>KR103502G834</stp>
        <stp>민평3사 수익률(산출일)</stp>
        <stp>46198</stp>
        <stp/>
        <tr r="AJ12" s="1"/>
        <tr r="L61" s="1"/>
        <tr r="BT195" s="1"/>
        <tr r="DD296" s="1"/>
      </tp>
      <tp>
        <v>4.3540000000000001</v>
        <stp/>
        <stp>P</stp>
        <stp>0</stp>
        <stp>BND</stp>
        <stp>KR103502GA34</stp>
        <stp>민평3사 수익률(산출일)</stp>
        <stp>46198</stp>
        <stp/>
        <tr r="L31" s="1"/>
        <tr r="AJ19" s="1"/>
        <tr r="DD151" s="1"/>
        <tr r="BT249" s="1"/>
      </tp>
      <tp>
        <v>4.22</v>
        <stp/>
        <stp>P</stp>
        <stp>0</stp>
        <stp>BND</stp>
        <stp>KR350104GA17</stp>
        <stp>민평3사 수익률(산출일)</stp>
        <stp>46198</stp>
        <stp/>
        <tr r="DD278" s="1"/>
      </tp>
      <tp>
        <v>4.274</v>
        <stp/>
        <stp>P</stp>
        <stp>0</stp>
        <stp>BND</stp>
        <stp>KR3561057216</stp>
        <stp>민평3사 수익률(산출일)</stp>
        <stp>46198</stp>
        <stp/>
        <tr r="DD308" s="1"/>
      </tp>
      <tp>
        <v>4.5259999999999998</v>
        <stp/>
        <stp>P</stp>
        <stp>0</stp>
        <stp>BND</stp>
        <stp>KR356102GG10</stp>
        <stp>민평3사 수익률(산출일)</stp>
        <stp>46198</stp>
        <stp/>
        <tr r="BT93" s="1"/>
        <tr r="DD149" s="1"/>
      </tp>
      <tp>
        <v>4.3239999999999998</v>
        <stp/>
        <stp>P</stp>
        <stp>0</stp>
        <stp>BND</stp>
        <stp>KR600827BF60</stp>
        <stp>민평3사 수익률(산출일)</stp>
        <stp>46198</stp>
        <stp/>
        <tr r="L50" s="1"/>
      </tp>
      <tp>
        <v>4.3330000000000002</v>
        <stp/>
        <stp>P</stp>
        <stp>0</stp>
        <stp>BND</stp>
        <stp>KR103502G735</stp>
        <stp>민평3사 수익률(산출일)</stp>
        <stp>46198</stp>
        <stp/>
        <tr r="AJ24" s="1"/>
        <tr r="BT276" s="1"/>
        <tr r="DD294" s="1"/>
      </tp>
      <tp>
        <v>3.9910000000000001</v>
        <stp/>
        <stp>P</stp>
        <stp>0</stp>
        <stp>BND</stp>
        <stp>KR353603GG11</stp>
        <stp>민평3사 수익률(산출일)</stp>
        <stp>46198</stp>
        <stp/>
        <tr r="BT22" s="1"/>
      </tp>
      <tp>
        <v>2.8410000000000002</v>
        <stp/>
        <stp>P</stp>
        <stp>0</stp>
        <stp>BND</stp>
        <stp>KR350901G713</stp>
        <stp>민평3사 수익률(산출일)</stp>
        <stp>46198</stp>
        <stp/>
        <tr r="L85" s="1"/>
      </tp>
      <tp>
        <v>3.9049999999999998</v>
        <stp/>
        <stp>P</stp>
        <stp>0</stp>
        <stp>BND</stp>
        <stp>KR350702GD10</stp>
        <stp>민평3사 수익률(산출일)</stp>
        <stp>46198</stp>
        <stp/>
        <tr r="BT209" s="1"/>
      </tp>
      <tp>
        <v>4.5220000000000002</v>
        <stp/>
        <stp>P</stp>
        <stp>0</stp>
        <stp>BND</stp>
        <stp>KR6023533914</stp>
        <stp>민평3사 수익률(산출일)</stp>
        <stp>46198</stp>
        <stp/>
        <tr r="BT73" s="1"/>
      </tp>
      <tp>
        <v>4.3029999999999999</v>
        <stp/>
        <stp>P</stp>
        <stp>0</stp>
        <stp>BND</stp>
        <stp>KR3561067314</stp>
        <stp>민평3사 수익률(산출일)</stp>
        <stp>46198</stp>
        <stp/>
        <tr r="BT281" s="1"/>
        <tr r="DD299" s="1"/>
      </tp>
      <tp>
        <v>4.4359999999999999</v>
        <stp/>
        <stp>P</stp>
        <stp>0</stp>
        <stp>BND</stp>
        <stp>KR6145764G30</stp>
        <stp>민평3사 수익률(산출일)</stp>
        <stp>46198</stp>
        <stp/>
        <tr r="DD112" s="1"/>
      </tp>
      <tp>
        <v>3.2229999999999999</v>
        <stp/>
        <stp>P</stp>
        <stp>0</stp>
        <stp>BND</stp>
        <stp>KR1035037T34</stp>
        <stp>민평3사 수익률(산출일)</stp>
        <stp>46198</stp>
        <stp/>
        <tr r="L342" s="1"/>
        <tr r="BT270" s="1"/>
      </tp>
      <tp>
        <v>4.3440000000000003</v>
        <stp/>
        <stp>P</stp>
        <stp>0</stp>
        <stp>BND</stp>
        <stp>KR6140173G51</stp>
        <stp>민평3사 수익률(산출일)</stp>
        <stp>46198</stp>
        <stp/>
        <tr r="L134" s="1"/>
      </tp>
      <tp>
        <v>4.3159999999999998</v>
        <stp/>
        <stp>P</stp>
        <stp>0</stp>
        <stp>BND</stp>
        <stp>KR103502G636</stp>
        <stp>민평3사 수익률(산출일)</stp>
        <stp>46198</stp>
        <stp/>
        <tr r="DD288" s="1"/>
      </tp>
      <tp>
        <v>4.016</v>
        <stp/>
        <stp>P</stp>
        <stp>0</stp>
        <stp>BND</stp>
        <stp>KR103503GG37</stp>
        <stp>민평3사 수익률(산출일)</stp>
        <stp>46198</stp>
        <stp/>
        <tr r="L29" s="1"/>
        <tr r="X19" s="1"/>
        <tr r="DP12" s="1"/>
        <tr r="BH10" s="1"/>
        <tr r="BT14" s="1"/>
        <tr r="DD10" s="1"/>
      </tp>
      <tp>
        <v>4.3499999999999996</v>
        <stp/>
        <stp>P</stp>
        <stp>0</stp>
        <stp>BND</stp>
        <stp>KR350104GC15</stp>
        <stp>민평3사 수익률(산출일)</stp>
        <stp>46198</stp>
        <stp/>
        <tr r="DD148" s="1"/>
      </tp>
      <tp>
        <v>3.3140000000000001</v>
        <stp/>
        <stp>P</stp>
        <stp>0</stp>
        <stp>BND</stp>
        <stp>KR6105562F13</stp>
        <stp>민평3사 수익률(산출일)</stp>
        <stp>46198</stp>
        <stp/>
        <tr r="L105" s="1"/>
      </tp>
      <tp>
        <v>4.298</v>
        <stp/>
        <stp>P</stp>
        <stp>0</stp>
        <stp>BND</stp>
        <stp>KR6174149G51</stp>
        <stp>민평3사 수익률(산출일)</stp>
        <stp>46198</stp>
        <stp/>
        <tr r="DD85" s="1"/>
      </tp>
      <tp>
        <v>4.0270000000000001</v>
        <stp/>
        <stp>P</stp>
        <stp>0</stp>
        <stp>BND</stp>
        <stp>KR356102GE12</stp>
        <stp>민평3사 수익률(산출일)</stp>
        <stp>46198</stp>
        <stp/>
        <tr r="L138" s="1"/>
      </tp>
      <tp>
        <v>3.9729999999999999</v>
        <stp/>
        <stp>P</stp>
        <stp>0</stp>
        <stp>BND</stp>
        <stp>KR350108GF18</stp>
        <stp>민평3사 수익률(산출일)</stp>
        <stp>46198</stp>
        <stp/>
        <tr r="L139" s="1"/>
      </tp>
      <tp>
        <v>4.0149999999999997</v>
        <stp/>
        <stp>P</stp>
        <stp>0</stp>
        <stp>BND</stp>
        <stp>KR6169376E73</stp>
        <stp>민평3사 수익률(산출일)</stp>
        <stp>46198</stp>
        <stp/>
        <tr r="DD53" s="1"/>
      </tp>
      <tp>
        <v>4.3159999999999998</v>
        <stp/>
        <stp>P</stp>
        <stp>0</stp>
        <stp>BND</stp>
        <stp>KR6034731G36</stp>
        <stp>민평3사 수익률(산출일)</stp>
        <stp>46198</stp>
        <stp/>
        <tr r="DD61" s="1"/>
      </tp>
      <tp>
        <v>4.4000000000000004</v>
        <stp/>
        <stp>P</stp>
        <stp>0</stp>
        <stp>BND</stp>
        <stp>KR6000664D23</stp>
        <stp>민평3사 수익률(산출일)</stp>
        <stp>46198</stp>
        <stp/>
        <tr r="L76" s="1"/>
      </tp>
      <tp>
        <v>4.5990000000000002</v>
        <stp/>
        <stp>P</stp>
        <stp>0</stp>
        <stp>BND</stp>
        <stp>KR6030624F27</stp>
        <stp>민평3사 수익률(산출일)</stp>
        <stp>46198</stp>
        <stp/>
        <tr r="EB42" s="1"/>
      </tp>
      <tp>
        <v>3.9809999999999999</v>
        <stp/>
        <stp>P</stp>
        <stp>0</stp>
        <stp>BND</stp>
        <stp>KR6000038F46</stp>
        <stp>민평3사 수익률(산출일)</stp>
        <stp>46198</stp>
        <stp/>
        <tr r="BT63" s="1"/>
      </tp>
      <tp t="s">
        <v/>
        <stp/>
        <stp>P</stp>
        <stp>0</stp>
        <stp>BND</stp>
        <stp>KR4A67690003</stp>
        <stp>민평3사 수익률(산출일)</stp>
        <stp>46198</stp>
        <stp/>
        <tr r="AV12" s="1"/>
        <tr r="BT23" s="1"/>
        <tr r="AJ10" s="1"/>
        <tr r="DP18" s="1"/>
        <tr r="EB9" s="1"/>
      </tp>
      <tp t="s">
        <v/>
        <stp/>
        <stp>P</stp>
        <stp>0</stp>
        <stp>BND</stp>
        <stp>KR4A65690005</stp>
        <stp>민평3사 수익률(산출일)</stp>
        <stp>46198</stp>
        <stp/>
        <tr r="L18" s="1"/>
        <tr r="BT26" s="1"/>
        <tr r="BH12" s="1"/>
        <tr r="EB10" s="1"/>
      </tp>
      <tp>
        <v>3.5550000000000002</v>
        <stp/>
        <stp>P</stp>
        <stp>0</stp>
        <stp>BND</stp>
        <stp>KR6034732E29</stp>
        <stp>민평3사 수익률(산출일)</stp>
        <stp>46198</stp>
        <stp/>
        <tr r="L329" s="1"/>
      </tp>
      <tp>
        <v>3.9889999999999999</v>
        <stp/>
        <stp>P</stp>
        <stp>0</stp>
        <stp>BND</stp>
        <stp>KR6000032F59</stp>
        <stp>민평3사 수익률(산출일)</stp>
        <stp>46198</stp>
        <stp/>
        <tr r="BT66" s="1"/>
      </tp>
      <tp>
        <v>3.5219999999999998</v>
        <stp/>
        <stp>P</stp>
        <stp>0</stp>
        <stp>BND</stp>
        <stp>KR6063621F39</stp>
        <stp>민평3사 수익률(산출일)</stp>
        <stp>46198</stp>
        <stp/>
        <tr r="L45" s="1"/>
      </tp>
      <tp>
        <v>5.6920000000000002</v>
        <stp/>
        <stp>P</stp>
        <stp>0</stp>
        <stp>BND</stp>
        <stp>KR6046294F71</stp>
        <stp>민평3사 수익률(산출일)</stp>
        <stp>46198</stp>
        <stp/>
        <tr r="CR56" s="1"/>
      </tp>
      <tp>
        <v>3.5339999999999998</v>
        <stp/>
        <stp>P</stp>
        <stp>0</stp>
        <stp>BND</stp>
        <stp>KR6131791F20</stp>
        <stp>민평3사 수익률(산출일)</stp>
        <stp>46198</stp>
        <stp/>
        <tr r="BT185" s="1"/>
      </tp>
      <tp>
        <v>4.2060000000000004</v>
        <stp/>
        <stp>P</stp>
        <stp>0</stp>
        <stp>BND</stp>
        <stp>KR6250291673</stp>
        <stp>민평3사 수익률(산출일)</stp>
        <stp>46198</stp>
        <stp/>
        <tr r="DD244" s="1"/>
      </tp>
      <tp>
        <v>4.157</v>
        <stp/>
        <stp>P</stp>
        <stp>0</stp>
        <stp>BND</stp>
        <stp>KR101501DG28</stp>
        <stp>민평3사 수익률(산출일)</stp>
        <stp>46198</stp>
        <stp/>
        <tr r="EB80" s="1"/>
      </tp>
      <tp>
        <v>4.57</v>
        <stp/>
        <stp>P</stp>
        <stp>0</stp>
        <stp>BND</stp>
        <stp>KR6030612G38</stp>
        <stp>민평3사 수익률(산출일)</stp>
        <stp>46198</stp>
        <stp/>
        <tr r="L111" s="1"/>
      </tp>
      <tp>
        <v>4.3419999999999996</v>
        <stp/>
        <stp>P</stp>
        <stp>0</stp>
        <stp>BND</stp>
        <stp>KR6003491F16</stp>
        <stp>민평3사 수익률(산출일)</stp>
        <stp>46198</stp>
        <stp/>
        <tr r="CR41" s="1"/>
      </tp>
      <tp>
        <v>4.774</v>
        <stp/>
        <stp>P</stp>
        <stp>0</stp>
        <stp>BND</stp>
        <stp>KR6214342F69</stp>
        <stp>민평3사 수익률(산출일)</stp>
        <stp>46198</stp>
        <stp/>
        <tr r="DD97" s="1"/>
      </tp>
      <tp>
        <v>4.1740000000000004</v>
        <stp/>
        <stp>P</stp>
        <stp>0</stp>
        <stp>BND</stp>
        <stp>KR6086791G25</stp>
        <stp>민평3사 수익률(산출일)</stp>
        <stp>46198</stp>
        <stp/>
        <tr r="BT60" s="1"/>
        <tr r="L17" s="1"/>
      </tp>
      <tp>
        <v>3.2360000000000002</v>
        <stp/>
        <stp>P</stp>
        <stp>0</stp>
        <stp>BND</stp>
        <stp>KR2001294A34</stp>
        <stp>민평3사 수익률(산출일)</stp>
        <stp>46198</stp>
        <stp/>
        <tr r="L374" s="1"/>
      </tp>
      <tp>
        <v>4.2329999999999997</v>
        <stp/>
        <stp>P</stp>
        <stp>0</stp>
        <stp>BND</stp>
        <stp>KR6086793F24</stp>
        <stp>민평3사 수익률(산출일)</stp>
        <stp>46198</stp>
        <stp/>
        <tr r="EB54" s="1"/>
      </tp>
      <tp>
        <v>4.601</v>
        <stp/>
        <stp>P</stp>
        <stp>0</stp>
        <stp>BND</stp>
        <stp>KR6489792G20</stp>
        <stp>민평3사 수익률(산출일)</stp>
        <stp>46198</stp>
        <stp/>
        <tr r="CR23" s="1"/>
      </tp>
      <tp>
        <v>4.2640000000000002</v>
        <stp/>
        <stp>P</stp>
        <stp>0</stp>
        <stp>BND</stp>
        <stp>KR6174147F47</stp>
        <stp>민평3사 수익률(산출일)</stp>
        <stp>46198</stp>
        <stp/>
        <tr r="L171" s="1"/>
      </tp>
      <tp>
        <v>4.2690000000000001</v>
        <stp/>
        <stp>P</stp>
        <stp>0</stp>
        <stp>BND</stp>
        <stp>KR6000723F20</stp>
        <stp>민평3사 수익률(산출일)</stp>
        <stp>46198</stp>
        <stp/>
        <tr r="EB40" s="1"/>
      </tp>
      <tp>
        <v>5.7279999999999998</v>
        <stp/>
        <stp>P</stp>
        <stp>0</stp>
        <stp>BND</stp>
        <stp>KR6095234F71</stp>
        <stp>민평3사 수익률(산출일)</stp>
        <stp>46198</stp>
        <stp/>
        <tr r="CR25" s="1"/>
      </tp>
      <tp>
        <v>4.7370000000000001</v>
        <stp/>
        <stp>P</stp>
        <stp>0</stp>
        <stp>BND</stp>
        <stp>KR6214346F65</stp>
        <stp>민평3사 수익률(산출일)</stp>
        <stp>46198</stp>
        <stp/>
        <tr r="DD98" s="1"/>
      </tp>
      <tp>
        <v>4.3070000000000004</v>
        <stp/>
        <stp>P</stp>
        <stp>0</stp>
        <stp>BND</stp>
        <stp>KR6174148F46</stp>
        <stp>민평3사 수익률(산출일)</stp>
        <stp>46198</stp>
        <stp/>
        <tr r="DD135" s="1"/>
      </tp>
      <tp>
        <v>4.2839999999999998</v>
        <stp/>
        <stp>P</stp>
        <stp>0</stp>
        <stp>BND</stp>
        <stp>KR6131792G28</stp>
        <stp>민평3사 수익률(산출일)</stp>
        <stp>46198</stp>
        <stp/>
        <tr r="DD116" s="1"/>
      </tp>
      <tp>
        <v>4.3310000000000004</v>
        <stp/>
        <stp>P</stp>
        <stp>0</stp>
        <stp>BND</stp>
        <stp>KR6039491G19</stp>
        <stp>민평3사 수익률(산출일)</stp>
        <stp>46198</stp>
        <stp/>
        <tr r="BT61" s="1"/>
      </tp>
      <tp>
        <v>3.63</v>
        <stp/>
        <stp>P</stp>
        <stp>0</stp>
        <stp>BND</stp>
        <stp>KR6068174F47</stp>
        <stp>민평3사 수익률(산출일)</stp>
        <stp>46198</stp>
        <stp/>
        <tr r="L140" s="1"/>
      </tp>
      <tp>
        <v>3.1930000000000001</v>
        <stp/>
        <stp>P</stp>
        <stp>0</stp>
        <stp>BND</stp>
        <stp>KR609724BD75</stp>
        <stp>민평3사 수익률(산출일)</stp>
        <stp>46198</stp>
        <stp/>
        <tr r="BT164" s="1"/>
      </tp>
      <tp>
        <v>4.1520000000000001</v>
        <stp/>
        <stp>P</stp>
        <stp>0</stp>
        <stp>BND</stp>
        <stp>KR6131792F29</stp>
        <stp>민평3사 수익률(산출일)</stp>
        <stp>46198</stp>
        <stp/>
        <tr r="L307" s="1"/>
      </tp>
      <tp>
        <v>4.4119999999999999</v>
        <stp/>
        <stp>P</stp>
        <stp>0</stp>
        <stp>BND</stp>
        <stp>KR6079314F60</stp>
        <stp>민평3사 수익률(산출일)</stp>
        <stp>46198</stp>
        <stp/>
        <tr r="CR34" s="1"/>
      </tp>
      <tp>
        <v>4.2190000000000003</v>
        <stp/>
        <stp>P</stp>
        <stp>0</stp>
        <stp>BND</stp>
        <stp>KR6214344F67</stp>
        <stp>민평3사 수익률(산출일)</stp>
        <stp>46198</stp>
        <stp/>
        <tr r="CR16" s="1"/>
      </tp>
      <tp>
        <v>3.488</v>
        <stp/>
        <stp>P</stp>
        <stp>0</stp>
        <stp>BND</stp>
        <stp>KR6140173D47</stp>
        <stp>민평3사 수익률(산출일)</stp>
        <stp>46198</stp>
        <stp/>
        <tr r="BT161" s="1"/>
      </tp>
      <tp>
        <v>4.1059999999999999</v>
        <stp/>
        <stp>P</stp>
        <stp>0</stp>
        <stp>BND</stp>
        <stp>KR6012452G13</stp>
        <stp>민평3사 수익률(산출일)</stp>
        <stp>46198</stp>
        <stp/>
        <tr r="CR22" s="1"/>
      </tp>
      <tp>
        <v>3.419</v>
        <stp/>
        <stp>P</stp>
        <stp>0</stp>
        <stp>BND</stp>
        <stp>KR6035421E14</stp>
        <stp>민평3사 수익률(산출일)</stp>
        <stp>46198</stp>
        <stp/>
        <tr r="L87" s="1"/>
      </tp>
      <tp>
        <v>3.63</v>
        <stp/>
        <stp>P</stp>
        <stp>0</stp>
        <stp>BND</stp>
        <stp>KR6068173741</stp>
        <stp>민평3사 수익률(산출일)</stp>
        <stp>46198</stp>
        <stp/>
        <tr r="L145" s="1"/>
      </tp>
      <tp>
        <v>4.2140000000000004</v>
        <stp/>
        <stp>P</stp>
        <stp>0</stp>
        <stp>BND</stp>
        <stp>KR6097246F73</stp>
        <stp>민평3사 수익률(산출일)</stp>
        <stp>46198</stp>
        <stp/>
        <tr r="BT243" s="1"/>
      </tp>
      <tp>
        <v>3.2519999999999998</v>
        <stp/>
        <stp>P</stp>
        <stp>0</stp>
        <stp>BND</stp>
        <stp>KR6033663E32</stp>
        <stp>민평3사 수익률(산출일)</stp>
        <stp>46198</stp>
        <stp/>
        <tr r="BT179" s="1"/>
      </tp>
      <tp>
        <v>3.6659999999999999</v>
        <stp/>
        <stp>P</stp>
        <stp>0</stp>
        <stp>BND</stp>
        <stp>KR6000122C46</stp>
        <stp>민평3사 수익률(산출일)</stp>
        <stp>46198</stp>
        <stp/>
        <tr r="DD57" s="1"/>
      </tp>
      <tp>
        <v>3.827</v>
        <stp/>
        <stp>P</stp>
        <stp>0</stp>
        <stp>BND</stp>
        <stp>KR2066022E16</stp>
        <stp>민평3사 수익률(산출일)</stp>
        <stp>46198</stp>
        <stp/>
        <tr r="L345" s="1"/>
      </tp>
      <tp>
        <v>4.26</v>
        <stp/>
        <stp>P</stp>
        <stp>0</stp>
        <stp>BND</stp>
        <stp>KR6064311F65</stp>
        <stp>민평3사 수익률(산출일)</stp>
        <stp>46198</stp>
        <stp/>
        <tr r="CR35" s="1"/>
      </tp>
      <tp>
        <v>4.1840000000000002</v>
        <stp/>
        <stp>P</stp>
        <stp>0</stp>
        <stp>BND</stp>
        <stp>KR6063321E66</stp>
        <stp>민평3사 수익률(산출일)</stp>
        <stp>46198</stp>
        <stp/>
        <tr r="L162" s="1"/>
      </tp>
      <tp>
        <v>3.25</v>
        <stp/>
        <stp>P</stp>
        <stp>0</stp>
        <stp>BND</stp>
        <stp>KR6033662E33</stp>
        <stp>민평3사 수익률(산출일)</stp>
        <stp>46198</stp>
        <stp/>
        <tr r="CF59" s="1"/>
      </tp>
      <tp>
        <v>4.8879999999999999</v>
        <stp/>
        <stp>P</stp>
        <stp>0</stp>
        <stp>BND</stp>
        <stp>KR6000032856</stp>
        <stp>민평3사 수익률(산출일)</stp>
        <stp>46198</stp>
        <stp/>
        <tr r="EB69" s="1"/>
      </tp>
      <tp>
        <v>4.0960000000000001</v>
        <stp/>
        <stp>P</stp>
        <stp>0</stp>
        <stp>BND</stp>
        <stp>KR6136301E64</stp>
        <stp>민평3사 수익률(산출일)</stp>
        <stp>46198</stp>
        <stp/>
        <tr r="DD150" s="1"/>
      </tp>
      <tp>
        <v>3.7909999999999999</v>
        <stp/>
        <stp>P</stp>
        <stp>0</stp>
        <stp>BND</stp>
        <stp>KR6042672E32</stp>
        <stp>민평3사 수익률(산출일)</stp>
        <stp>46198</stp>
        <stp/>
        <tr r="CR59" s="1"/>
      </tp>
      <tp>
        <v>3.6629999999999998</v>
        <stp/>
        <stp>P</stp>
        <stp>0</stp>
        <stp>BND</stp>
        <stp>KR6025083E22</stp>
        <stp>민평3사 수익률(산출일)</stp>
        <stp>46198</stp>
        <stp/>
        <tr r="DD54" s="1"/>
      </tp>
      <tp>
        <v>3.585</v>
        <stp/>
        <stp>P</stp>
        <stp>0</stp>
        <stp>BND</stp>
        <stp>KR6039091F22</stp>
        <stp>민평3사 수익률(산출일)</stp>
        <stp>46198</stp>
        <stp/>
        <tr r="BT186" s="1"/>
      </tp>
      <tp>
        <v>4.3120000000000003</v>
        <stp/>
        <stp>P</stp>
        <stp>0</stp>
        <stp>BND</stp>
        <stp>KR6205494F63</stp>
        <stp>민평3사 수익률(산출일)</stp>
        <stp>46198</stp>
        <stp/>
        <tr r="L192" s="1"/>
      </tp>
      <tp>
        <v>4.3780000000000001</v>
        <stp/>
        <stp>P</stp>
        <stp>0</stp>
        <stp>BND</stp>
        <stp>KR603271AF58</stp>
        <stp>민평3사 수익률(산출일)</stp>
        <stp>46198</stp>
        <stp/>
        <tr r="L227" s="1"/>
      </tp>
      <tp>
        <v>4.38</v>
        <stp/>
        <stp>P</stp>
        <stp>0</stp>
        <stp>BND</stp>
        <stp>KR602978FF51</stp>
        <stp>민평3사 수익률(산출일)</stp>
        <stp>46198</stp>
        <stp/>
        <tr r="BT75" s="1"/>
      </tp>
      <tp>
        <v>4.234</v>
        <stp/>
        <stp>P</stp>
        <stp>0</stp>
        <stp>BND</stp>
        <stp>KR6140174D38</stp>
        <stp>민평3사 수익률(산출일)</stp>
        <stp>46198</stp>
        <stp/>
        <tr r="L317" s="1"/>
      </tp>
      <tp>
        <v>3.855</v>
        <stp/>
        <stp>P</stp>
        <stp>0</stp>
        <stp>BND</stp>
        <stp>KR6145761F59</stp>
        <stp>민평3사 수익률(산출일)</stp>
        <stp>46198</stp>
        <stp/>
        <tr r="EB32" s="1"/>
      </tp>
      <tp>
        <v>3.27</v>
        <stp/>
        <stp>P</stp>
        <stp>0</stp>
        <stp>BND</stp>
        <stp>KR2001264A48</stp>
        <stp>민평3사 수익률(산출일)</stp>
        <stp>46198</stp>
        <stp/>
        <tr r="L382" s="1"/>
        <tr r="DD290" s="1"/>
      </tp>
      <tp>
        <v>4.34</v>
        <stp/>
        <stp>P</stp>
        <stp>0</stp>
        <stp>BND</stp>
        <stp>KR6000663E49</stp>
        <stp>민평3사 수익률(산출일)</stp>
        <stp>46198</stp>
        <stp/>
        <tr r="L155" s="1"/>
      </tp>
      <tp>
        <v>4.7519999999999998</v>
        <stp/>
        <stp>P</stp>
        <stp>0</stp>
        <stp>BND</stp>
        <stp>KR6066562879</stp>
        <stp>민평3사 수익률(산출일)</stp>
        <stp>46198</stp>
        <stp/>
        <tr r="EB81" s="1"/>
      </tp>
      <tp>
        <v>4.0789999999999997</v>
        <stp/>
        <stp>P</stp>
        <stp>0</stp>
        <stp>BND</stp>
        <stp>KR6169372F19</stp>
        <stp>민평3사 수익률(산출일)</stp>
        <stp>46198</stp>
        <stp/>
        <tr r="DD56" s="1"/>
      </tp>
      <tp>
        <v>4.1859999999999999</v>
        <stp/>
        <stp>P</stp>
        <stp>0</stp>
        <stp>BND</stp>
        <stp>KR6205491F66</stp>
        <stp>민평3사 수익률(산출일)</stp>
        <stp>46198</stp>
        <stp/>
        <tr r="DD21" s="1"/>
      </tp>
      <tp>
        <v>2.9249999999999998</v>
        <stp/>
        <stp>P</stp>
        <stp>0</stp>
        <stp>BND</stp>
        <stp>KR353601DD76</stp>
        <stp>민평3사 수익률(산출일)</stp>
        <stp>46198</stp>
        <stp/>
        <tr r="BT203" s="1"/>
      </tp>
      <tp>
        <v>2.8719999999999999</v>
        <stp/>
        <stp>P</stp>
        <stp>0</stp>
        <stp>BND</stp>
        <stp>KR350106GB71</stp>
        <stp>민평3사 수익률(산출일)</stp>
        <stp>46198</stp>
        <stp/>
        <tr r="L88" s="1"/>
      </tp>
      <tp>
        <v>4.2169999999999996</v>
        <stp/>
        <stp>P</stp>
        <stp>0</stp>
        <stp>BND</stp>
        <stp>KR6011072E25</stp>
        <stp>민평3사 수익률(산출일)</stp>
        <stp>46198</stp>
        <stp/>
        <tr r="L132" s="1"/>
      </tp>
      <tp>
        <v>3.7930000000000001</v>
        <stp/>
        <stp>P</stp>
        <stp>0</stp>
        <stp>BND</stp>
        <stp>KR2001034B61</stp>
        <stp>민평3사 수익률(산출일)</stp>
        <stp>46198</stp>
        <stp/>
        <tr r="DD275" s="1"/>
      </tp>
      <tp>
        <v>4.1669999999999998</v>
        <stp/>
        <stp>P</stp>
        <stp>0</stp>
        <stp>BND</stp>
        <stp>KR6033667G44</stp>
        <stp>민평3사 수익률(산출일)</stp>
        <stp>46198</stp>
        <stp/>
        <tr r="DD72" s="1"/>
      </tp>
      <tp>
        <v>4.3819999999999997</v>
        <stp/>
        <stp>P</stp>
        <stp>0</stp>
        <stp>BND</stp>
        <stp>KR6031324F10</stp>
        <stp>민평3사 수익률(산출일)</stp>
        <stp>46198</stp>
        <stp/>
        <tr r="EB51" s="1"/>
      </tp>
      <tp>
        <v>4.2549999999999999</v>
        <stp/>
        <stp>P</stp>
        <stp>0</stp>
        <stp>BND</stp>
        <stp>KR6280361G16</stp>
        <stp>민평3사 수익률(산출일)</stp>
        <stp>46198</stp>
        <stp/>
        <tr r="BT62" s="1"/>
      </tp>
      <tp>
        <v>3.9790000000000001</v>
        <stp/>
        <stp>P</stp>
        <stp>0</stp>
        <stp>BND</stp>
        <stp>KR310515GG67</stp>
        <stp>민평3사 수익률(산출일)</stp>
        <stp>46198</stp>
        <stp/>
        <tr r="DD30" s="1"/>
      </tp>
      <tp>
        <v>4.2789999999999999</v>
        <stp/>
        <stp>P</stp>
        <stp>0</stp>
        <stp>BND</stp>
        <stp>KR3561057273</stp>
        <stp>민평3사 수익률(산출일)</stp>
        <stp>46198</stp>
        <stp/>
        <tr r="DD303" s="1"/>
      </tp>
      <tp>
        <v>4.0359999999999996</v>
        <stp/>
        <stp>P</stp>
        <stp>0</stp>
        <stp>BND</stp>
        <stp>KR6037641F47</stp>
        <stp>민평3사 수익률(산출일)</stp>
        <stp>46198</stp>
        <stp/>
        <tr r="EB83" s="1"/>
      </tp>
      <tp>
        <v>4.0659999999999998</v>
        <stp/>
        <stp>P</stp>
        <stp>0</stp>
        <stp>BND</stp>
        <stp>KR2001024D61</stp>
        <stp>민평3사 수익률(산출일)</stp>
        <stp>46198</stp>
        <stp/>
        <tr r="BT96" s="1"/>
      </tp>
      <tp>
        <v>3.6619999999999999</v>
        <stp/>
        <stp>P</stp>
        <stp>0</stp>
        <stp>BND</stp>
        <stp>KR354204GE71</stp>
        <stp>민평3사 수익률(산출일)</stp>
        <stp>46198</stp>
        <stp/>
        <tr r="L115" s="1"/>
      </tp>
      <tp>
        <v>4.0890000000000004</v>
        <stp/>
        <stp>P</stp>
        <stp>0</stp>
        <stp>BND</stp>
        <stp>KR354205GE70</stp>
        <stp>민평3사 수익률(산출일)</stp>
        <stp>46198</stp>
        <stp/>
        <tr r="L172" s="1"/>
      </tp>
      <tp>
        <v>4.4980000000000002</v>
        <stp/>
        <stp>P</stp>
        <stp>0</stp>
        <stp>BND</stp>
        <stp>KR350901GF74</stp>
        <stp>민평3사 수익률(산출일)</stp>
        <stp>46198</stp>
        <stp/>
        <tr r="L73" s="1"/>
      </tp>
      <tp>
        <v>3.5640000000000001</v>
        <stp/>
        <stp>P</stp>
        <stp>0</stp>
        <stp>BND</stp>
        <stp>KR6139132C32</stp>
        <stp>민평3사 수익률(산출일)</stp>
        <stp>46198</stp>
        <stp/>
        <tr r="EB20" s="1"/>
      </tp>
      <tp>
        <v>3.1190000000000002</v>
        <stp/>
        <stp>P</stp>
        <stp>0</stp>
        <stp>BND</stp>
        <stp>KR6012451E65</stp>
        <stp>민평3사 수익률(산출일)</stp>
        <stp>46198</stp>
        <stp/>
        <tr r="CF40" s="1"/>
      </tp>
      <tp>
        <v>3.9929999999999999</v>
        <stp/>
        <stp>P</stp>
        <stp>0</stp>
        <stp>BND</stp>
        <stp>KR6079314F11</stp>
        <stp>민평3사 수익률(산출일)</stp>
        <stp>46198</stp>
        <stp/>
        <tr r="DD81" s="1"/>
      </tp>
      <tp>
        <v>3.7559999999999998</v>
        <stp/>
        <stp>P</stp>
        <stp>0</stp>
        <stp>BND</stp>
        <stp>KR6034731E53</stp>
        <stp>민평3사 수익률(산출일)</stp>
        <stp>46198</stp>
        <stp/>
        <tr r="BT192" s="1"/>
        <tr r="L331" s="1"/>
      </tp>
      <tp>
        <v>3.9359999999999999</v>
        <stp/>
        <stp>P</stp>
        <stp>0</stp>
        <stp>BND</stp>
        <stp>KR6375502E73</stp>
        <stp>민평3사 수익률(산출일)</stp>
        <stp>46198</stp>
        <stp/>
        <tr r="CR12" s="1"/>
      </tp>
      <tp>
        <v>4.4640000000000004</v>
        <stp/>
        <stp>P</stp>
        <stp>0</stp>
        <stp>BND</stp>
        <stp>KR6023787F58</stp>
        <stp>민평3사 수익률(산출일)</stp>
        <stp>46198</stp>
        <stp/>
        <tr r="EB64" s="1"/>
      </tp>
      <tp>
        <v>3.6259999999999999</v>
        <stp/>
        <stp>P</stp>
        <stp>0</stp>
        <stp>BND</stp>
        <stp>KR6029696E49</stp>
        <stp>민평3사 수익률(산출일)</stp>
        <stp>46198</stp>
        <stp/>
        <tr r="CF82" s="1"/>
      </tp>
      <tp>
        <v>4.1260000000000003</v>
        <stp/>
        <stp>P</stp>
        <stp>0</stp>
        <stp>BND</stp>
        <stp>KR6033665G46</stp>
        <stp>민평3사 수익률(산출일)</stp>
        <stp>46198</stp>
        <stp/>
        <tr r="DD29" s="1"/>
      </tp>
      <tp>
        <v>3.5960000000000001</v>
        <stp/>
        <stp>P</stp>
        <stp>0</stp>
        <stp>BND</stp>
        <stp>KR6086794C59</stp>
        <stp>민평3사 수익률(산출일)</stp>
        <stp>46198</stp>
        <stp/>
        <tr r="L96" s="1"/>
      </tp>
      <tp>
        <v>4.1390000000000002</v>
        <stp/>
        <stp>P</stp>
        <stp>0</stp>
        <stp>BND</stp>
        <stp>KR355701GF75</stp>
        <stp>민평3사 수익률(산출일)</stp>
        <stp>46198</stp>
        <stp/>
        <tr r="EB47" s="1"/>
      </tp>
      <tp>
        <v>4.0309999999999997</v>
        <stp/>
        <stp>P</stp>
        <stp>0</stp>
        <stp>BND</stp>
        <stp>KR350802GD76</stp>
        <stp>민평3사 수익률(산출일)</stp>
        <stp>46198</stp>
        <stp/>
        <tr r="DD59" s="1"/>
      </tp>
      <tp>
        <v>4.3380000000000001</v>
        <stp/>
        <stp>P</stp>
        <stp>0</stp>
        <stp>BND</stp>
        <stp>KR6034732E52</stp>
        <stp>민평3사 수익률(산출일)</stp>
        <stp>46198</stp>
        <stp/>
        <tr r="L306" s="1"/>
      </tp>
      <tp>
        <v>3.093</v>
        <stp/>
        <stp>P</stp>
        <stp>0</stp>
        <stp>BND</stp>
        <stp>KR6003452D64</stp>
        <stp>민평3사 수익률(산출일)</stp>
        <stp>46198</stp>
        <stp/>
        <tr r="BT159" s="1"/>
      </tp>
      <tp>
        <v>4.3040000000000003</v>
        <stp/>
        <stp>P</stp>
        <stp>0</stp>
        <stp>BND</stp>
        <stp>KR6029787B59</stp>
        <stp>민평3사 수익률(산출일)</stp>
        <stp>46198</stp>
        <stp/>
        <tr r="L385" s="1"/>
        <tr r="BT272" s="1"/>
        <tr r="DD312" s="1"/>
      </tp>
      <tp>
        <v>3.6419999999999999</v>
        <stp/>
        <stp>P</stp>
        <stp>0</stp>
        <stp>BND</stp>
        <stp>KR6029697E48</stp>
        <stp>민평3사 수익률(산출일)</stp>
        <stp>46198</stp>
        <stp/>
        <tr r="EB17" s="1"/>
        <tr r="CF32" s="1"/>
      </tp>
      <tp>
        <v>3.7360000000000002</v>
        <stp/>
        <stp>P</stp>
        <stp>0</stp>
        <stp>BND</stp>
        <stp>KR354301GF72</stp>
        <stp>민평3사 수익률(산출일)</stp>
        <stp>46198</stp>
        <stp/>
        <tr r="EB34" s="1"/>
      </tp>
      <tp>
        <v>3.8220000000000001</v>
        <stp/>
        <stp>P</stp>
        <stp>0</stp>
        <stp>BND</stp>
        <stp>KR2005041562</stp>
        <stp>민평3사 수익률(산출일)</stp>
        <stp>46198</stp>
        <stp/>
        <tr r="L305" s="1"/>
      </tp>
      <tp>
        <v>4.4850000000000003</v>
        <stp/>
        <stp>P</stp>
        <stp>0</stp>
        <stp>BND</stp>
        <stp>KR6138101G37</stp>
        <stp>민평3사 수익률(산출일)</stp>
        <stp>46198</stp>
        <stp/>
        <tr r="DD91" s="1"/>
      </tp>
      <tp>
        <v>3.4470000000000001</v>
        <stp/>
        <stp>P</stp>
        <stp>0</stp>
        <stp>BND</stp>
        <stp>KR6204322E16</stp>
        <stp>민평3사 수익률(산출일)</stp>
        <stp>46198</stp>
        <stp/>
        <tr r="BT30" s="1"/>
      </tp>
      <tp>
        <v>4.2160000000000002</v>
        <stp/>
        <stp>P</stp>
        <stp>0</stp>
        <stp>BND</stp>
        <stp>KR6000662E40</stp>
        <stp>민평3사 수익률(산출일)</stp>
        <stp>46198</stp>
        <stp/>
        <tr r="L141" s="1"/>
      </tp>
      <tp>
        <v>3.7389999999999999</v>
        <stp/>
        <stp>P</stp>
        <stp>0</stp>
        <stp>BND</stp>
        <stp>KR354301GE73</stp>
        <stp>민평3사 수익률(산출일)</stp>
        <stp>46198</stp>
        <stp/>
        <tr r="L42" s="1"/>
      </tp>
      <tp>
        <v>2.6480000000000001</v>
        <stp/>
        <stp>P</stp>
        <stp>0</stp>
        <stp>BND</stp>
        <stp>KR310101GE77</stp>
        <stp>민평3사 수익률(산출일)</stp>
        <stp>46198</stp>
        <stp/>
        <tr r="BT157" s="1"/>
      </tp>
      <tp>
        <v>3.3109999999999999</v>
        <stp/>
        <stp>P</stp>
        <stp>0</stp>
        <stp>BND</stp>
        <stp>KR2005011E66</stp>
        <stp>민평3사 수익률(산출일)</stp>
        <stp>46198</stp>
        <stp/>
        <tr r="BT18" s="1"/>
      </tp>
      <tp>
        <v>3.5979999999999999</v>
        <stp/>
        <stp>P</stp>
        <stp>0</stp>
        <stp>BND</stp>
        <stp>KR6140173B31</stp>
        <stp>민평3사 수익률(산출일)</stp>
        <stp>46198</stp>
        <stp/>
        <tr r="BT266" s="1"/>
        <tr r="DP17" s="1"/>
      </tp>
      <tp>
        <v>3.7210000000000001</v>
        <stp/>
        <stp>P</stp>
        <stp>0</stp>
        <stp>BND</stp>
        <stp>KR6055552C72</stp>
        <stp>민평3사 수익률(산출일)</stp>
        <stp>46198</stp>
        <stp/>
        <tr r="L82" s="1"/>
      </tp>
      <tp>
        <v>4.2329999999999997</v>
        <stp/>
        <stp>P</stp>
        <stp>0</stp>
        <stp>BND</stp>
        <stp>KR357402GF73</stp>
        <stp>민평3사 수익률(산출일)</stp>
        <stp>46198</stp>
        <stp/>
        <tr r="L228" s="1"/>
      </tp>
      <tp>
        <v>4.085</v>
        <stp/>
        <stp>P</stp>
        <stp>0</stp>
        <stp>BND</stp>
        <stp>KR354203GE72</stp>
        <stp>민평3사 수익률(산출일)</stp>
        <stp>46198</stp>
        <stp/>
        <tr r="L160" s="1"/>
      </tp>
      <tp>
        <v>4.26</v>
        <stp/>
        <stp>P</stp>
        <stp>0</stp>
        <stp>BND</stp>
        <stp>KR350106GF77</stp>
        <stp>민평3사 수익률(산출일)</stp>
        <stp>46198</stp>
        <stp/>
        <tr r="L218" s="1"/>
      </tp>
      <tp>
        <v>3.7269999999999999</v>
        <stp/>
        <stp>P</stp>
        <stp>0</stp>
        <stp>BND</stp>
        <stp>KR6055551E71</stp>
        <stp>민평3사 수익률(산출일)</stp>
        <stp>46198</stp>
        <stp/>
        <tr r="L113" s="1"/>
      </tp>
      <tp>
        <v>3.79</v>
        <stp/>
        <stp>P</stp>
        <stp>0</stp>
        <stp>BND</stp>
        <stp>KR6032718D55</stp>
        <stp>민평3사 수익률(산출일)</stp>
        <stp>46198</stp>
        <stp/>
        <tr r="DD255" s="1"/>
      </tp>
      <tp>
        <v>4.2830000000000004</v>
        <stp/>
        <stp>P</stp>
        <stp>0</stp>
        <stp>BND</stp>
        <stp>KR6204323E15</stp>
        <stp>민평3사 수익률(산출일)</stp>
        <stp>46198</stp>
        <stp/>
        <tr r="L109" s="1"/>
        <tr r="DD274" s="1"/>
      </tp>
      <tp>
        <v>3.57</v>
        <stp/>
        <stp>P</stp>
        <stp>0</stp>
        <stp>BND</stp>
        <stp>KR6017673742</stp>
        <stp>민평3사 수익률(산출일)</stp>
        <stp>46198</stp>
        <stp/>
        <tr r="L278" s="1"/>
      </tp>
      <tp>
        <v>4.2450000000000001</v>
        <stp/>
        <stp>P</stp>
        <stp>0</stp>
        <stp>BND</stp>
        <stp>KR6017673D42</stp>
        <stp>민평3사 수익률(산출일)</stp>
        <stp>46198</stp>
        <stp/>
        <tr r="BT46" s="1"/>
      </tp>
      <tp>
        <v>4.3769999999999998</v>
        <stp/>
        <stp>P</stp>
        <stp>0</stp>
        <stp>BND</stp>
        <stp>KR6032717F54</stp>
        <stp>민평3사 수익률(산출일)</stp>
        <stp>46198</stp>
        <stp/>
        <tr r="L226" s="1"/>
      </tp>
      <tp>
        <v>4.1340000000000003</v>
        <stp/>
        <stp>P</stp>
        <stp>0</stp>
        <stp>BND</stp>
        <stp>KR381005GE67</stp>
        <stp>민평3사 수익률(산출일)</stp>
        <stp>46198</stp>
        <stp/>
        <tr r="L355" s="1"/>
      </tp>
      <tp>
        <v>4.0839999999999996</v>
        <stp/>
        <stp>P</stp>
        <stp>0</stp>
        <stp>BND</stp>
        <stp>KR2001024D79</stp>
        <stp>민평3사 수익률(산출일)</stp>
        <stp>46198</stp>
        <stp/>
        <tr r="BT212" s="1"/>
      </tp>
      <tp>
        <v>4.4480000000000004</v>
        <stp/>
        <stp>P</stp>
        <stp>0</stp>
        <stp>BND</stp>
        <stp>KR6138102F29</stp>
        <stp>민평3사 수익률(산출일)</stp>
        <stp>46198</stp>
        <stp/>
        <tr r="DD265" s="1"/>
      </tp>
      <tp>
        <v>4.1440000000000001</v>
        <stp/>
        <stp>P</stp>
        <stp>0</stp>
        <stp>BND</stp>
        <stp>KR6025081G30</stp>
        <stp>민평3사 수익률(산출일)</stp>
        <stp>46198</stp>
        <stp/>
        <tr r="DD90" s="1"/>
      </tp>
      <tp>
        <v>4.3220000000000001</v>
        <stp/>
        <stp>P</stp>
        <stp>0</stp>
        <stp>BND</stp>
        <stp>KR6205492F73</stp>
        <stp>민평3사 수익률(산출일)</stp>
        <stp>46198</stp>
        <stp/>
        <tr r="L185" s="1"/>
      </tp>
      <tp>
        <v>3.32</v>
        <stp/>
        <stp>P</stp>
        <stp>0</stp>
        <stp>BND</stp>
        <stp>KR6025081F31</stp>
        <stp>민평3사 수익률(산출일)</stp>
        <stp>46198</stp>
        <stp/>
        <tr r="CF89" s="1"/>
      </tp>
      <tp>
        <v>4.1879999999999997</v>
        <stp/>
        <stp>P</stp>
        <stp>0</stp>
        <stp>BND</stp>
        <stp>KR6086792G40</stp>
        <stp>민평3사 수익률(산출일)</stp>
        <stp>46198</stp>
        <stp/>
        <tr r="BT42" s="1"/>
      </tp>
      <tp>
        <v>4.444</v>
        <stp/>
        <stp>P</stp>
        <stp>0</stp>
        <stp>BND</stp>
        <stp>KR350702GD69</stp>
        <stp>민평3사 수익률(산출일)</stp>
        <stp>46198</stp>
        <stp/>
        <tr r="L235" s="1"/>
      </tp>
      <tp>
        <v>3.7160000000000002</v>
        <stp/>
        <stp>P</stp>
        <stp>0</stp>
        <stp>BND</stp>
        <stp>KR6023781G46</stp>
        <stp>민평3사 수익률(산출일)</stp>
        <stp>46198</stp>
        <stp/>
        <tr r="L39" s="1"/>
      </tp>
      <tp>
        <v>4.71</v>
        <stp/>
        <stp>P</stp>
        <stp>0</stp>
        <stp>BND</stp>
        <stp>KR6023763F49</stp>
        <stp>민평3사 수익률(산출일)</stp>
        <stp>46198</stp>
        <stp/>
        <tr r="CR13" s="1"/>
      </tp>
      <tp>
        <v>4.0839999999999996</v>
        <stp/>
        <stp>P</stp>
        <stp>0</stp>
        <stp>BND</stp>
        <stp>KR6023781F47</stp>
        <stp>민평3사 수익률(산출일)</stp>
        <stp>46198</stp>
        <stp/>
        <tr r="DD107" s="1"/>
      </tp>
      <tp>
        <v>4.4580000000000002</v>
        <stp/>
        <stp>P</stp>
        <stp>0</stp>
        <stp>BND</stp>
        <stp>KR352201GG68</stp>
        <stp>민평3사 수익률(산출일)</stp>
        <stp>46198</stp>
        <stp/>
        <tr r="DD164" s="1"/>
      </tp>
      <tp>
        <v>2.8969999999999998</v>
        <stp/>
        <stp>P</stp>
        <stp>0</stp>
        <stp>BND</stp>
        <stp>KR353601DD68</stp>
        <stp>민평3사 수익률(산출일)</stp>
        <stp>46198</stp>
        <stp/>
        <tr r="L378" s="1"/>
      </tp>
      <tp>
        <v>4.0410000000000004</v>
        <stp/>
        <stp>P</stp>
        <stp>0</stp>
        <stp>BND</stp>
        <stp>KR6046293F15</stp>
        <stp>민평3사 수익률(산출일)</stp>
        <stp>46198</stp>
        <stp/>
        <tr r="CF34" s="1"/>
      </tp>
      <tp>
        <v>4.3760000000000003</v>
        <stp/>
        <stp>P</stp>
        <stp>0</stp>
        <stp>BND</stp>
        <stp>KR354701GG69</stp>
        <stp>민평3사 수익률(산출일)</stp>
        <stp>46198</stp>
        <stp/>
        <tr r="BT39" s="1"/>
      </tp>
      <tp>
        <v>5.0270000000000001</v>
        <stp/>
        <stp>P</stp>
        <stp>0</stp>
        <stp>BND</stp>
        <stp>KR6046293G14</stp>
        <stp>민평3사 수익률(산출일)</stp>
        <stp>46198</stp>
        <stp/>
        <tr r="CR17" s="1"/>
      </tp>
      <tp>
        <v>3.52</v>
        <stp/>
        <stp>P</stp>
        <stp>0</stp>
        <stp>BND</stp>
        <stp>KR6086792C44</stp>
        <stp>민평3사 수익률(산출일)</stp>
        <stp>46198</stp>
        <stp/>
        <tr r="BT148" s="1"/>
      </tp>
      <tp>
        <v>4.2549999999999999</v>
        <stp/>
        <stp>P</stp>
        <stp>0</stp>
        <stp>BND</stp>
        <stp>KR355701GG66</stp>
        <stp>민평3사 수익률(산출일)</stp>
        <stp>46198</stp>
        <stp/>
        <tr r="DD63" s="1"/>
      </tp>
      <tp>
        <v>3.1779999999999999</v>
        <stp/>
        <stp>P</stp>
        <stp>0</stp>
        <stp>BND</stp>
        <stp>KR6031441E76</stp>
        <stp>민평3사 수익률(산출일)</stp>
        <stp>46198</stp>
        <stp/>
        <tr r="CR11" s="1"/>
      </tp>
      <tp>
        <v>4.2919999999999998</v>
        <stp/>
        <stp>P</stp>
        <stp>0</stp>
        <stp>BND</stp>
        <stp>KR6032711F43</stp>
        <stp>민평3사 수익률(산출일)</stp>
        <stp>46198</stp>
        <stp/>
        <tr r="L166" s="1"/>
      </tp>
      <tp>
        <v>4.4459999999999997</v>
        <stp/>
        <stp>P</stp>
        <stp>0</stp>
        <stp>BND</stp>
        <stp>KR6096773D45</stp>
        <stp>민평3사 수익률(산출일)</stp>
        <stp>46198</stp>
        <stp/>
        <tr r="L287" s="1"/>
      </tp>
      <tp>
        <v>3.1789999999999998</v>
        <stp/>
        <stp>P</stp>
        <stp>0</stp>
        <stp>BND</stp>
        <stp>KR6097247E16</stp>
        <stp>민평3사 수익률(산출일)</stp>
        <stp>46198</stp>
        <stp/>
        <tr r="CF45" s="1"/>
      </tp>
      <tp>
        <v>4.3609999999999998</v>
        <stp/>
        <stp>P</stp>
        <stp>0</stp>
        <stp>BND</stp>
        <stp>KR350201GB67</stp>
        <stp>민평3사 수익률(산출일)</stp>
        <stp>46198</stp>
        <stp/>
        <tr r="L237" s="1"/>
        <tr r="DD153" s="1"/>
      </tp>
      <tp>
        <v>4.3550000000000004</v>
        <stp/>
        <stp>P</stp>
        <stp>0</stp>
        <stp>BND</stp>
        <stp>KR350701GG67</stp>
        <stp>민평3사 수익률(산출일)</stp>
        <stp>46198</stp>
        <stp/>
        <tr r="L44" s="1"/>
      </tp>
      <tp>
        <v>4.3140000000000001</v>
        <stp/>
        <stp>P</stp>
        <stp>0</stp>
        <stp>BND</stp>
        <stp>KR6032713E42</stp>
        <stp>민평3사 수익률(산출일)</stp>
        <stp>46198</stp>
        <stp/>
        <tr r="L265" s="1"/>
      </tp>
      <tp>
        <v>4.2229999999999999</v>
        <stp/>
        <stp>P</stp>
        <stp>0</stp>
        <stp>BND</stp>
        <stp>KR6000664955</stp>
        <stp>민평3사 수익률(산출일)</stp>
        <stp>46198</stp>
        <stp/>
        <tr r="CR38" s="1"/>
      </tp>
      <tp>
        <v>4.2830000000000004</v>
        <stp/>
        <stp>P</stp>
        <stp>0</stp>
        <stp>BND</stp>
        <stp>KR6096772F44</stp>
        <stp>민평3사 수익률(산출일)</stp>
        <stp>46198</stp>
        <stp/>
        <tr r="DD131" s="1"/>
      </tp>
      <tp>
        <v>4.3360000000000003</v>
        <stp/>
        <stp>P</stp>
        <stp>0</stp>
        <stp>BND</stp>
        <stp>KR6097244G17</stp>
        <stp>민평3사 수익률(산출일)</stp>
        <stp>46198</stp>
        <stp/>
        <tr r="DD120" s="1"/>
      </tp>
      <tp>
        <v>4.0449999999999999</v>
        <stp/>
        <stp>P</stp>
        <stp>0</stp>
        <stp>BND</stp>
        <stp>KR355901GG64</stp>
        <stp>민평3사 수익률(산출일)</stp>
        <stp>46198</stp>
        <stp/>
        <tr r="DD65" s="1"/>
      </tp>
      <tp>
        <v>3.6779999999999999</v>
        <stp/>
        <stp>P</stp>
        <stp>0</stp>
        <stp>BND</stp>
        <stp>KR603062AE52</stp>
        <stp>민평3사 수익률(산출일)</stp>
        <stp>46198</stp>
        <stp/>
        <tr r="EB12" s="1"/>
      </tp>
      <tp>
        <v>4.3170000000000002</v>
        <stp/>
        <stp>P</stp>
        <stp>0</stp>
        <stp>BND</stp>
        <stp>KR350706GF63</stp>
        <stp>민평3사 수익률(산출일)</stp>
        <stp>46198</stp>
        <stp/>
        <tr r="L241" s="1"/>
      </tp>
      <tp>
        <v>4.8849999999999998</v>
        <stp/>
        <stp>P</stp>
        <stp>0</stp>
        <stp>BND</stp>
        <stp>KR6029692F59</stp>
        <stp>민평3사 수익률(산출일)</stp>
        <stp>46198</stp>
        <stp/>
        <tr r="CR27" s="1"/>
      </tp>
      <tp>
        <v>4.2240000000000002</v>
        <stp/>
        <stp>P</stp>
        <stp>0</stp>
        <stp>BND</stp>
        <stp>KR6033663F56</stp>
        <stp>민평3사 수익률(산출일)</stp>
        <stp>46198</stp>
        <stp/>
        <tr r="BT242" s="1"/>
      </tp>
      <tp>
        <v>4.3099999999999996</v>
        <stp/>
        <stp>P</stp>
        <stp>0</stp>
        <stp>BND</stp>
        <stp>KR6030753G45</stp>
        <stp>민평3사 수익률(산출일)</stp>
        <stp>46198</stp>
        <stp/>
        <tr r="DD70" s="1"/>
      </tp>
      <tp>
        <v>4.0839999999999996</v>
        <stp/>
        <stp>P</stp>
        <stp>0</stp>
        <stp>BND</stp>
        <stp>KR2077012F71</stp>
        <stp>민평3사 수익률(산출일)</stp>
        <stp>46198</stp>
        <stp/>
        <tr r="L356" s="1"/>
      </tp>
      <tp>
        <v>4.6459999999999999</v>
        <stp/>
        <stp>P</stp>
        <stp>0</stp>
        <stp>BND</stp>
        <stp>KR6063622G52</stp>
        <stp>민평3사 수익률(산출일)</stp>
        <stp>46198</stp>
        <stp/>
        <tr r="DD171" s="1"/>
      </tp>
      <tp>
        <v>4.2679999999999998</v>
        <stp/>
        <stp>P</stp>
        <stp>0</stp>
        <stp>BND</stp>
        <stp>KR6066561G66</stp>
        <stp>민평3사 수익률(산출일)</stp>
        <stp>46198</stp>
        <stp/>
        <tr r="DD75" s="1"/>
      </tp>
      <tp>
        <v>4.4429999999999996</v>
        <stp/>
        <stp>P</stp>
        <stp>0</stp>
        <stp>BND</stp>
        <stp>KR6025083F39</stp>
        <stp>민평3사 수익률(산출일)</stp>
        <stp>46198</stp>
        <stp/>
        <tr r="EB41" s="1"/>
      </tp>
      <tp>
        <v>4.28</v>
        <stp/>
        <stp>P</stp>
        <stp>0</stp>
        <stp>BND</stp>
        <stp>KR6096772D46</stp>
        <stp>민평3사 수익률(산출일)</stp>
        <stp>46198</stp>
        <stp/>
        <tr r="L270" s="1"/>
      </tp>
      <tp>
        <v>4.0090000000000003</v>
        <stp/>
        <stp>P</stp>
        <stp>0</stp>
        <stp>BND</stp>
        <stp>KR6030203816</stp>
        <stp>민평3사 수익률(산출일)</stp>
        <stp>46198</stp>
        <stp/>
        <tr r="L69" s="1"/>
      </tp>
      <tp>
        <v>4.3940000000000001</v>
        <stp/>
        <stp>P</stp>
        <stp>0</stp>
        <stp>BND</stp>
        <stp>KR6060005A36</stp>
        <stp>민평3사 수익률(산출일)</stp>
        <stp>46198</stp>
        <stp/>
        <tr r="EB73" s="1"/>
      </tp>
      <tp>
        <v>4.4660000000000002</v>
        <stp/>
        <stp>P</stp>
        <stp>0</stp>
        <stp>BND</stp>
        <stp>KR6000124G24</stp>
        <stp>민평3사 수익률(산출일)</stp>
        <stp>46198</stp>
        <stp/>
        <tr r="L167" s="1"/>
      </tp>
      <tp>
        <v>3.8</v>
        <stp/>
        <stp>P</stp>
        <stp>0</stp>
        <stp>BND</stp>
        <stp>KR101501DE46</stp>
        <stp>민평3사 수익률(산출일)</stp>
        <stp>46198</stp>
        <stp/>
        <tr r="BT248" s="1"/>
      </tp>
      <tp>
        <v>4.048</v>
        <stp/>
        <stp>P</stp>
        <stp>0</stp>
        <stp>BND</stp>
        <stp>KR350103GG61</stp>
        <stp>민평3사 수익률(산출일)</stp>
        <stp>46198</stp>
        <stp/>
        <tr r="DD62" s="1"/>
      </tp>
      <tp>
        <v>4.4859999999999998</v>
        <stp/>
        <stp>P</stp>
        <stp>0</stp>
        <stp>BND</stp>
        <stp>KR6023531G64</stp>
        <stp>민평3사 수익률(산출일)</stp>
        <stp>46198</stp>
        <stp/>
        <tr r="CR15" s="1"/>
      </tp>
      <tp>
        <v>4.4619999999999997</v>
        <stp/>
        <stp>P</stp>
        <stp>0</stp>
        <stp>BND</stp>
        <stp>KR6066562861</stp>
        <stp>민평3사 수익률(산출일)</stp>
        <stp>46198</stp>
        <stp/>
        <tr r="L242" s="1"/>
      </tp>
      <tp>
        <v>4.0839999999999996</v>
        <stp/>
        <stp>P</stp>
        <stp>0</stp>
        <stp>BND</stp>
        <stp>KR2055022F75</stp>
        <stp>민평3사 수익률(산출일)</stp>
        <stp>46198</stp>
        <stp/>
        <tr r="L357" s="1"/>
      </tp>
      <tp>
        <v>4.1669999999999998</v>
        <stp/>
        <stp>P</stp>
        <stp>0</stp>
        <stp>BND</stp>
        <stp>KR354601GG60</stp>
        <stp>민평3사 수익률(산출일)</stp>
        <stp>46198</stp>
        <stp/>
        <tr r="BT41" s="1"/>
        <tr r="DD79" s="1"/>
      </tp>
      <tp>
        <v>4.1559999999999997</v>
        <stp/>
        <stp>P</stp>
        <stp>0</stp>
        <stp>BND</stp>
        <stp>KR355902GG63</stp>
        <stp>민평3사 수익률(산출일)</stp>
        <stp>46198</stp>
        <stp/>
        <tr r="DD167" s="1"/>
      </tp>
      <tp>
        <v>4.5430000000000001</v>
        <stp/>
        <stp>P</stp>
        <stp>0</stp>
        <stp>BND</stp>
        <stp>KR6001743F40</stp>
        <stp>민평3사 수익률(산출일)</stp>
        <stp>46198</stp>
        <stp/>
        <tr r="L221" s="1"/>
      </tp>
      <tp>
        <v>4.0890000000000004</v>
        <stp/>
        <stp>P</stp>
        <stp>0</stp>
        <stp>BND</stp>
        <stp>KR6095231F17</stp>
        <stp>민평3사 수익률(산출일)</stp>
        <stp>46198</stp>
        <stp/>
        <tr r="CF38" s="1"/>
      </tp>
      <tp>
        <v>4.4580000000000002</v>
        <stp/>
        <stp>P</stp>
        <stp>0</stp>
        <stp>BND</stp>
        <stp>KR356102GD62</stp>
        <stp>민평3사 수익률(산출일)</stp>
        <stp>46198</stp>
        <stp/>
        <tr r="L232" s="1"/>
      </tp>
      <tp>
        <v>4.0220000000000002</v>
        <stp/>
        <stp>P</stp>
        <stp>0</stp>
        <stp>BND</stp>
        <stp>KR350801GB61</stp>
        <stp>민평3사 수익률(산출일)</stp>
        <stp>46198</stp>
        <stp/>
        <tr r="L211" s="1"/>
      </tp>
      <tp>
        <v>3.6789999999999998</v>
        <stp/>
        <stp>P</stp>
        <stp>0</stp>
        <stp>BND</stp>
        <stp>KR350109GC69</stp>
        <stp>민평3사 수익률(산출일)</stp>
        <stp>46198</stp>
        <stp/>
        <tr r="L350" s="1"/>
      </tp>
      <tp>
        <v>4.1379999999999999</v>
        <stp/>
        <stp>P</stp>
        <stp>0</stp>
        <stp>BND</stp>
        <stp>KR6021241F11</stp>
        <stp>민평3사 수익률(산출일)</stp>
        <stp>46198</stp>
        <stp/>
        <tr r="BT234" s="1"/>
      </tp>
      <tp>
        <v>4.181</v>
        <stp/>
        <stp>P</stp>
        <stp>0</stp>
        <stp>BND</stp>
        <stp>KR6152252E11</stp>
        <stp>민평3사 수익률(산출일)</stp>
        <stp>46198</stp>
        <stp/>
        <tr r="L375" s="1"/>
      </tp>
      <tp t="s">
        <v/>
        <stp/>
        <stp>P</stp>
        <stp>0</stp>
        <stp>BND</stp>
        <stp>KR70192Z0001</stp>
        <stp>민평3사 수익률(산출일)</stp>
        <stp>46198</stp>
        <stp/>
        <tr r="EB13" s="1"/>
      </tp>
      <tp>
        <v>4.7050000000000001</v>
        <stp/>
        <stp>P</stp>
        <stp>0</stp>
        <stp>BND</stp>
        <stp>KR6030624F68</stp>
        <stp>민평3사 수익률(산출일)</stp>
        <stp>46198</stp>
        <stp/>
        <tr r="BT69" s="1"/>
      </tp>
      <tp>
        <v>4.133</v>
        <stp/>
        <stp>P</stp>
        <stp>0</stp>
        <stp>BND</stp>
        <stp>KR6095238F28</stp>
        <stp>민평3사 수익률(산출일)</stp>
        <stp>46198</stp>
        <stp/>
        <tr r="CF81" s="1"/>
      </tp>
      <tp>
        <v>3.0960000000000001</v>
        <stp/>
        <stp>P</stp>
        <stp>0</stp>
        <stp>BND</stp>
        <stp>KR6029882F83</stp>
        <stp>민평3사 수익률(산출일)</stp>
        <stp>46198</stp>
        <stp/>
        <tr r="DD16" s="1"/>
      </tp>
      <tp>
        <v>3.9809999999999999</v>
        <stp/>
        <stp>P</stp>
        <stp>0</stp>
        <stp>BND</stp>
        <stp>KR101501DF78</stp>
        <stp>민평3사 수익률(산출일)</stp>
        <stp>46198</stp>
        <stp/>
        <tr r="EB79" s="1"/>
      </tp>
      <tp>
        <v>3.226</v>
        <stp/>
        <stp>P</stp>
        <stp>0</stp>
        <stp>BND</stp>
        <stp>KR6065906D99</stp>
        <stp>민평3사 수익률(산출일)</stp>
        <stp>46198</stp>
        <stp/>
        <tr r="CF153" s="1"/>
      </tp>
      <tp>
        <v>3.5489999999999999</v>
        <stp/>
        <stp>P</stp>
        <stp>0</stp>
        <stp>BND</stp>
        <stp>KR6373221F28</stp>
        <stp>민평3사 수익률(산출일)</stp>
        <stp>46198</stp>
        <stp/>
        <tr r="L15" s="1"/>
      </tp>
      <tp>
        <v>5.0750000000000002</v>
        <stp/>
        <stp>P</stp>
        <stp>0</stp>
        <stp>BND</stp>
        <stp>KR6046299F27</stp>
        <stp>민평3사 수익률(산출일)</stp>
        <stp>46198</stp>
        <stp/>
        <tr r="CR43" s="1"/>
      </tp>
      <tp>
        <v>4.1550000000000002</v>
        <stp/>
        <stp>P</stp>
        <stp>0</stp>
        <stp>BND</stp>
        <stp>KR600494AE98</stp>
        <stp>민평3사 수익률(산출일)</stp>
        <stp>46198</stp>
        <stp/>
        <tr r="L177" s="1"/>
      </tp>
      <tp>
        <v>4.1500000000000004</v>
        <stp/>
        <stp>P</stp>
        <stp>0</stp>
        <stp>BND</stp>
        <stp>KR355601GG59</stp>
        <stp>민평3사 수익률(산출일)</stp>
        <stp>46198</stp>
        <stp/>
        <tr r="DD66" s="1"/>
      </tp>
      <tp>
        <v>3.7170000000000001</v>
        <stp/>
        <stp>P</stp>
        <stp>0</stp>
        <stp>BND</stp>
        <stp>KR6039492E44</stp>
        <stp>민평3사 수익률(산출일)</stp>
        <stp>46198</stp>
        <stp/>
        <tr r="BT33" s="1"/>
      </tp>
      <tp>
        <v>4.2720000000000002</v>
        <stp/>
        <stp>P</stp>
        <stp>0</stp>
        <stp>BND</stp>
        <stp>KR6010951E98</stp>
        <stp>민평3사 수익률(산출일)</stp>
        <stp>46198</stp>
        <stp/>
        <tr r="L186" s="1"/>
      </tp>
      <tp>
        <v>3.2789999999999999</v>
        <stp/>
        <stp>P</stp>
        <stp>0</stp>
        <stp>BND</stp>
        <stp>KR6176944D98</stp>
        <stp>민평3사 수익률(산출일)</stp>
        <stp>46198</stp>
        <stp/>
        <tr r="CF145" s="1"/>
      </tp>
      <tp>
        <v>4.4340000000000002</v>
        <stp/>
        <stp>P</stp>
        <stp>0</stp>
        <stp>BND</stp>
        <stp>KR6176942F98</stp>
        <stp>민평3사 수익률(산출일)</stp>
        <stp>46198</stp>
        <stp/>
        <tr r="CR29" s="1"/>
      </tp>
      <tp>
        <v>4.2720000000000002</v>
        <stp/>
        <stp>P</stp>
        <stp>0</stp>
        <stp>BND</stp>
        <stp>KR6205495G46</stp>
        <stp>민평3사 수익률(산출일)</stp>
        <stp>46198</stp>
        <stp/>
        <tr r="L121" s="1"/>
      </tp>
      <tp>
        <v>4.1529999999999996</v>
        <stp/>
        <stp>P</stp>
        <stp>0</stp>
        <stp>BND</stp>
        <stp>KR6004946E99</stp>
        <stp>민평3사 수익률(산출일)</stp>
        <stp>46198</stp>
        <stp/>
        <tr r="L196" s="1"/>
      </tp>
      <tp>
        <v>4.0570000000000004</v>
        <stp/>
        <stp>P</stp>
        <stp>0</stp>
        <stp>BND</stp>
        <stp>KR357501GG56</stp>
        <stp>민평3사 수익률(산출일)</stp>
        <stp>46198</stp>
        <stp/>
        <tr r="DD69" s="1"/>
      </tp>
      <tp>
        <v>4.157</v>
        <stp/>
        <stp>P</stp>
        <stp>0</stp>
        <stp>BND</stp>
        <stp>KR357502GG55</stp>
        <stp>민평3사 수익률(산출일)</stp>
        <stp>46198</stp>
        <stp/>
        <tr r="DD82" s="1"/>
      </tp>
      <tp>
        <v>4.29</v>
        <stp/>
        <stp>P</stp>
        <stp>0</stp>
        <stp>BND</stp>
        <stp>KR614017CC14</stp>
        <stp>민평3사 수익률(산출일)</stp>
        <stp>46198</stp>
        <stp/>
        <tr r="L201" s="1"/>
      </tp>
      <tp>
        <v>4.3179999999999996</v>
        <stp/>
        <stp>P</stp>
        <stp>0</stp>
        <stp>BND</stp>
        <stp>KR6030622F60</stp>
        <stp>민평3사 수익률(산출일)</stp>
        <stp>46198</stp>
        <stp/>
        <tr r="BT237" s="1"/>
      </tp>
      <tp>
        <v>3.7050000000000001</v>
        <stp/>
        <stp>P</stp>
        <stp>0</stp>
        <stp>BND</stp>
        <stp>KR6138101E13</stp>
        <stp>민평3사 수익률(산출일)</stp>
        <stp>46198</stp>
        <stp/>
        <tr r="L285" s="1"/>
      </tp>
      <tp>
        <v>4.5250000000000004</v>
        <stp/>
        <stp>P</stp>
        <stp>0</stp>
        <stp>BND</stp>
        <stp>KR6063624E60</stp>
        <stp>민평3사 수익률(산출일)</stp>
        <stp>46198</stp>
        <stp/>
        <tr r="X30" s="1"/>
      </tp>
      <tp>
        <v>3.9449999999999998</v>
        <stp/>
        <stp>P</stp>
        <stp>0</stp>
        <stp>BND</stp>
        <stp>KR6175332G30</stp>
        <stp>민평3사 수익률(산출일)</stp>
        <stp>46198</stp>
        <stp/>
        <tr r="DD15" s="1"/>
      </tp>
      <tp>
        <v>3.6880000000000002</v>
        <stp/>
        <stp>P</stp>
        <stp>0</stp>
        <stp>BND</stp>
        <stp>KR6066562754</stp>
        <stp>민평3사 수익률(산출일)</stp>
        <stp>46198</stp>
        <stp/>
        <tr r="DD276" s="1"/>
      </tp>
      <tp>
        <v>3.3109999999999999</v>
        <stp/>
        <stp>P</stp>
        <stp>0</stp>
        <stp>BND</stp>
        <stp>KR6205494E49</stp>
        <stp>민평3사 수익률(산출일)</stp>
        <stp>46198</stp>
        <stp/>
        <tr r="BT165" s="1"/>
      </tp>
      <tp>
        <v>4.2889999999999997</v>
        <stp/>
        <stp>P</stp>
        <stp>0</stp>
        <stp>BND</stp>
        <stp>KR6032714F73</stp>
        <stp>민평3사 수익률(산출일)</stp>
        <stp>46198</stp>
        <stp/>
        <tr r="L205" s="1"/>
      </tp>
      <tp>
        <v>4.359</v>
        <stp/>
        <stp>P</stp>
        <stp>0</stp>
        <stp>BND</stp>
        <stp>KR6029272F24</stp>
        <stp>민평3사 수익률(산출일)</stp>
        <stp>46198</stp>
        <stp/>
        <tr r="EB14" s="1"/>
      </tp>
      <tp>
        <v>4.1440000000000001</v>
        <stp/>
        <stp>P</stp>
        <stp>0</stp>
        <stp>BND</stp>
        <stp>KR6105562F54</stp>
        <stp>민평3사 수익률(산출일)</stp>
        <stp>46198</stp>
        <stp/>
        <tr r="L190" s="1"/>
      </tp>
      <tp>
        <v>3.7370000000000001</v>
        <stp/>
        <stp>P</stp>
        <stp>0</stp>
        <stp>BND</stp>
        <stp>KR6063623E61</stp>
        <stp>민평3사 수익률(산출일)</stp>
        <stp>46198</stp>
        <stp/>
        <tr r="DD86" s="1"/>
      </tp>
      <tp>
        <v>4.3639999999999999</v>
        <stp/>
        <stp>P</stp>
        <stp>0</stp>
        <stp>BND</stp>
        <stp>KR6032715F72</stp>
        <stp>민평3사 수익률(산출일)</stp>
        <stp>46198</stp>
        <stp/>
        <tr r="L219" s="1"/>
      </tp>
      <tp>
        <v>4.0529999999999999</v>
        <stp/>
        <stp>P</stp>
        <stp>0</stp>
        <stp>BND</stp>
        <stp>KR353601GG54</stp>
        <stp>민평3사 수익률(산출일)</stp>
        <stp>46198</stp>
        <stp/>
        <tr r="DD78" s="1"/>
      </tp>
      <tp>
        <v>4.1420000000000003</v>
        <stp/>
        <stp>P</stp>
        <stp>0</stp>
        <stp>BND</stp>
        <stp>KR350102G957</stp>
        <stp>민평3사 수익률(산출일)</stp>
        <stp>46198</stp>
        <stp/>
        <tr r="DD250" s="1"/>
      </tp>
      <tp>
        <v>4.2910000000000004</v>
        <stp/>
        <stp>P</stp>
        <stp>0</stp>
        <stp>BND</stp>
        <stp>KR350802GG57</stp>
        <stp>민평3사 수익률(산출일)</stp>
        <stp>46198</stp>
        <stp/>
        <tr r="DD169" s="1"/>
      </tp>
      <tp>
        <v>3.7229999999999999</v>
        <stp/>
        <stp>P</stp>
        <stp>0</stp>
        <stp>BND</stp>
        <stp>KR6032641E64</stp>
        <stp>민평3사 수익률(산출일)</stp>
        <stp>46198</stp>
        <stp/>
        <tr r="BT223" s="1"/>
      </tp>
      <tp>
        <v>4.3049999999999997</v>
        <stp/>
        <stp>P</stp>
        <stp>0</stp>
        <stp>BND</stp>
        <stp>KR6032717E71</stp>
        <stp>민평3사 수익률(산출일)</stp>
        <stp>46198</stp>
        <stp/>
        <tr r="L46" s="1"/>
      </tp>
      <tp>
        <v>4.0519999999999996</v>
        <stp/>
        <stp>P</stp>
        <stp>0</stp>
        <stp>BND</stp>
        <stp>KR6095925E92</stp>
        <stp>민평3사 수익률(산출일)</stp>
        <stp>46198</stp>
        <stp/>
        <tr r="BT228" s="1"/>
      </tp>
      <tp>
        <v>4.4790000000000001</v>
        <stp/>
        <stp>P</stp>
        <stp>0</stp>
        <stp>BND</stp>
        <stp>KR602378BD79</stp>
        <stp>민평3사 수익률(산출일)</stp>
        <stp>46198</stp>
        <stp/>
        <tr r="X18" s="1"/>
      </tp>
      <tp>
        <v>4.0039999999999996</v>
        <stp/>
        <stp>P</stp>
        <stp>0</stp>
        <stp>BND</stp>
        <stp>KR352701GG55</stp>
        <stp>민평3사 수익률(산출일)</stp>
        <stp>46198</stp>
        <stp/>
        <tr r="DD68" s="1"/>
      </tp>
      <tp>
        <v>3.7010000000000001</v>
        <stp/>
        <stp>P</stp>
        <stp>0</stp>
        <stp>BND</stp>
        <stp>KR101501DD70</stp>
        <stp>민평3사 수익률(산출일)</stp>
        <stp>46198</stp>
        <stp/>
        <tr r="L152" s="1"/>
      </tp>
      <tp>
        <v>5.13</v>
        <stp/>
        <stp>P</stp>
        <stp>0</stp>
        <stp>BND</stp>
        <stp>KR609523DF25</stp>
        <stp>민평3사 수익률(산출일)</stp>
        <stp>46198</stp>
        <stp/>
        <tr r="CR46" s="1"/>
      </tp>
      <tp>
        <v>4.0880000000000001</v>
        <stp/>
        <stp>P</stp>
        <stp>0</stp>
        <stp>BND</stp>
        <stp>KR6008561G50</stp>
        <stp>민평3사 수익률(산출일)</stp>
        <stp>46198</stp>
        <stp/>
        <tr r="DD32" s="1"/>
      </tp>
      <tp>
        <v>4.08</v>
        <stp/>
        <stp>P</stp>
        <stp>0</stp>
        <stp>BND</stp>
        <stp>KR6145765F71</stp>
        <stp>민평3사 수익률(산출일)</stp>
        <stp>46198</stp>
        <stp/>
        <tr r="DD110" s="1"/>
      </tp>
      <tp>
        <v>4.1399999999999997</v>
        <stp/>
        <stp>P</stp>
        <stp>0</stp>
        <stp>BND</stp>
        <stp>KR6079314F37</stp>
        <stp>민평3사 수익률(산출일)</stp>
        <stp>46198</stp>
        <stp/>
        <tr r="DD118" s="1"/>
      </tp>
      <tp>
        <v>4.3049999999999997</v>
        <stp/>
        <stp>P</stp>
        <stp>0</stp>
        <stp>BND</stp>
        <stp>KR6063323234</stp>
        <stp>민평3사 수익률(산출일)</stp>
        <stp>46198</stp>
        <stp/>
        <tr r="L112" s="1"/>
      </tp>
      <tp>
        <v>4.343</v>
        <stp/>
        <stp>P</stp>
        <stp>0</stp>
        <stp>BND</stp>
        <stp>KR6373223E27</stp>
        <stp>민평3사 수익률(산출일)</stp>
        <stp>46198</stp>
        <stp/>
        <tr r="BT49" s="1"/>
      </tp>
      <tp>
        <v>3.3319999999999999</v>
        <stp/>
        <stp>P</stp>
        <stp>0</stp>
        <stp>BND</stp>
        <stp>KR6082974D91</stp>
        <stp>민평3사 수익률(산출일)</stp>
        <stp>46198</stp>
        <stp/>
        <tr r="CF29" s="1"/>
      </tp>
      <tp>
        <v>4.4989999999999997</v>
        <stp/>
        <stp>P</stp>
        <stp>0</stp>
        <stp>BND</stp>
        <stp>KR350702GE50</stp>
        <stp>민평3사 수익률(산출일)</stp>
        <stp>46198</stp>
        <stp/>
        <tr r="DD146" s="1"/>
      </tp>
      <tp>
        <v>4.1500000000000004</v>
        <stp/>
        <stp>P</stp>
        <stp>0</stp>
        <stp>BND</stp>
        <stp>KR6030203E27</stp>
        <stp>민평3사 수익률(산출일)</stp>
        <stp>46198</stp>
        <stp/>
        <tr r="L16" s="1"/>
      </tp>
      <tp>
        <v>4.4889999999999999</v>
        <stp/>
        <stp>P</stp>
        <stp>0</stp>
        <stp>BND</stp>
        <stp>KR6373224E26</stp>
        <stp>민평3사 수익률(산출일)</stp>
        <stp>46198</stp>
        <stp/>
        <tr r="L27" s="1"/>
      </tp>
      <tp>
        <v>3.2040000000000002</v>
        <stp/>
        <stp>P</stp>
        <stp>0</stp>
        <stp>BND</stp>
        <stp>KR6019807E87</stp>
        <stp>민평3사 수익률(산출일)</stp>
        <stp>46198</stp>
        <stp/>
        <tr r="CF57" s="1"/>
      </tp>
      <tp>
        <v>0</v>
        <stp/>
        <stp>H</stp>
        <stp>x1.cJM71_0</stp>
        <stp>104</stp>
        <stp>1185616</stp>
        <tr r="E2" s="4"/>
      </tp>
      <tp>
        <v>3.9489999999999998</v>
        <stp/>
        <stp>P</stp>
        <stp>0</stp>
        <stp>BND</stp>
        <stp>KR352501GD50</stp>
        <stp>민평3사 수익률(산출일)</stp>
        <stp>46198</stp>
        <stp/>
        <tr r="DD292" s="1"/>
      </tp>
      <tp>
        <v>4.1580000000000004</v>
        <stp/>
        <stp>P</stp>
        <stp>0</stp>
        <stp>BND</stp>
        <stp>KR353602GG53</stp>
        <stp>민평3사 수익률(산출일)</stp>
        <stp>46198</stp>
        <stp/>
        <tr r="DD248" s="1"/>
      </tp>
      <tp>
        <v>3.2240000000000002</v>
        <stp/>
        <stp>P</stp>
        <stp>0</stp>
        <stp>BND</stp>
        <stp>KR601980WD84</stp>
        <stp>민평3사 수익률(산출일)</stp>
        <stp>46198</stp>
        <stp/>
        <tr r="DD166" s="1"/>
      </tp>
      <tp>
        <v>3.887</v>
        <stp/>
        <stp>P</stp>
        <stp>0</stp>
        <stp>BND</stp>
        <stp>KR6032713E75</stp>
        <stp>민평3사 수익률(산출일)</stp>
        <stp>46198</stp>
        <stp/>
        <tr r="L103" s="1"/>
      </tp>
      <tp>
        <v>3.2090000000000001</v>
        <stp/>
        <stp>P</stp>
        <stp>0</stp>
        <stp>BND</stp>
        <stp>KR6079315G35</stp>
        <stp>민평3사 수익률(산출일)</stp>
        <stp>46198</stp>
        <stp/>
        <tr r="CF149" s="1"/>
      </tp>
      <tp>
        <v>4.1859999999999999</v>
        <stp/>
        <stp>P</stp>
        <stp>0</stp>
        <stp>BND</stp>
        <stp>KR6105562G53</stp>
        <stp>민평3사 수익률(산출일)</stp>
        <stp>46198</stp>
        <stp/>
        <tr r="BT19" s="1"/>
      </tp>
      <tp>
        <v>4.4390000000000001</v>
        <stp/>
        <stp>P</stp>
        <stp>0</stp>
        <stp>BND</stp>
        <stp>KR6066563752</stp>
        <stp>민평3사 수익률(산출일)</stp>
        <stp>46198</stp>
        <stp/>
        <tr r="L53" s="1"/>
      </tp>
      <tp>
        <v>4.1500000000000004</v>
        <stp/>
        <stp>P</stp>
        <stp>0</stp>
        <stp>BND</stp>
        <stp>KR6004945E90</stp>
        <stp>민평3사 수익률(산출일)</stp>
        <stp>46198</stp>
        <stp/>
        <tr r="DD137" s="1"/>
      </tp>
      <tp>
        <v>3.6120000000000001</v>
        <stp/>
        <stp>P</stp>
        <stp>0</stp>
        <stp>BND</stp>
        <stp>KR6105564753</stp>
        <stp>민평3사 수익률(산출일)</stp>
        <stp>46198</stp>
        <stp/>
        <tr r="L147" s="1"/>
      </tp>
      <tp>
        <v>3.97</v>
        <stp/>
        <stp>P</stp>
        <stp>0</stp>
        <stp>BND</stp>
        <stp>KR354425GD75</stp>
        <stp>민평3사 수익률(산출일)</stp>
        <stp>46198</stp>
        <stp/>
        <tr r="L309" s="1"/>
        <tr r="BT146" s="1"/>
      </tp>
      <tp>
        <v>4.0069999999999997</v>
        <stp/>
        <stp>P</stp>
        <stp>0</stp>
        <stp>BND</stp>
        <stp>KR310213GG47</stp>
        <stp>민평3사 수익률(산출일)</stp>
        <stp>46198</stp>
        <stp/>
        <tr r="BT54" s="1"/>
      </tp>
      <tp>
        <v>4.1870000000000003</v>
        <stp/>
        <stp>P</stp>
        <stp>0</stp>
        <stp>BND</stp>
        <stp>KR350703GA53</stp>
        <stp>민평3사 수익률(산출일)</stp>
        <stp>46198</stp>
        <stp/>
        <tr r="L326" s="1"/>
        <tr r="X26" s="1"/>
      </tp>
      <tp>
        <v>4.1440000000000001</v>
        <stp/>
        <stp>P</stp>
        <stp>0</stp>
        <stp>BND</stp>
        <stp>KR6082971F92</stp>
        <stp>민평3사 수익률(산출일)</stp>
        <stp>46198</stp>
        <stp/>
        <tr r="L165" s="1"/>
      </tp>
      <tp>
        <v>4.2809999999999997</v>
        <stp/>
        <stp>P</stp>
        <stp>0</stp>
        <stp>BND</stp>
        <stp>KR6285132F14</stp>
        <stp>민평3사 수익률(산출일)</stp>
        <stp>46198</stp>
        <stp/>
        <tr r="EB37" s="1"/>
      </tp>
      <tp>
        <v>4.3029999999999999</v>
        <stp/>
        <stp>P</stp>
        <stp>0</stp>
        <stp>BND</stp>
        <stp>KR603062AE78</stp>
        <stp>민평3사 수익률(산출일)</stp>
        <stp>46198</stp>
        <stp/>
        <tr r="BT48" s="1"/>
      </tp>
      <tp>
        <v>3.2930000000000001</v>
        <stp/>
        <stp>P</stp>
        <stp>0</stp>
        <stp>BND</stp>
        <stp>KR103502G768</stp>
        <stp>민평3사 수익률(산출일)</stp>
        <stp>46198</stp>
        <stp/>
        <tr r="L68" s="1"/>
        <tr r="BT246" s="1"/>
      </tp>
      <tp>
        <v>4.2439999999999998</v>
        <stp/>
        <stp>P</stp>
        <stp>0</stp>
        <stp>BND</stp>
        <stp>KR350108GA47</stp>
        <stp>민평3사 수익률(산출일)</stp>
        <stp>46198</stp>
        <stp/>
        <tr r="L360" s="1"/>
      </tp>
      <tp>
        <v>3.2010000000000001</v>
        <stp/>
        <stp>P</stp>
        <stp>0</stp>
        <stp>BND</stp>
        <stp>KR6001631E79</stp>
        <stp>민평3사 수익률(산출일)</stp>
        <stp>46198</stp>
        <stp/>
        <tr r="CF87" s="1"/>
      </tp>
      <tp>
        <v>3.2360000000000002</v>
        <stp/>
        <stp>P</stp>
        <stp>0</stp>
        <stp>BND</stp>
        <stp>KR6006802D98</stp>
        <stp>민평3사 수익률(산출일)</stp>
        <stp>46198</stp>
        <stp/>
        <tr r="L322" s="1"/>
      </tp>
      <tp>
        <v>4.298</v>
        <stp/>
        <stp>P</stp>
        <stp>0</stp>
        <stp>BND</stp>
        <stp>KR603271AD68</stp>
        <stp>민평3사 수익률(산출일)</stp>
        <stp>46198</stp>
        <stp/>
        <tr r="L243" s="1"/>
      </tp>
      <tp>
        <v>3.5649999999999999</v>
        <stp/>
        <stp>P</stp>
        <stp>0</stp>
        <stp>BND</stp>
        <stp>KR350104G748</stp>
        <stp>민평3사 수익률(산출일)</stp>
        <stp>46198</stp>
        <stp/>
        <tr r="DD258" s="1"/>
      </tp>
      <tp>
        <v>4.0030000000000001</v>
        <stp/>
        <stp>P</stp>
        <stp>0</stp>
        <stp>BND</stp>
        <stp>KR6421093D14</stp>
        <stp>민평3사 수익률(산출일)</stp>
        <stp>46198</stp>
        <stp/>
        <tr r="L65" s="1"/>
      </tp>
      <tp>
        <v>4.2960000000000003</v>
        <stp/>
        <stp>P</stp>
        <stp>0</stp>
        <stp>BND</stp>
        <stp>KR6032713D68</stp>
        <stp>민평3사 수익률(산출일)</stp>
        <stp>46198</stp>
        <stp/>
        <tr r="L106" s="1"/>
      </tp>
      <tp>
        <v>3.1030000000000002</v>
        <stp/>
        <stp>P</stp>
        <stp>0</stp>
        <stp>BND</stp>
        <stp>KR6037711E68</stp>
        <stp>민평3사 수익률(산출일)</stp>
        <stp>46198</stp>
        <stp/>
        <tr r="CF41" s="1"/>
      </tp>
      <tp>
        <v>4.0049999999999999</v>
        <stp/>
        <stp>P</stp>
        <stp>0</stp>
        <stp>BND</stp>
        <stp>KR6421092F13</stp>
        <stp>민평3사 수익률(산출일)</stp>
        <stp>46198</stp>
        <stp/>
        <tr r="L149" s="1"/>
      </tp>
      <tp>
        <v>4.343</v>
        <stp/>
        <stp>P</stp>
        <stp>0</stp>
        <stp>BND</stp>
        <stp>KR6205493G55</stp>
        <stp>민평3사 수익률(산출일)</stp>
        <stp>46198</stp>
        <stp/>
        <tr r="L129" s="1"/>
      </tp>
      <tp>
        <v>4.3209999999999997</v>
        <stp/>
        <stp>P</stp>
        <stp>0</stp>
        <stp>BND</stp>
        <stp>KR352702GF48</stp>
        <stp>민평3사 수익률(산출일)</stp>
        <stp>46198</stp>
        <stp/>
        <tr r="BT134" s="1"/>
      </tp>
      <tp>
        <v>3.5430000000000001</v>
        <stp/>
        <stp>P</stp>
        <stp>0</stp>
        <stp>BND</stp>
        <stp>KR381005GE42</stp>
        <stp>민평3사 수익률(산출일)</stp>
        <stp>46198</stp>
        <stp/>
        <tr r="L92" s="1"/>
      </tp>
      <tp>
        <v>4.5119999999999996</v>
        <stp/>
        <stp>P</stp>
        <stp>0</stp>
        <stp>BND</stp>
        <stp>KR6003492F56</stp>
        <stp>민평3사 수익률(산출일)</stp>
        <stp>46198</stp>
        <stp/>
        <tr r="CR9" s="1"/>
      </tp>
      <tp>
        <v>4.38</v>
        <stp/>
        <stp>P</stp>
        <stp>0</stp>
        <stp>BND</stp>
        <stp>KR6097249G38</stp>
        <stp>민평3사 수익률(산출일)</stp>
        <stp>46198</stp>
        <stp/>
        <tr r="DD165" s="1"/>
      </tp>
      <tp>
        <v>3.262</v>
        <stp/>
        <stp>P</stp>
        <stp>0</stp>
        <stp>BND</stp>
        <stp>KR6176946D88</stp>
        <stp>민평3사 수익률(산출일)</stp>
        <stp>46198</stp>
        <stp/>
        <tr r="CF39" s="1"/>
      </tp>
      <tp>
        <v>4.8719999999999999</v>
        <stp/>
        <stp>P</stp>
        <stp>0</stp>
        <stp>BND</stp>
        <stp>KR6129552F49</stp>
        <stp>민평3사 수익률(산출일)</stp>
        <stp>46198</stp>
        <stp/>
        <tr r="CR26" s="1"/>
      </tp>
      <tp>
        <v>4.2869999999999999</v>
        <stp/>
        <stp>P</stp>
        <stp>0</stp>
        <stp>BND</stp>
        <stp>KR6205493F56</stp>
        <stp>민평3사 수익률(산출일)</stp>
        <stp>46198</stp>
        <stp/>
        <tr r="L184" s="1"/>
      </tp>
      <tp>
        <v>4.5979999999999999</v>
        <stp/>
        <stp>P</stp>
        <stp>0</stp>
        <stp>BND</stp>
        <stp>KR6004942A89</stp>
        <stp>민평3사 수익률(산출일)</stp>
        <stp>46198</stp>
        <stp/>
        <tr r="EB76" s="1"/>
      </tp>
      <tp>
        <v>3.625</v>
        <stp/>
        <stp>P</stp>
        <stp>0</stp>
        <stp>BND</stp>
        <stp>KR103501GF63</stp>
        <stp>민평3사 수익률(산출일)</stp>
        <stp>46198</stp>
        <stp/>
        <tr r="BH11" s="1"/>
        <tr r="BT197" s="1"/>
      </tp>
      <tp>
        <v>3.2549999999999999</v>
        <stp/>
        <stp>P</stp>
        <stp>0</stp>
        <stp>BND</stp>
        <stp>KR601980FE92</stp>
        <stp>민평3사 수익률(산출일)</stp>
        <stp>46198</stp>
        <stp/>
        <tr r="CF42" s="1"/>
        <tr r="BT162" s="1"/>
      </tp>
      <tp>
        <v>4.4560000000000004</v>
        <stp/>
        <stp>P</stp>
        <stp>0</stp>
        <stp>BND</stp>
        <stp>KR6169375F24</stp>
        <stp>민평3사 수익률(산출일)</stp>
        <stp>46198</stp>
        <stp/>
        <tr r="EB26" s="1"/>
      </tp>
      <tp>
        <v>4.3769999999999998</v>
        <stp/>
        <stp>P</stp>
        <stp>0</stp>
        <stp>BND</stp>
        <stp>KR6004023G10</stp>
        <stp>민평3사 수익률(산출일)</stp>
        <stp>46198</stp>
        <stp/>
        <tr r="L49" s="1"/>
      </tp>
      <tp>
        <v>4.2160000000000002</v>
        <stp/>
        <stp>P</stp>
        <stp>0</stp>
        <stp>BND</stp>
        <stp>KR6033661F74</stp>
        <stp>민평3사 수익률(산출일)</stp>
        <stp>46198</stp>
        <stp/>
        <tr r="DD127" s="1"/>
      </tp>
      <tp>
        <v>3.9409999999999998</v>
        <stp/>
        <stp>P</stp>
        <stp>0</stp>
        <stp>BND</stp>
        <stp>KR2055022E50</stp>
        <stp>민평3사 수익률(산출일)</stp>
        <stp>46198</stp>
        <stp/>
        <tr r="L347" s="1"/>
      </tp>
      <tp>
        <v>4.26</v>
        <stp/>
        <stp>P</stp>
        <stp>0</stp>
        <stp>BND</stp>
        <stp>KR6064311G23</stp>
        <stp>민평3사 수익률(산출일)</stp>
        <stp>46198</stp>
        <stp/>
        <tr r="DD111" s="1"/>
      </tp>
      <tp>
        <v>3.7749999999999999</v>
        <stp/>
        <stp>P</stp>
        <stp>0</stp>
        <stp>BND</stp>
        <stp>KR103501GG62</stp>
        <stp>민평3사 수익률(산출일)</stp>
        <stp>46198</stp>
        <stp/>
        <tr r="L146" s="1"/>
        <tr r="BT92" s="1"/>
        <tr r="EB82" s="1"/>
      </tp>
      <tp>
        <v>4.173</v>
        <stp/>
        <stp>P</stp>
        <stp>0</stp>
        <stp>BND</stp>
        <stp>KR103503GG60</stp>
        <stp>민평3사 수익률(산출일)</stp>
        <stp>46198</stp>
        <stp/>
        <tr r="L93" s="1"/>
        <tr r="BT25" s="1"/>
        <tr r="DD273" s="1"/>
      </tp>
      <tp>
        <v>3.5459999999999998</v>
        <stp/>
        <stp>P</stp>
        <stp>0</stp>
        <stp>BND</stp>
        <stp>KR350801G947</stp>
        <stp>민평3사 수익률(산출일)</stp>
        <stp>46198</stp>
        <stp/>
        <tr r="L364" s="1"/>
        <tr r="DD270" s="1"/>
      </tp>
      <tp>
        <v>4.351</v>
        <stp/>
        <stp>P</stp>
        <stp>0</stp>
        <stp>BND</stp>
        <stp>KR350201GG47</stp>
        <stp>민평3사 수익률(산출일)</stp>
        <stp>46198</stp>
        <stp/>
        <tr r="DD100" s="1"/>
      </tp>
      <tp>
        <v>4.4359999999999999</v>
        <stp/>
        <stp>P</stp>
        <stp>0</stp>
        <stp>BND</stp>
        <stp>KR6004023F11</stp>
        <stp>민평3사 수익률(산출일)</stp>
        <stp>46198</stp>
        <stp/>
        <tr r="DD251" s="1"/>
      </tp>
      <tp>
        <v>4.1740000000000004</v>
        <stp/>
        <stp>P</stp>
        <stp>0</stp>
        <stp>BND</stp>
        <stp>KR6169374F25</stp>
        <stp>민평3사 수익률(산출일)</stp>
        <stp>46198</stp>
        <stp/>
        <tr r="EB24" s="1"/>
      </tp>
      <tp>
        <v>4.2469999999999999</v>
        <stp/>
        <stp>P</stp>
        <stp>0</stp>
        <stp>BND</stp>
        <stp>KR6004022G11</stp>
        <stp>민평3사 수익률(산출일)</stp>
        <stp>46198</stp>
        <stp/>
        <tr r="L266" s="1"/>
        <tr r="DD119" s="1"/>
      </tp>
      <tp>
        <v>4.4539999999999997</v>
        <stp/>
        <stp>P</stp>
        <stp>0</stp>
        <stp>BND</stp>
        <stp>KR356103GD46</stp>
        <stp>민평3사 수익률(산출일)</stp>
        <stp>46198</stp>
        <stp/>
        <tr r="X21" s="1"/>
      </tp>
      <tp>
        <v>3.8380000000000001</v>
        <stp/>
        <stp>P</stp>
        <stp>0</stp>
        <stp>BND</stp>
        <stp>KR101501DE61</stp>
        <stp>민평3사 수익률(산출일)</stp>
        <stp>46198</stp>
        <stp/>
        <tr r="BT252" s="1"/>
      </tp>
      <tp>
        <v>4.2009999999999996</v>
        <stp/>
        <stp>P</stp>
        <stp>0</stp>
        <stp>BND</stp>
        <stp>KR352201GF44</stp>
        <stp>민평3사 수익률(산출일)</stp>
        <stp>46198</stp>
        <stp/>
        <tr r="L222" s="1"/>
      </tp>
      <tp>
        <v>4.1449999999999996</v>
        <stp/>
        <stp>P</stp>
        <stp>0</stp>
        <stp>BND</stp>
        <stp>KR103502GF62</stp>
        <stp>민평3사 수익률(산출일)</stp>
        <stp>46198</stp>
        <stp/>
        <tr r="AV10" s="1"/>
        <tr r="BT189" s="1"/>
        <tr r="DD17" s="1"/>
      </tp>
      <tp>
        <v>4.2389999999999999</v>
        <stp/>
        <stp>P</stp>
        <stp>0</stp>
        <stp>BND</stp>
        <stp>KR350104GA41</stp>
        <stp>민평3사 수익률(산출일)</stp>
        <stp>46198</stp>
        <stp/>
        <tr r="X35" s="1"/>
        <tr r="L273" s="1"/>
      </tp>
      <tp>
        <v>4.3159999999999998</v>
        <stp/>
        <stp>P</stp>
        <stp>0</stp>
        <stp>BND</stp>
        <stp>KR6006281G38</stp>
        <stp>민평3사 수익률(산출일)</stp>
        <stp>46198</stp>
        <stp/>
        <tr r="DD105" s="1"/>
      </tp>
      <tp>
        <v>4.3739999999999997</v>
        <stp/>
        <stp>P</stp>
        <stp>0</stp>
        <stp>BND</stp>
        <stp>KR6003343F24</stp>
        <stp>민평3사 수익률(산출일)</stp>
        <stp>46198</stp>
        <stp/>
        <tr r="CR42" s="1"/>
      </tp>
      <tp>
        <v>4.2779999999999996</v>
        <stp/>
        <stp>P</stp>
        <stp>0</stp>
        <stp>BND</stp>
        <stp>KR6018883A98</stp>
        <stp>민평3사 수익률(산출일)</stp>
        <stp>46198</stp>
        <stp/>
        <tr r="EB43" s="1"/>
      </tp>
      <tp>
        <v>4.3230000000000004</v>
        <stp/>
        <stp>P</stp>
        <stp>0</stp>
        <stp>BND</stp>
        <stp>KR6004022F12</stp>
        <stp>민평3사 수익률(산출일)</stp>
        <stp>46198</stp>
        <stp/>
        <tr r="BT198" s="1"/>
      </tp>
      <tp>
        <v>4.2590000000000003</v>
        <stp/>
        <stp>P</stp>
        <stp>0</stp>
        <stp>BND</stp>
        <stp>KR356105GG41</stp>
        <stp>민평3사 수익률(산출일)</stp>
        <stp>46198</stp>
        <stp/>
        <tr r="L154" s="1"/>
      </tp>
      <tp>
        <v>4.1399999999999997</v>
        <stp/>
        <stp>P</stp>
        <stp>0</stp>
        <stp>BND</stp>
        <stp>KR103502GE63</stp>
        <stp>민평3사 수익률(산출일)</stp>
        <stp>46198</stp>
        <stp/>
        <tr r="L71" s="1"/>
        <tr r="X22" s="1"/>
        <tr r="BT145" s="1"/>
        <tr r="DD14" s="1"/>
      </tp>
      <tp>
        <v>4.1689999999999996</v>
        <stp/>
        <stp>P</stp>
        <stp>0</stp>
        <stp>BND</stp>
        <stp>KR6105562G46</stp>
        <stp>민평3사 수익률(산출일)</stp>
        <stp>46198</stp>
        <stp/>
        <tr r="BT55" s="1"/>
      </tp>
      <tp>
        <v>0.439</v>
        <stp/>
        <stp>P</stp>
        <stp>0</stp>
        <stp>BND</stp>
        <stp>KR103503G865</stp>
        <stp>민평3사 수익률(산출일)</stp>
        <stp>46198</stp>
        <stp/>
        <tr r="L36" s="1"/>
        <tr r="BT283" s="1"/>
        <tr r="DD47" s="1"/>
      </tp>
      <tp>
        <v>4.125</v>
        <stp/>
        <stp>P</stp>
        <stp>0</stp>
        <stp>BND</stp>
        <stp>KR103502GD64</stp>
        <stp>민평3사 수익률(산출일)</stp>
        <stp>46198</stp>
        <stp/>
        <tr r="L336" s="1"/>
        <tr r="AV15" s="1"/>
        <tr r="X43" s="1"/>
        <tr r="BT132" s="1"/>
        <tr r="DD301" s="1"/>
      </tp>
      <tp>
        <v>4.3010000000000002</v>
        <stp/>
        <stp>P</stp>
        <stp>0</stp>
        <stp>BND</stp>
        <stp>KR6095239F35</stp>
        <stp>민평3사 수익률(산출일)</stp>
        <stp>46198</stp>
        <stp/>
        <tr r="CF35" s="1"/>
      </tp>
      <tp>
        <v>3.8889999999999998</v>
        <stp/>
        <stp>P</stp>
        <stp>0</stp>
        <stp>BND</stp>
        <stp>KR6160721F65</stp>
        <stp>민평3사 수익률(산출일)</stp>
        <stp>46198</stp>
        <stp/>
        <tr r="CR19" s="1"/>
      </tp>
      <tp>
        <v>4.0750000000000002</v>
        <stp/>
        <stp>P</stp>
        <stp>0</stp>
        <stp>BND</stp>
        <stp>KR103502GC65</stp>
        <stp>민평3사 수익률(산출일)</stp>
        <stp>46198</stp>
        <stp/>
        <tr r="BT142" s="1"/>
        <tr r="DD245" s="1"/>
        <tr r="L33" s="1"/>
        <tr r="AV16" s="1"/>
      </tp>
      <tp>
        <v>4.3319999999999999</v>
        <stp/>
        <stp>P</stp>
        <stp>0</stp>
        <stp>BND</stp>
        <stp>KR350111GG53</stp>
        <stp>민평3사 수익률(산출일)</stp>
        <stp>46198</stp>
        <stp/>
        <tr r="L26" s="1"/>
      </tp>
      <tp>
        <v>4.4059999999999997</v>
        <stp/>
        <stp>P</stp>
        <stp>0</stp>
        <stp>BND</stp>
        <stp>KR6006801F97</stp>
        <stp>민평3사 수익률(산출일)</stp>
        <stp>46198</stp>
        <stp/>
        <tr r="L229" s="1"/>
      </tp>
      <tp>
        <v>4.5129999999999999</v>
        <stp/>
        <stp>P</stp>
        <stp>0</stp>
        <stp>BND</stp>
        <stp>KR6160722F64</stp>
        <stp>민평3사 수익률(산출일)</stp>
        <stp>46198</stp>
        <stp/>
        <tr r="CR31" s="1"/>
      </tp>
      <tp>
        <v>0</v>
        <stp/>
        <stp>H</stp>
        <stp>x1.bJM71_0</stp>
        <stp>105</stp>
        <stp>1185616</stp>
        <tr r="C2" s="4"/>
      </tp>
      <tp>
        <v>4.2649999999999997</v>
        <stp/>
        <stp>P</stp>
        <stp>0</stp>
        <stp>BND</stp>
        <stp>KR354416GG57</stp>
        <stp>민평3사 수익률(산출일)</stp>
        <stp>46198</stp>
        <stp/>
        <tr r="L43" s="1"/>
      </tp>
      <tp>
        <v>3.8079999999999998</v>
        <stp/>
        <stp>P</stp>
        <stp>0</stp>
        <stp>BND</stp>
        <stp>KR103502G966</stp>
        <stp>민평3사 수익률(산출일)</stp>
        <stp>46198</stp>
        <stp/>
        <tr r="BT74" s="1"/>
        <tr r="L289" s="1"/>
        <tr r="DD38" s="1"/>
      </tp>
      <tp>
        <v>4.0720000000000001</v>
        <stp/>
        <stp>P</stp>
        <stp>0</stp>
        <stp>BND</stp>
        <stp>KR103502GB66</stp>
        <stp>민평3사 수익률(산출일)</stp>
        <stp>46198</stp>
        <stp/>
        <tr r="X39" s="1"/>
        <tr r="L255" s="1"/>
        <tr r="BT273" s="1"/>
        <tr r="DD261" s="1"/>
      </tp>
      <tp>
        <v>3.992</v>
        <stp/>
        <stp>P</stp>
        <stp>0</stp>
        <stp>BND</stp>
        <stp>KR350802GD43</stp>
        <stp>민평3사 수익률(산출일)</stp>
        <stp>46198</stp>
        <stp/>
        <tr r="BT213" s="1"/>
      </tp>
      <tp>
        <v>4.069</v>
        <stp/>
        <stp>P</stp>
        <stp>0</stp>
        <stp>BND</stp>
        <stp>KR350901GG40</stp>
        <stp>민평3사 수익률(산출일)</stp>
        <stp>46198</stp>
        <stp/>
        <tr r="BT52" s="1"/>
      </tp>
      <tp>
        <v>4.3449999999999998</v>
        <stp/>
        <stp>P</stp>
        <stp>0</stp>
        <stp>BND</stp>
        <stp>KR350706GG47</stp>
        <stp>민평3사 수익률(산출일)</stp>
        <stp>46198</stp>
        <stp/>
        <tr r="L48" s="1"/>
      </tp>
      <tp>
        <v>4.0739999999999998</v>
        <stp/>
        <stp>P</stp>
        <stp>0</stp>
        <stp>BND</stp>
        <stp>KR350707GG46</stp>
        <stp>민평3사 수익률(산출일)</stp>
        <stp>46198</stp>
        <stp/>
        <tr r="BT44" s="1"/>
      </tp>
      <tp>
        <v>4.4530000000000003</v>
        <stp/>
        <stp>P</stp>
        <stp>0</stp>
        <stp>BND</stp>
        <stp>KR350702GE43</stp>
        <stp>민평3사 수익률(산출일)</stp>
        <stp>46198</stp>
        <stp/>
        <tr r="L294" s="1"/>
      </tp>
      <tp>
        <v>4.2750000000000004</v>
        <stp/>
        <stp>P</stp>
        <stp>0</stp>
        <stp>BND</stp>
        <stp>KR3561027243</stp>
        <stp>민평3사 수익률(산출일)</stp>
        <stp>46198</stp>
        <stp/>
        <tr r="L384" s="1"/>
        <tr r="BT255" s="1"/>
      </tp>
      <tp>
        <v>4.2809999999999997</v>
        <stp/>
        <stp>P</stp>
        <stp>0</stp>
        <stp>BND</stp>
        <stp>KR6034733867</stp>
        <stp>민평3사 수익률(산출일)</stp>
        <stp>46198</stp>
        <stp/>
        <tr r="L174" s="1"/>
      </tp>
      <tp>
        <v>3.2290000000000001</v>
        <stp/>
        <stp>P</stp>
        <stp>0</stp>
        <stp>BND</stp>
        <stp>KR6000722B66</stp>
        <stp>민평3사 수익률(산출일)</stp>
        <stp>46198</stp>
        <stp/>
        <tr r="BT172" s="1"/>
      </tp>
      <tp>
        <v>3.2450000000000001</v>
        <stp/>
        <stp>P</stp>
        <stp>0</stp>
        <stp>BND</stp>
        <stp>KR6176943D81</stp>
        <stp>민평3사 수익률(산출일)</stp>
        <stp>46198</stp>
        <stp/>
        <tr r="CF147" s="1"/>
      </tp>
      <tp>
        <v>3.3519999999999999</v>
        <stp/>
        <stp>P</stp>
        <stp>0</stp>
        <stp>BND</stp>
        <stp>KR6089861D92</stp>
        <stp>민평3사 수익률(산출일)</stp>
        <stp>46198</stp>
        <stp/>
        <tr r="CF30" s="1"/>
      </tp>
      <tp>
        <v>4.3650000000000002</v>
        <stp/>
        <stp>P</stp>
        <stp>0</stp>
        <stp>BND</stp>
        <stp>KR6097247G30</stp>
        <stp>민평3사 수익률(산출일)</stp>
        <stp>46198</stp>
        <stp/>
        <tr r="BT35" s="1"/>
      </tp>
      <tp>
        <v>3.6259999999999999</v>
        <stp/>
        <stp>P</stp>
        <stp>0</stp>
        <stp>BND</stp>
        <stp>KR103502G867</stp>
        <stp>민평3사 수익률(산출일)</stp>
        <stp>46198</stp>
        <stp/>
        <tr r="BT133" s="1"/>
        <tr r="L338" s="1"/>
      </tp>
      <tp>
        <v>3.2930000000000001</v>
        <stp/>
        <stp>P</stp>
        <stp>0</stp>
        <stp>BND</stp>
        <stp>KR103501GE64</stp>
        <stp>민평3사 수익률(산출일)</stp>
        <stp>46198</stp>
        <stp/>
        <tr r="X46" s="1"/>
        <tr r="L313" s="1"/>
        <tr r="BT254" s="1"/>
      </tp>
      <tp>
        <v>3.95</v>
        <stp/>
        <stp>P</stp>
        <stp>0</stp>
        <stp>BND</stp>
        <stp>KR103502GA67</stp>
        <stp>민평3사 수익률(산출일)</stp>
        <stp>46198</stp>
        <stp/>
        <tr r="L304" s="1"/>
        <tr r="X45" s="1"/>
        <tr r="BT11" s="1"/>
        <tr r="DD170" s="1"/>
      </tp>
      <tp>
        <v>0.99399999999999999</v>
        <stp/>
        <stp>P</stp>
        <stp>0</stp>
        <stp>BND</stp>
        <stp>KR103503GA66</stp>
        <stp>민평3사 수익률(산출일)</stp>
        <stp>46198</stp>
        <stp/>
        <tr r="L377" s="1"/>
        <tr r="DD285" s="1"/>
      </tp>
      <tp>
        <v>4.3499999999999996</v>
        <stp/>
        <stp>P</stp>
        <stp>0</stp>
        <stp>BND</stp>
        <stp>KR6063624F77</stp>
        <stp>민평3사 수익률(산출일)</stp>
        <stp>46198</stp>
        <stp/>
        <tr r="EB59" s="1"/>
      </tp>
      <tp>
        <v>3.1619999999999999</v>
        <stp/>
        <stp>P</stp>
        <stp>0</stp>
        <stp>BND</stp>
        <stp>KR6065901E85</stp>
        <stp>민평3사 수익률(산출일)</stp>
        <stp>46198</stp>
        <stp/>
        <tr r="CF54" s="1"/>
      </tp>
      <tp>
        <v>3.3420000000000001</v>
        <stp/>
        <stp>P</stp>
        <stp>0</stp>
        <stp>BND</stp>
        <stp>KR6089862B93</stp>
        <stp>민평3사 수익률(산출일)</stp>
        <stp>46198</stp>
        <stp/>
        <tr r="CF74" s="1"/>
      </tp>
      <tp t="s">
        <v/>
        <stp/>
        <stp>P</stp>
        <stp>0</stp>
        <stp>BND</stp>
        <stp>KR70000Y0004</stp>
        <stp>민평3사 수익률(산출일)</stp>
        <stp>46198</stp>
        <stp/>
        <tr r="EB11" s="1"/>
      </tp>
      <tp>
        <v>4.2560000000000002</v>
        <stp/>
        <stp>P</stp>
        <stp>0</stp>
        <stp>BND</stp>
        <stp>KR103503G899</stp>
        <stp>민평3사 수익률(산출일)</stp>
        <stp>46198</stp>
        <stp/>
        <tr r="L366" s="1"/>
      </tp>
      <tp>
        <v>4.3620000000000001</v>
        <stp/>
        <stp>P</stp>
        <stp>0</stp>
        <stp>BND</stp>
        <stp>KR103502GD98</stp>
        <stp>민평3사 수익률(산출일)</stp>
        <stp>46198</stp>
        <stp/>
        <tr r="L11" s="1"/>
        <tr r="AJ20" s="1"/>
        <tr r="X24" s="1"/>
        <tr r="BT144" s="1"/>
        <tr r="DD253" s="1"/>
      </tp>
      <tp>
        <v>4.2699999999999996</v>
        <stp/>
        <stp>P</stp>
        <stp>0</stp>
        <stp>BND</stp>
        <stp>KR103503GB99</stp>
        <stp>민평3사 수익률(산출일)</stp>
        <stp>46198</stp>
        <stp/>
        <tr r="AJ27" s="1"/>
        <tr r="L321" s="1"/>
        <tr r="X40" s="1"/>
        <tr r="BT77" s="1"/>
        <tr r="DD50" s="1"/>
      </tp>
      <tp>
        <v>3.3</v>
        <stp/>
        <stp>P</stp>
        <stp>0</stp>
        <stp>BND</stp>
        <stp>KR6000722D98</stp>
        <stp>민평3사 수익률(산출일)</stp>
        <stp>46198</stp>
        <stp/>
        <tr r="CF52" s="1"/>
      </tp>
      <tp>
        <v>4.3460000000000001</v>
        <stp/>
        <stp>P</stp>
        <stp>0</stp>
        <stp>BND</stp>
        <stp>KR6095924D78</stp>
        <stp>민평3사 수익률(산출일)</stp>
        <stp>46198</stp>
        <stp/>
        <tr r="BT84" s="1"/>
      </tp>
      <tp>
        <v>4.3840000000000003</v>
        <stp/>
        <stp>P</stp>
        <stp>0</stp>
        <stp>BND</stp>
        <stp>KR103502GC99</stp>
        <stp>민평3사 수익률(산출일)</stp>
        <stp>46198</stp>
        <stp/>
        <tr r="L23" s="1"/>
        <tr r="X23" s="1"/>
        <tr r="DD286" s="1"/>
        <tr r="AJ13" s="1"/>
        <tr r="BT82" s="1"/>
      </tp>
      <tp>
        <v>4.95</v>
        <stp/>
        <stp>P</stp>
        <stp>0</stp>
        <stp>BND</stp>
        <stp>KR6029693F82</stp>
        <stp>민평3사 수익률(산출일)</stp>
        <stp>46198</stp>
        <stp/>
        <tr r="CR30" s="1"/>
      </tp>
      <tp>
        <v>3.1819999999999999</v>
        <stp/>
        <stp>P</stp>
        <stp>0</stp>
        <stp>BND</stp>
        <stp>KR6095922E79</stp>
        <stp>민평3사 수익률(산출일)</stp>
        <stp>46198</stp>
        <stp/>
        <tr r="BT170" s="1"/>
      </tp>
      <tp>
        <v>3.6819999999999999</v>
        <stp/>
        <stp>P</stp>
        <stp>0</stp>
        <stp>BND</stp>
        <stp>KR103501GD99</stp>
        <stp>민평3사 수익률(산출일)</stp>
        <stp>46198</stp>
        <stp/>
        <tr r="L328" s="1"/>
        <tr r="BT193" s="1"/>
      </tp>
      <tp>
        <v>4.37</v>
        <stp/>
        <stp>P</stp>
        <stp>0</stp>
        <stp>BND</stp>
        <stp>KR6029784F90</stp>
        <stp>민평3사 수익률(산출일)</stp>
        <stp>46198</stp>
        <stp/>
        <tr r="EB62" s="1"/>
      </tp>
      <tp>
        <v>3.8439999999999999</v>
        <stp/>
        <stp>P</stp>
        <stp>0</stp>
        <stp>BND</stp>
        <stp>KR103501GE98</stp>
        <stp>민평3사 수익률(산출일)</stp>
        <stp>46198</stp>
        <stp/>
        <tr r="L343" s="1"/>
        <tr r="BT150" s="1"/>
        <tr r="DD240" s="1"/>
      </tp>
      <tp>
        <v>3.5609999999999999</v>
        <stp/>
        <stp>P</stp>
        <stp>0</stp>
        <stp>BND</stp>
        <stp>KR6029692987</stp>
        <stp>민평3사 수익률(산출일)</stp>
        <stp>46198</stp>
        <stp/>
        <tr r="CF70" s="1"/>
      </tp>
      <tp>
        <v>4.0620000000000003</v>
        <stp/>
        <stp>P</stp>
        <stp>0</stp>
        <stp>BND</stp>
        <stp>KR6023784E94</stp>
        <stp>민평3사 수익률(산출일)</stp>
        <stp>46198</stp>
        <stp/>
        <tr r="L332" s="1"/>
      </tp>
      <tp>
        <v>3.1349999999999998</v>
        <stp/>
        <stp>P</stp>
        <stp>0</stp>
        <stp>BND</stp>
        <stp>KR606590DB72</stp>
        <stp>민평3사 수익률(산출일)</stp>
        <stp>46198</stp>
        <stp/>
        <tr r="CF84" s="1"/>
      </tp>
      <tp>
        <v>4.2350000000000003</v>
        <stp/>
        <stp>P</stp>
        <stp>0</stp>
        <stp>BND</stp>
        <stp>KR103502G990</stp>
        <stp>민평3사 수익률(산출일)</stp>
        <stp>46198</stp>
        <stp/>
        <tr r="BT278" s="1"/>
        <tr r="L386" s="1"/>
        <tr r="DD310" s="1"/>
      </tp>
      <tp>
        <v>4.3109999999999999</v>
        <stp/>
        <stp>P</stp>
        <stp>0</stp>
        <stp>BND</stp>
        <stp>KR103504GD96</stp>
        <stp>민평3사 수익률(산출일)</stp>
        <stp>46198</stp>
        <stp/>
        <tr r="L363" s="1"/>
        <tr r="DD252" s="1"/>
        <tr r="X33" s="1"/>
        <tr r="AJ14" s="1"/>
      </tp>
      <tp>
        <v>4.2910000000000004</v>
        <stp/>
        <stp>P</stp>
        <stp>0</stp>
        <stp>BND</stp>
        <stp>KR6034733891</stp>
        <stp>민평3사 수익률(산출일)</stp>
        <stp>46198</stp>
        <stp/>
        <tr r="X42" s="1"/>
        <tr r="L257" s="1"/>
      </tp>
      <tp>
        <v>4.3339999999999996</v>
        <stp/>
        <stp>P</stp>
        <stp>0</stp>
        <stp>BND</stp>
        <stp>KR6082972F75</stp>
        <stp>민평3사 수익률(산출일)</stp>
        <stp>46198</stp>
        <stp/>
        <tr r="DD130" s="1"/>
      </tp>
      <tp>
        <v>3.875</v>
        <stp/>
        <stp>P</stp>
        <stp>0</stp>
        <stp>BND</stp>
        <stp>KR601980AE63</stp>
        <stp>민평3사 수익률(산출일)</stp>
        <stp>46198</stp>
        <stp/>
        <tr r="BT38" s="1"/>
      </tp>
      <tp>
        <v>4.2320000000000002</v>
        <stp/>
        <stp>P</stp>
        <stp>0</stp>
        <stp>BND</stp>
        <stp>KR103502G891</stp>
        <stp>민평3사 수익률(산출일)</stp>
        <stp>46198</stp>
        <stp/>
        <tr r="L12" s="1"/>
        <tr r="DD46" s="1"/>
      </tp>
      <tp>
        <v>4.2549999999999999</v>
        <stp/>
        <stp>P</stp>
        <stp>0</stp>
        <stp>BND</stp>
        <stp>KR103502GA91</stp>
        <stp>민평3사 수익률(산출일)</stp>
        <stp>46198</stp>
        <stp/>
        <tr r="L302" s="1"/>
        <tr r="X25" s="1"/>
        <tr r="BT135" s="1"/>
        <tr r="DD154" s="1"/>
      </tp>
      <tp>
        <v>4.2759999999999998</v>
        <stp/>
        <stp>P</stp>
        <stp>0</stp>
        <stp>BND</stp>
        <stp>KR103504GC97</stp>
        <stp>민평3사 수익률(산출일)</stp>
        <stp>46198</stp>
        <stp/>
        <tr r="L291" s="1"/>
        <tr r="AJ21" s="1"/>
        <tr r="X37" s="1"/>
        <tr r="BT194" s="1"/>
        <tr r="DD20" s="1"/>
      </tp>
      <tp>
        <v>4.2389999999999999</v>
        <stp/>
        <stp>P</stp>
        <stp>0</stp>
        <stp>BND</stp>
        <stp>KR103505GC96</stp>
        <stp>민평3사 수익률(산출일)</stp>
        <stp>46198</stp>
        <stp/>
        <tr r="L58" s="1"/>
      </tp>
      <tp>
        <v>4.2750000000000004</v>
        <stp/>
        <stp>P</stp>
        <stp>0</stp>
        <stp>BND</stp>
        <stp>KR6006801F63</stp>
        <stp>민평3사 수익률(산출일)</stp>
        <stp>46198</stp>
        <stp/>
        <tr r="BT67" s="1"/>
      </tp>
      <tp>
        <v>4.3490000000000002</v>
        <stp/>
        <stp>P</stp>
        <stp>0</stp>
        <stp>BND</stp>
        <stp>KR6032712E92</stp>
        <stp>민평3사 수익률(산출일)</stp>
        <stp>46198</stp>
        <stp/>
        <tr r="L195" s="1"/>
      </tp>
      <tp>
        <v>4.2140000000000004</v>
        <stp/>
        <stp>P</stp>
        <stp>0</stp>
        <stp>BND</stp>
        <stp>KR103502G792</stp>
        <stp>민평3사 수익률(산출일)</stp>
        <stp>46198</stp>
        <stp/>
        <tr r="BT220" s="1"/>
        <tr r="L13" s="1"/>
        <tr r="DD241" s="1"/>
      </tp>
      <tp>
        <v>4.306</v>
        <stp/>
        <stp>P</stp>
        <stp>0</stp>
        <stp>BND</stp>
        <stp>KR103504GF94</stp>
        <stp>민평3사 수익률(산출일)</stp>
        <stp>46198</stp>
        <stp/>
        <tr r="L57" s="1"/>
        <tr r="X34" s="1"/>
        <tr r="BT20" s="1"/>
        <tr r="DD24" s="1"/>
      </tp>
      <tp>
        <v>2.7759999999999998</v>
        <stp/>
        <stp>P</stp>
        <stp>0</stp>
        <stp>BND</stp>
        <stp>KR103501GB91</stp>
        <stp>민평3사 수익률(산출일)</stp>
        <stp>46198</stp>
        <stp/>
        <tr r="L330" s="1"/>
      </tp>
      <tp>
        <v>3.5409999999999999</v>
        <stp/>
        <stp>P</stp>
        <stp>0</stp>
        <stp>BND</stp>
        <stp>KR602196LE76</stp>
        <stp>민평3사 수익률(산출일)</stp>
        <stp>46198</stp>
        <stp/>
        <tr r="BT174" s="1"/>
      </tp>
      <tp>
        <v>4.5190000000000001</v>
        <stp/>
        <stp>P</stp>
        <stp>0</stp>
        <stp>BND</stp>
        <stp>KR6034734D93</stp>
        <stp>민평3사 수익률(산출일)</stp>
        <stp>46198</stp>
        <stp/>
        <tr r="L282" s="1"/>
      </tp>
      <tp>
        <v>4.1849999999999996</v>
        <stp/>
        <stp>P</stp>
        <stp>0</stp>
        <stp>BND</stp>
        <stp>KR6019807F60</stp>
        <stp>민평3사 수익률(산출일)</stp>
        <stp>46198</stp>
        <stp/>
        <tr r="DD212" s="1"/>
      </tp>
      <tp>
        <v>4.0490000000000004</v>
        <stp/>
        <stp>P</stp>
        <stp>0</stp>
        <stp>BND</stp>
        <stp>KR6082971E77</stp>
        <stp>민평3사 수익률(산출일)</stp>
        <stp>46198</stp>
        <stp/>
        <tr r="BT222" s="1"/>
      </tp>
      <tp>
        <v>4.1950000000000003</v>
        <stp/>
        <stp>P</stp>
        <stp>0</stp>
        <stp>BND</stp>
        <stp>KR103502G693</stp>
        <stp>민평3사 수익률(산출일)</stp>
        <stp>46198</stp>
        <stp/>
        <tr r="BT253" s="1"/>
        <tr r="L25" s="1"/>
        <tr r="DD300" s="1"/>
      </tp>
      <tp>
        <v>4.3209999999999997</v>
        <stp/>
        <stp>P</stp>
        <stp>0</stp>
        <stp>BND</stp>
        <stp>KR103504GE95</stp>
        <stp>민평3사 수익률(산출일)</stp>
        <stp>46198</stp>
        <stp/>
        <tr r="X17" s="1"/>
        <tr r="L261" s="1"/>
        <tr r="AJ11" s="1"/>
        <tr r="BT15" s="1"/>
        <tr r="DD13" s="1"/>
      </tp>
      <tp>
        <v>4.2290000000000001</v>
        <stp/>
        <stp>P</stp>
        <stp>0</stp>
        <stp>BND</stp>
        <stp>KR103505GE94</stp>
        <stp>민평3사 수익률(산출일)</stp>
        <stp>46198</stp>
        <stp/>
        <tr r="L365" s="1"/>
      </tp>
      <tp>
        <v>3.4849999999999999</v>
        <stp/>
        <stp>P</stp>
        <stp>0</stp>
        <stp>BND</stp>
        <stp>KR103501GC90</stp>
        <stp>민평3사 수익률(산출일)</stp>
        <stp>46198</stp>
        <stp/>
        <tr r="L361" s="1"/>
        <tr r="BT141" s="1"/>
      </tp>
      <tp>
        <v>4.1740000000000004</v>
        <stp/>
        <stp>P</stp>
        <stp>0</stp>
        <stp>BND</stp>
        <stp>KR103502G594</stp>
        <stp>민평3사 수익률(산출일)</stp>
        <stp>46198</stp>
        <stp/>
        <tr r="L373" s="1"/>
      </tp>
      <tp>
        <v>3.98</v>
        <stp/>
        <stp>P</stp>
        <stp>0</stp>
        <stp>BND</stp>
        <stp>KR103503GF95</stp>
        <stp>민평3사 수익률(산출일)</stp>
        <stp>46198</stp>
        <stp/>
        <tr r="X16" s="1"/>
        <tr r="L358" s="1"/>
        <tr r="BT154" s="1"/>
        <tr r="DP19" s="1"/>
        <tr r="DD12" s="1"/>
      </tp>
      <tp>
        <v>4.423</v>
        <stp/>
        <stp>P</stp>
        <stp>0</stp>
        <stp>BND</stp>
        <stp>KR609592AE74</stp>
        <stp>민평3사 수익률(산출일)</stp>
        <stp>46198</stp>
        <stp/>
        <tr r="EB45" s="1"/>
      </tp>
      <tp>
        <v>4.41</v>
        <stp/>
        <stp>P</stp>
        <stp>0</stp>
        <stp>BND</stp>
        <stp>KR6034733D94</stp>
        <stp>민평3사 수익률(산출일)</stp>
        <stp>46198</stp>
        <stp/>
        <tr r="L280" s="1"/>
      </tp>
      <tp>
        <v>4.0650000000000004</v>
        <stp/>
        <stp>P</stp>
        <stp>0</stp>
        <stp>BND</stp>
        <stp>KR6138931F75</stp>
        <stp>민평3사 수익률(산출일)</stp>
        <stp>46198</stp>
        <stp/>
        <tr r="L168" s="1"/>
      </tp>
      <tp>
        <v>4.3440000000000003</v>
        <stp/>
        <stp>P</stp>
        <stp>0</stp>
        <stp>BND</stp>
        <stp>KR103502GF96</stp>
        <stp>민평3사 수익률(산출일)</stp>
        <stp>46198</stp>
        <stp/>
        <tr r="L21" s="1"/>
        <tr r="AJ28" s="1"/>
        <tr r="BT13" s="1"/>
        <tr r="DD43" s="1"/>
      </tp>
      <tp>
        <v>3.2669999999999999</v>
        <stp/>
        <stp>P</stp>
        <stp>0</stp>
        <stp>BND</stp>
        <stp>KR6185751E90</stp>
        <stp>민평3사 수익률(산출일)</stp>
        <stp>46198</stp>
        <stp/>
        <tr r="DD247" s="1"/>
      </tp>
      <tp>
        <v>4.3449999999999998</v>
        <stp/>
        <stp>P</stp>
        <stp>0</stp>
        <stp>BND</stp>
        <stp>KR6096772F93</stp>
        <stp>민평3사 수익률(산출일)</stp>
        <stp>46198</stp>
        <stp/>
        <tr r="EB49" s="1"/>
      </tp>
      <tp>
        <v>4.3479999999999999</v>
        <stp/>
        <stp>P</stp>
        <stp>0</stp>
        <stp>BND</stp>
        <stp>KR103502GE97</stp>
        <stp>민평3사 수익률(산출일)</stp>
        <stp>46198</stp>
        <stp/>
        <tr r="L20" s="1"/>
        <tr r="DD22" s="1"/>
        <tr r="BT80" s="1"/>
        <tr r="X27" s="1"/>
        <tr r="AJ15" s="1"/>
      </tp>
      <tp>
        <v>2.7759999999999998</v>
        <stp/>
        <stp>P</stp>
        <stp>0</stp>
        <stp>BND</stp>
        <stp>KR103503GE96</stp>
        <stp>민평3사 수익률(산출일)</stp>
        <stp>46198</stp>
        <stp/>
        <tr r="L300" s="1"/>
      </tp>
      <tp>
        <v>4.165</v>
        <stp/>
        <stp>P</stp>
        <stp>0</stp>
        <stp>BND</stp>
        <stp>KR6019802F65</stp>
        <stp>민평3사 수익률(산출일)</stp>
        <stp>46198</stp>
        <stp/>
        <tr r="BT244" s="1"/>
      </tp>
      <tp>
        <v>3.6850000000000001</v>
        <stp/>
        <stp>P</stp>
        <stp>0</stp>
        <stp>BND</stp>
        <stp>KR6176944F70</stp>
        <stp>민평3사 수익률(산출일)</stp>
        <stp>46198</stp>
        <stp/>
        <tr r="DD31" s="1"/>
      </tp>
      <tp>
        <v>4.9569999999999999</v>
        <stp/>
        <stp>P</stp>
        <stp>0</stp>
        <stp>BND</stp>
        <stp>KR6029692F91</stp>
        <stp>민평3사 수익률(산출일)</stp>
        <stp>46198</stp>
        <stp/>
        <tr r="CR37" s="1"/>
      </tp>
      <tp>
        <v>4.3</v>
        <stp/>
        <stp>P</stp>
        <stp>0</stp>
        <stp>BND</stp>
        <stp>KR6032716F89</stp>
        <stp>민평3사 수익률(산출일)</stp>
        <stp>46198</stp>
        <stp/>
        <tr r="L197" s="1"/>
      </tp>
      <tp>
        <v>3.8719999999999999</v>
        <stp/>
        <stp>P</stp>
        <stp>0</stp>
        <stp>BND</stp>
        <stp>KR6029881F76</stp>
        <stp>민평3사 수익률(산출일)</stp>
        <stp>46198</stp>
        <stp/>
        <tr r="DD95" s="1"/>
      </tp>
      <tp>
        <v>4.0389999999999997</v>
        <stp/>
        <stp>P</stp>
        <stp>0</stp>
        <stp>BND</stp>
        <stp>KR6033662F99</stp>
        <stp>민평3사 수익률(산출일)</stp>
        <stp>46198</stp>
        <stp/>
        <tr r="DD124" s="1"/>
      </tp>
      <tp>
        <v>4.3250000000000002</v>
        <stp/>
        <stp>P</stp>
        <stp>0</stp>
        <stp>BND</stp>
        <stp>KR6088981D65</stp>
        <stp>민평3사 수익률(산출일)</stp>
        <stp>46198</stp>
        <stp/>
        <tr r="L260" s="1"/>
      </tp>
      <tp>
        <v>4.3220000000000001</v>
        <stp/>
        <stp>P</stp>
        <stp>0</stp>
        <stp>BND</stp>
        <stp>KR6047811F73</stp>
        <stp>민평3사 수익률(산출일)</stp>
        <stp>46198</stp>
        <stp/>
        <tr r="BT79" s="1"/>
        <tr r="DP16" s="1"/>
      </tp>
      <tp>
        <v>4.4020000000000001</v>
        <stp/>
        <stp>P</stp>
        <stp>0</stp>
        <stp>BND</stp>
        <stp>KR6030627E90</stp>
        <stp>민평3사 수익률(산출일)</stp>
        <stp>46198</stp>
        <stp/>
        <tr r="CR47" s="1"/>
        <tr r="BT101" s="1"/>
      </tp>
      <tp>
        <v>4.3109999999999999</v>
        <stp/>
        <stp>P</stp>
        <stp>0</stp>
        <stp>BND</stp>
        <stp>KR6005942G64</stp>
        <stp>민평3사 수익률(산출일)</stp>
        <stp>46198</stp>
        <stp/>
        <tr r="DD80" s="1"/>
      </tp>
      <tp>
        <v>3.202</v>
        <stp/>
        <stp>P</stp>
        <stp>0</stp>
        <stp>BND</stp>
        <stp>KR6049772D86</stp>
        <stp>민평3사 수익률(산출일)</stp>
        <stp>46198</stp>
        <stp/>
        <tr r="CF88" s="1"/>
      </tp>
      <tp>
        <v>4.7160000000000002</v>
        <stp/>
        <stp>P</stp>
        <stp>0</stp>
        <stp>BND</stp>
        <stp>KR6030622F94</stp>
        <stp>민평3사 수익률(산출일)</stp>
        <stp>46198</stp>
        <stp/>
        <tr r="BT131" s="1"/>
      </tp>
      <tp>
        <v>3.2749999999999999</v>
        <stp/>
        <stp>P</stp>
        <stp>0</stp>
        <stp>BND</stp>
        <stp>KR6145764E81</stp>
        <stp>민평3사 수익률(산출일)</stp>
        <stp>46198</stp>
        <stp/>
        <tr r="CF50" s="1"/>
      </tp>
      <tp>
        <v>4.569</v>
        <stp/>
        <stp>P</stp>
        <stp>0</stp>
        <stp>BND</stp>
        <stp>KR6004941B63</stp>
        <stp>민평3사 수익률(산출일)</stp>
        <stp>46198</stp>
        <stp/>
        <tr r="EB75" s="1"/>
      </tp>
      <tp>
        <v>4.077</v>
        <stp/>
        <stp>P</stp>
        <stp>0</stp>
        <stp>BND</stp>
        <stp>KR6145764F80</stp>
        <stp>민평3사 수익률(산출일)</stp>
        <stp>46198</stp>
        <stp/>
        <tr r="BT235" s="1"/>
      </tp>
      <tp>
        <v>3.464</v>
        <stp/>
        <stp>P</stp>
        <stp>0</stp>
        <stp>BND</stp>
        <stp>KR6176944F62</stp>
        <stp>민평3사 수익률(산출일)</stp>
        <stp>46198</stp>
        <stp/>
        <tr r="BT173" s="1"/>
      </tp>
      <tp>
        <v>4.4580000000000002</v>
        <stp/>
        <stp>P</stp>
        <stp>0</stp>
        <stp>BND</stp>
        <stp>KR6005943G63</stp>
        <stp>민평3사 수익률(산출일)</stp>
        <stp>46198</stp>
        <stp/>
        <tr r="DD87" s="1"/>
      </tp>
      <tp>
        <v>3.2330000000000001</v>
        <stp/>
        <stp>P</stp>
        <stp>0</stp>
        <stp>BND</stp>
        <stp>KR6108672B91</stp>
        <stp>민평3사 수익률(산출일)</stp>
        <stp>46198</stp>
        <stp/>
        <tr r="CF53" s="1"/>
      </tp>
      <tp>
        <v>4.5910000000000002</v>
        <stp/>
        <stp>P</stp>
        <stp>0</stp>
        <stp>BND</stp>
        <stp>KR6063622F95</stp>
        <stp>민평3사 수익률(산출일)</stp>
        <stp>46198</stp>
        <stp/>
        <tr r="L54" s="1"/>
      </tp>
      <tp>
        <v>4.1529999999999996</v>
        <stp/>
        <stp>P</stp>
        <stp>0</stp>
        <stp>BND</stp>
        <stp>KR6021967F62</stp>
        <stp>민평3사 수익률(산출일)</stp>
        <stp>46198</stp>
        <stp/>
        <tr r="L153" s="1"/>
      </tp>
      <tp>
        <v>4.3579999999999997</v>
        <stp/>
        <stp>P</stp>
        <stp>0</stp>
        <stp>BND</stp>
        <stp>KR6063621F96</stp>
        <stp>민평3사 수익률(산출일)</stp>
        <stp>46198</stp>
        <stp/>
        <tr r="L230" s="1"/>
      </tp>
      <tp>
        <v>3.2290000000000001</v>
        <stp/>
        <stp>P</stp>
        <stp>0</stp>
        <stp>BND</stp>
        <stp>KR6145763E82</stp>
        <stp>민평3사 수익률(산출일)</stp>
        <stp>46198</stp>
        <stp/>
        <tr r="CF51" s="1"/>
      </tp>
      <tp>
        <v>4.1340000000000003</v>
        <stp/>
        <stp>P</stp>
        <stp>0</stp>
        <stp>BND</stp>
        <stp>KR6023531F99</stp>
        <stp>민평3사 수익률(산출일)</stp>
        <stp>46198</stp>
        <stp/>
        <tr r="BT239" s="1"/>
      </tp>
      <tp>
        <v>4.2229999999999999</v>
        <stp/>
        <stp>P</stp>
        <stp>0</stp>
        <stp>BND</stp>
        <stp>KR6006801F48</stp>
        <stp>민평3사 수익률(산출일)</stp>
        <stp>46198</stp>
        <stp/>
        <tr r="L176" s="1"/>
      </tp>
      <tp>
        <v>4.3150000000000004</v>
        <stp/>
        <stp>P</stp>
        <stp>0</stp>
        <stp>BND</stp>
        <stp>KR620549AD84</stp>
        <stp>민평3사 수익률(산출일)</stp>
        <stp>46198</stp>
        <stp/>
        <tr r="L80" s="1"/>
      </tp>
      <tp>
        <v>2.9670000000000001</v>
        <stp/>
        <stp>P</stp>
        <stp>0</stp>
        <stp>BND</stp>
        <stp>KR381102G695</stp>
        <stp>민평3사 수익률(산출일)</stp>
        <stp>46198</stp>
        <stp/>
        <tr r="L371" s="1"/>
        <tr r="BT219" s="1"/>
        <tr r="DD298" s="1"/>
      </tp>
      <tp>
        <v>4.032</v>
        <stp/>
        <stp>P</stp>
        <stp>0</stp>
        <stp>BND</stp>
        <stp>KR356101DF98</stp>
        <stp>민평3사 수익률(산출일)</stp>
        <stp>46198</stp>
        <stp/>
        <tr r="BT217" s="1"/>
      </tp>
      <tp>
        <v>4.1349999999999998</v>
        <stp/>
        <stp>P</stp>
        <stp>0</stp>
        <stp>BND</stp>
        <stp>KR353401GF99</stp>
        <stp>민평3사 수익률(산출일)</stp>
        <stp>46198</stp>
        <stp/>
        <tr r="DD36" s="1"/>
      </tp>
      <tp>
        <v>4.3739999999999997</v>
        <stp/>
        <stp>P</stp>
        <stp>0</stp>
        <stp>BND</stp>
        <stp>KR6029889F45</stp>
        <stp>민평3사 수익률(산출일)</stp>
        <stp>46198</stp>
        <stp/>
        <tr r="EB60" s="1"/>
      </tp>
      <tp>
        <v>4.0609999999999999</v>
        <stp/>
        <stp>P</stp>
        <stp>0</stp>
        <stp>BND</stp>
        <stp>KR350106G891</stp>
        <stp>민평3사 수익률(산출일)</stp>
        <stp>46198</stp>
        <stp/>
        <tr r="BT151" s="1"/>
      </tp>
      <tp>
        <v>4.391</v>
        <stp/>
        <stp>P</stp>
        <stp>0</stp>
        <stp>BND</stp>
        <stp>KR6095923G50</stp>
        <stp>민평3사 수익률(산출일)</stp>
        <stp>46198</stp>
        <stp/>
        <tr r="DD77" s="1"/>
      </tp>
      <tp>
        <v>4.2789999999999999</v>
        <stp/>
        <stp>P</stp>
        <stp>0</stp>
        <stp>BND</stp>
        <stp>KR3527017197</stp>
        <stp>민평3사 수익률(산출일)</stp>
        <stp>46198</stp>
        <stp/>
        <tr r="L78" s="1"/>
      </tp>
      <tp>
        <v>4.4870000000000001</v>
        <stp/>
        <stp>P</stp>
        <stp>0</stp>
        <stp>BND</stp>
        <stp>KR6176941G56</stp>
        <stp>민평3사 수익률(산출일)</stp>
        <stp>46198</stp>
        <stp/>
        <tr r="L133" s="1"/>
      </tp>
      <tp>
        <v>4.2480000000000002</v>
        <stp/>
        <stp>P</stp>
        <stp>0</stp>
        <stp>BND</stp>
        <stp>KR357001GF94</stp>
        <stp>민평3사 수익률(산출일)</stp>
        <stp>46198</stp>
        <stp/>
        <tr r="EB15" s="1"/>
      </tp>
      <tp>
        <v>4.3239999999999998</v>
        <stp/>
        <stp>P</stp>
        <stp>0</stp>
        <stp>BND</stp>
        <stp>KR350701GD94</stp>
        <stp>민평3사 수익률(산출일)</stp>
        <stp>46198</stp>
        <stp/>
        <tr r="L110" s="1"/>
      </tp>
      <tp>
        <v>2.7</v>
        <stp/>
        <stp>P</stp>
        <stp>0</stp>
        <stp>BND</stp>
        <stp>KR310102GD93</stp>
        <stp>민평3사 수익률(산출일)</stp>
        <stp>46198</stp>
        <stp/>
        <tr r="BT149" s="1"/>
      </tp>
      <tp>
        <v>4.2720000000000002</v>
        <stp/>
        <stp>P</stp>
        <stp>0</stp>
        <stp>BND</stp>
        <stp>KR6019801G40</stp>
        <stp>민평3사 수익률(산출일)</stp>
        <stp>46198</stp>
        <stp/>
        <tr r="L108" s="1"/>
      </tp>
      <tp>
        <v>3.891</v>
        <stp/>
        <stp>P</stp>
        <stp>0</stp>
        <stp>BND</stp>
        <stp>KR6176944E55</stp>
        <stp>민평3사 수익률(산출일)</stp>
        <stp>46198</stp>
        <stp/>
        <tr r="EB84" s="1"/>
      </tp>
      <tp>
        <v>4.21</v>
        <stp/>
        <stp>P</stp>
        <stp>0</stp>
        <stp>BND</stp>
        <stp>KR6055553E95</stp>
        <stp>민평3사 수익률(산출일)</stp>
        <stp>46198</stp>
        <stp/>
        <tr r="L254" s="1"/>
      </tp>
      <tp>
        <v>3.8690000000000002</v>
        <stp/>
        <stp>P</stp>
        <stp>0</stp>
        <stp>BND</stp>
        <stp>KR6095923E52</stp>
        <stp>민평3사 수익률(산출일)</stp>
        <stp>46198</stp>
        <stp/>
        <tr r="BT175" s="1"/>
      </tp>
      <tp>
        <v>4.2990000000000004</v>
        <stp/>
        <stp>P</stp>
        <stp>0</stp>
        <stp>BND</stp>
        <stp>KR352202GB96</stp>
        <stp>민평3사 수익률(산출일)</stp>
        <stp>46198</stp>
        <stp/>
        <tr r="L240" s="1"/>
      </tp>
      <tp>
        <v>4.5</v>
        <stp/>
        <stp>P</stp>
        <stp>0</stp>
        <stp>BND</stp>
        <stp>KR350704GE90</stp>
        <stp>민평3사 수익률(산출일)</stp>
        <stp>46198</stp>
        <stp/>
        <tr r="L258" s="1"/>
      </tp>
      <tp>
        <v>4.2880000000000003</v>
        <stp/>
        <stp>P</stp>
        <stp>0</stp>
        <stp>BND</stp>
        <stp>KR3561047290</stp>
        <stp>민평3사 수익률(산출일)</stp>
        <stp>46198</stp>
        <stp/>
        <tr r="L335" s="1"/>
        <tr r="BT137" s="1"/>
      </tp>
      <tp>
        <v>3.2360000000000002</v>
        <stp/>
        <stp>P</stp>
        <stp>0</stp>
        <stp>BND</stp>
        <stp>KR6139482B88</stp>
        <stp>민평3사 수익률(산출일)</stp>
        <stp>46198</stp>
        <stp/>
        <tr r="BT183" s="1"/>
        <tr r="CF23" s="1"/>
      </tp>
      <tp>
        <v>4.3109999999999999</v>
        <stp/>
        <stp>P</stp>
        <stp>0</stp>
        <stp>BND</stp>
        <stp>KR6021964F57</stp>
        <stp>민평3사 수익률(산출일)</stp>
        <stp>46198</stp>
        <stp/>
        <tr r="L182" s="1"/>
      </tp>
      <tp>
        <v>3.9260000000000002</v>
        <stp/>
        <stp>P</stp>
        <stp>0</stp>
        <stp>BND</stp>
        <stp>KR357201GF92</stp>
        <stp>민평3사 수익률(산출일)</stp>
        <stp>46198</stp>
        <stp/>
        <tr r="EB39" s="1"/>
      </tp>
      <tp>
        <v>4.0970000000000004</v>
        <stp/>
        <stp>P</stp>
        <stp>0</stp>
        <stp>BND</stp>
        <stp>KR6019805G46</stp>
        <stp>민평3사 수익률(산출일)</stp>
        <stp>46198</stp>
        <stp/>
        <tr r="DD74" s="1"/>
      </tp>
      <tp>
        <v>4.2880000000000003</v>
        <stp/>
        <stp>P</stp>
        <stp>0</stp>
        <stp>BND</stp>
        <stp>KR3561037291</stp>
        <stp>민평3사 수익률(산출일)</stp>
        <stp>46198</stp>
        <stp/>
        <tr r="DD289" s="1"/>
      </tp>
      <tp>
        <v>4.5380000000000003</v>
        <stp/>
        <stp>P</stp>
        <stp>0</stp>
        <stp>BND</stp>
        <stp>KR356101GA90</stp>
        <stp>민평3사 수익률(산출일)</stp>
        <stp>46198</stp>
        <stp/>
        <tr r="L276" s="1"/>
      </tp>
      <tp>
        <v>3.2210000000000001</v>
        <stp/>
        <stp>P</stp>
        <stp>0</stp>
        <stp>BND</stp>
        <stp>KR601945CE81</stp>
        <stp>민평3사 수익률(산출일)</stp>
        <stp>46198</stp>
        <stp/>
        <tr r="BT178" s="1"/>
      </tp>
      <tp>
        <v>4.3739999999999997</v>
        <stp/>
        <stp>P</stp>
        <stp>0</stp>
        <stp>BND</stp>
        <stp>KR601980CG44</stp>
        <stp>민평3사 수익률(산출일)</stp>
        <stp>46198</stp>
        <stp/>
        <tr r="BT37" s="1"/>
        <tr r="DD71" s="1"/>
      </tp>
      <tp>
        <v>4.343</v>
        <stp/>
        <stp>P</stp>
        <stp>0</stp>
        <stp>BND</stp>
        <stp>KR350106GB97</stp>
        <stp>민평3사 수익률(산출일)</stp>
        <stp>46198</stp>
        <stp/>
        <tr r="DD144" s="1"/>
      </tp>
      <tp>
        <v>3.1429999999999998</v>
        <stp/>
        <stp>P</stp>
        <stp>0</stp>
        <stp>BND</stp>
        <stp>KR6066574692</stp>
        <stp>민평3사 수익률(산출일)</stp>
        <stp>46198</stp>
        <stp/>
        <tr r="CR44" s="1"/>
      </tp>
      <tp>
        <v>4.3120000000000003</v>
        <stp/>
        <stp>P</stp>
        <stp>0</stp>
        <stp>BND</stp>
        <stp>KR6205491F90</stp>
        <stp>민평3사 수익률(산출일)</stp>
        <stp>46198</stp>
        <stp/>
        <tr r="L204" s="1"/>
      </tp>
      <tp>
        <v>3.9990000000000001</v>
        <stp/>
        <stp>P</stp>
        <stp>0</stp>
        <stp>BND</stp>
        <stp>KR381004GD85</stp>
        <stp>민평3사 수익률(산출일)</stp>
        <stp>46198</stp>
        <stp/>
        <tr r="BT210" s="1"/>
      </tp>
      <tp>
        <v>2.8479999999999999</v>
        <stp/>
        <stp>P</stp>
        <stp>0</stp>
        <stp>BND</stp>
        <stp>KR356002GD89</stp>
        <stp>민평3사 수익률(산출일)</stp>
        <stp>46198</stp>
        <stp/>
        <tr r="CF31" s="1"/>
      </tp>
      <tp>
        <v>5.1390000000000002</v>
        <stp/>
        <stp>P</stp>
        <stp>0</stp>
        <stp>BND</stp>
        <stp>KR6003493F97</stp>
        <stp>민평3사 수익률(산출일)</stp>
        <stp>46198</stp>
        <stp/>
        <tr r="EB16" s="1"/>
      </tp>
      <tp>
        <v>3.7730000000000001</v>
        <stp/>
        <stp>P</stp>
        <stp>0</stp>
        <stp>BND</stp>
        <stp>KR381103GE84</stp>
        <stp>민평3사 수익률(산출일)</stp>
        <stp>46198</stp>
        <stp/>
        <tr r="BT103" s="1"/>
        <tr r="L136" s="1"/>
      </tp>
      <tp>
        <v>3.827</v>
        <stp/>
        <stp>P</stp>
        <stp>0</stp>
        <stp>BND</stp>
        <stp>KR6176943E49</stp>
        <stp>민평3사 수익률(산출일)</stp>
        <stp>46198</stp>
        <stp/>
        <tr r="DD52" s="1"/>
      </tp>
      <tp>
        <v>4.1779999999999999</v>
        <stp/>
        <stp>P</stp>
        <stp>0</stp>
        <stp>BND</stp>
        <stp>KR6055552D89</stp>
        <stp>민평3사 수익률(산출일)</stp>
        <stp>46198</stp>
        <stp/>
        <tr r="BT156" s="1"/>
      </tp>
      <tp>
        <v>3.9990000000000001</v>
        <stp/>
        <stp>P</stp>
        <stp>0</stp>
        <stp>BND</stp>
        <stp>KR381002GD87</stp>
        <stp>민평3사 수익률(산출일)</stp>
        <stp>46198</stp>
        <stp/>
        <tr r="L339" s="1"/>
      </tp>
      <tp>
        <v>2.8639999999999999</v>
        <stp/>
        <stp>P</stp>
        <stp>0</stp>
        <stp>BND</stp>
        <stp>KR350701GD86</stp>
        <stp>민평3사 수익률(산출일)</stp>
        <stp>46198</stp>
        <stp/>
        <tr r="L318" s="1"/>
        <tr r="DD271" s="1"/>
      </tp>
      <tp>
        <v>4.3250000000000002</v>
        <stp/>
        <stp>P</stp>
        <stp>0</stp>
        <stp>BND</stp>
        <stp>KR350702GD85</stp>
        <stp>민평3사 수익률(산출일)</stp>
        <stp>46198</stp>
        <stp/>
        <tr r="DD297" s="1"/>
      </tp>
      <tp>
        <v>4.4550000000000001</v>
        <stp/>
        <stp>P</stp>
        <stp>0</stp>
        <stp>BND</stp>
        <stp>KR6176943G47</stp>
        <stp>민평3사 수익률(산출일)</stp>
        <stp>46198</stp>
        <stp/>
        <tr r="L123" s="1"/>
        <tr r="BT45" s="1"/>
        <tr r="DD34" s="1"/>
      </tp>
      <tp>
        <v>3.2410000000000001</v>
        <stp/>
        <stp>P</stp>
        <stp>0</stp>
        <stp>BND</stp>
        <stp>KR6019458E97</stp>
        <stp>민평3사 수익률(산출일)</stp>
        <stp>46198</stp>
        <stp/>
        <tr r="CF62" s="1"/>
      </tp>
      <tp>
        <v>4.4779999999999998</v>
        <stp/>
        <stp>P</stp>
        <stp>0</stp>
        <stp>BND</stp>
        <stp>KR354601GF87</stp>
        <stp>민평3사 수익률(산출일)</stp>
        <stp>46198</stp>
        <stp/>
        <tr r="L252" s="1"/>
      </tp>
      <tp>
        <v>3.774</v>
        <stp/>
        <stp>P</stp>
        <stp>0</stp>
        <stp>BND</stp>
        <stp>KR354701GE87</stp>
        <stp>민평3사 수익률(산출일)</stp>
        <stp>46198</stp>
        <stp/>
        <tr r="EB29" s="1"/>
      </tp>
      <tp>
        <v>4.3</v>
        <stp/>
        <stp>P</stp>
        <stp>0</stp>
        <stp>BND</stp>
        <stp>KR350801GB87</stp>
        <stp>민평3사 수익률(산출일)</stp>
        <stp>46198</stp>
        <stp/>
        <tr r="L246" s="1"/>
        <tr r="BT201" s="1"/>
        <tr r="DD295" s="1"/>
      </tp>
      <tp>
        <v>4.282</v>
        <stp/>
        <stp>P</stp>
        <stp>0</stp>
        <stp>BND</stp>
        <stp>KR3561027284</stp>
        <stp>민평3사 수익률(산출일)</stp>
        <stp>46198</stp>
        <stp/>
        <tr r="DD266" s="1"/>
      </tp>
      <tp>
        <v>3.9049999999999998</v>
        <stp/>
        <stp>P</stp>
        <stp>0</stp>
        <stp>BND</stp>
        <stp>KR6008561F85</stp>
        <stp>민평3사 수익률(산출일)</stp>
        <stp>46198</stp>
        <stp/>
        <tr r="BT229" s="1"/>
      </tp>
      <tp>
        <v>4.2670000000000003</v>
        <stp/>
        <stp>P</stp>
        <stp>0</stp>
        <stp>BND</stp>
        <stp>KR6003452F96</stp>
        <stp>민평3사 수익률(산출일)</stp>
        <stp>46198</stp>
        <stp/>
        <tr r="BT68" s="1"/>
      </tp>
      <tp>
        <v>4.3159999999999998</v>
        <stp/>
        <stp>P</stp>
        <stp>0</stp>
        <stp>BND</stp>
        <stp>KR350902G687</stp>
        <stp>민평3사 수익률(산출일)</stp>
        <stp>46198</stp>
        <stp/>
        <tr r="L63" s="1"/>
      </tp>
      <tp>
        <v>2.8239999999999998</v>
        <stp/>
        <stp>P</stp>
        <stp>0</stp>
        <stp>BND</stp>
        <stp>KR2001024992</stp>
        <stp>민평3사 수익률(산출일)</stp>
        <stp>46198</stp>
        <stp/>
        <tr r="L381" s="1"/>
      </tp>
      <tp>
        <v>4.2729999999999997</v>
        <stp/>
        <stp>P</stp>
        <stp>0</stp>
        <stp>BND</stp>
        <stp>KR6064981G48</stp>
        <stp>민평3사 수익률(산출일)</stp>
        <stp>46198</stp>
        <stp/>
        <tr r="DD67" s="1"/>
      </tp>
      <tp>
        <v>4.3099999999999996</v>
        <stp/>
        <stp>P</stp>
        <stp>0</stp>
        <stp>BND</stp>
        <stp>KR6019809F50</stp>
        <stp>민평3사 수익률(산출일)</stp>
        <stp>46198</stp>
        <stp/>
        <tr r="L189" s="1"/>
      </tp>
      <tp>
        <v>4.2290000000000001</v>
        <stp/>
        <stp>P</stp>
        <stp>0</stp>
        <stp>BND</stp>
        <stp>KR352701G582</stp>
        <stp>민평3사 수익률(산출일)</stp>
        <stp>46198</stp>
        <stp/>
        <tr r="L293" s="1"/>
      </tp>
      <tp>
        <v>4.0259999999999998</v>
        <stp/>
        <stp>P</stp>
        <stp>0</stp>
        <stp>BND</stp>
        <stp>KR352703GD80</stp>
        <stp>민평3사 수익률(산출일)</stp>
        <stp>46198</stp>
        <stp/>
        <tr r="L79" s="1"/>
      </tp>
      <tp>
        <v>4.367</v>
        <stp/>
        <stp>P</stp>
        <stp>0</stp>
        <stp>BND</stp>
        <stp>KR350701G782</stp>
        <stp>민평3사 수익률(산출일)</stp>
        <stp>46198</stp>
        <stp/>
        <tr r="L249" s="1"/>
      </tp>
      <tp>
        <v>4.2679999999999998</v>
        <stp/>
        <stp>P</stp>
        <stp>0</stp>
        <stp>BND</stp>
        <stp>KR350106GF85</stp>
        <stp>민평3사 수익률(산출일)</stp>
        <stp>46198</stp>
        <stp/>
        <tr r="L223" s="1"/>
      </tp>
      <tp>
        <v>4.2859999999999996</v>
        <stp/>
        <stp>P</stp>
        <stp>0</stp>
        <stp>BND</stp>
        <stp>KR6021963G40</stp>
        <stp>민평3사 수익률(산출일)</stp>
        <stp>46198</stp>
        <stp/>
        <tr r="CR14" s="1"/>
      </tp>
      <tp>
        <v>4.2990000000000004</v>
        <stp/>
        <stp>P</stp>
        <stp>0</stp>
        <stp>BND</stp>
        <stp>KR6019803F56</stp>
        <stp>민평3사 수익률(산출일)</stp>
        <stp>46198</stp>
        <stp/>
        <tr r="BT64" s="1"/>
        <tr r="L180" s="1"/>
      </tp>
      <tp>
        <v>4.0860000000000003</v>
        <stp/>
        <stp>P</stp>
        <stp>0</stp>
        <stp>BND</stp>
        <stp>KR6021962G41</stp>
        <stp>민평3사 수익률(산출일)</stp>
        <stp>46198</stp>
        <stp/>
        <tr r="L102" s="1"/>
      </tp>
      <tp>
        <v>3.7450000000000001</v>
        <stp/>
        <stp>P</stp>
        <stp>0</stp>
        <stp>BND</stp>
        <stp>KR6095923E45</stp>
        <stp>민평3사 수익률(산출일)</stp>
        <stp>46198</stp>
        <stp/>
        <tr r="L274" s="1"/>
      </tp>
      <tp>
        <v>4.1710000000000003</v>
        <stp/>
        <stp>P</stp>
        <stp>0</stp>
        <stp>BND</stp>
        <stp>KR354411G990</stp>
        <stp>민평3사 수익률(산출일)</stp>
        <stp>46198</stp>
        <stp/>
        <tr r="DD237" s="1"/>
      </tp>
      <tp>
        <v>4.1550000000000002</v>
        <stp/>
        <stp>P</stp>
        <stp>0</stp>
        <stp>BND</stp>
        <stp>KR350802GE83</stp>
        <stp>민평3사 수익률(산출일)</stp>
        <stp>46198</stp>
        <stp/>
        <tr r="X29" s="1"/>
      </tp>
      <tp>
        <v>4.2069999999999999</v>
        <stp/>
        <stp>P</stp>
        <stp>0</stp>
        <stp>BND</stp>
        <stp>KR350201GE80</stp>
        <stp>민평3사 수익률(산출일)</stp>
        <stp>46198</stp>
        <stp/>
        <tr r="DD37" s="1"/>
      </tp>
      <tp>
        <v>4.3159999999999998</v>
        <stp/>
        <stp>P</stp>
        <stp>0</stp>
        <stp>BND</stp>
        <stp>KR6006801G54</stp>
        <stp>민평3사 수익률(산출일)</stp>
        <stp>46198</stp>
        <stp/>
        <tr r="L122" s="1"/>
      </tp>
      <tp>
        <v>3.2890000000000001</v>
        <stp/>
        <stp>P</stp>
        <stp>0</stp>
        <stp>BND</stp>
        <stp>KR6021963E42</stp>
        <stp>민평3사 수익률(산출일)</stp>
        <stp>46198</stp>
        <stp/>
        <tr r="CF37" s="1"/>
      </tp>
      <tp>
        <v>3.7549999999999999</v>
        <stp/>
        <stp>P</stp>
        <stp>0</stp>
        <stp>BND</stp>
        <stp>KR6011911F45</stp>
        <stp>민평3사 수익률(산출일)</stp>
        <stp>46198</stp>
        <stp/>
        <tr r="BT50" s="1"/>
      </tp>
      <tp>
        <v>4.1829999999999998</v>
        <stp/>
        <stp>P</stp>
        <stp>0</stp>
        <stp>BND</stp>
        <stp>KR350106GE86</stp>
        <stp>민평3사 수익률(산출일)</stp>
        <stp>46198</stp>
        <stp/>
        <tr r="DD257" s="1"/>
      </tp>
      <tp>
        <v>4.2839999999999998</v>
        <stp/>
        <stp>P</stp>
        <stp>0</stp>
        <stp>BND</stp>
        <stp>KR3561037283</stp>
        <stp>민평3사 수익률(산출일)</stp>
        <stp>46198</stp>
        <stp/>
        <tr r="L372" s="1"/>
        <tr r="BT267" s="1"/>
        <tr r="DD277" s="1"/>
      </tp>
      <tp>
        <v>3.4740000000000002</v>
        <stp/>
        <stp>P</stp>
        <stp>0</stp>
        <stp>BND</stp>
        <stp>KR2004012C94</stp>
        <stp>민평3사 수익률(산출일)</stp>
        <stp>46198</stp>
        <stp/>
        <tr r="L369" s="1"/>
      </tp>
      <tp>
        <v>3.806</v>
        <stp/>
        <stp>P</stp>
        <stp>0</stp>
        <stp>BND</stp>
        <stp>KR6018882E20</stp>
        <stp>민평3사 수익률(산출일)</stp>
        <stp>46198</stp>
        <stp/>
        <tr r="EB18" s="1"/>
      </tp>
      <tp>
        <v>3.2970000000000002</v>
        <stp/>
        <stp>P</stp>
        <stp>0</stp>
        <stp>BND</stp>
        <stp>KR6079314698</stp>
        <stp>민평3사 수익률(산출일)</stp>
        <stp>46198</stp>
        <stp/>
        <tr r="CF72" s="1"/>
      </tp>
      <tp>
        <v>3.9129999999999998</v>
        <stp/>
        <stp>P</stp>
        <stp>0</stp>
        <stp>BND</stp>
        <stp>KR6016361E99</stp>
        <stp>민평3사 수익률(산출일)</stp>
        <stp>46198</stp>
        <stp/>
        <tr r="DD94" s="1"/>
      </tp>
      <tp>
        <v>4.452</v>
        <stp/>
        <stp>P</stp>
        <stp>0</stp>
        <stp>BND</stp>
        <stp>KR6145992F35</stp>
        <stp>민평3사 수익률(산출일)</stp>
        <stp>46198</stp>
        <stp/>
        <tr r="L220" s="1"/>
      </tp>
      <tp>
        <v>3.617</v>
        <stp/>
        <stp>P</stp>
        <stp>0</stp>
        <stp>BND</stp>
        <stp>KR6293981E37</stp>
        <stp>민평3사 수익률(산출일)</stp>
        <stp>46198</stp>
        <stp/>
        <tr r="BT140" s="1"/>
      </tp>
      <tp>
        <v>4.149</v>
        <stp/>
        <stp>P</stp>
        <stp>0</stp>
        <stp>BND</stp>
        <stp>KR6006801F22</stp>
        <stp>민평3사 수익률(산출일)</stp>
        <stp>46198</stp>
        <stp/>
        <tr r="BT240" s="1"/>
      </tp>
      <tp>
        <v>3.5720000000000001</v>
        <stp/>
        <stp>P</stp>
        <stp>0</stp>
        <stp>BND</stp>
        <stp>KR6051912E33</stp>
        <stp>민평3사 수익률(산출일)</stp>
        <stp>46198</stp>
        <stp/>
        <tr r="DD28" s="1"/>
      </tp>
      <tp>
        <v>3.72</v>
        <stp/>
        <stp>P</stp>
        <stp>0</stp>
        <stp>BND</stp>
        <stp>KR609592AG31</stp>
        <stp>민평3사 수익률(산출일)</stp>
        <stp>46198</stp>
        <stp/>
        <tr r="L301" s="1"/>
      </tp>
      <tp>
        <v>3.2290000000000001</v>
        <stp/>
        <stp>P</stp>
        <stp>0</stp>
        <stp>BND</stp>
        <stp>KR6019804E23</stp>
        <stp>민평3사 수익률(산출일)</stp>
        <stp>46198</stp>
        <stp/>
        <tr r="CF46" s="1"/>
      </tp>
      <tp>
        <v>3.7970000000000002</v>
        <stp/>
        <stp>P</stp>
        <stp>0</stp>
        <stp>BND</stp>
        <stp>KR6166262E84</stp>
        <stp>민평3사 수익률(산출일)</stp>
        <stp>46198</stp>
        <stp/>
        <tr r="L135" s="1"/>
      </tp>
      <tp>
        <v>3.19</v>
        <stp/>
        <stp>P</stp>
        <stp>0</stp>
        <stp>BND</stp>
        <stp>KR6008271E87</stp>
        <stp>민평3사 수익률(산출일)</stp>
        <stp>46198</stp>
        <stp/>
        <tr r="CF56" s="1"/>
      </tp>
      <tp>
        <v>4.2889999999999997</v>
        <stp/>
        <stp>P</stp>
        <stp>0</stp>
        <stp>BND</stp>
        <stp>KR6006802G20</stp>
        <stp>민평3사 수익률(산출일)</stp>
        <stp>46198</stp>
        <stp/>
        <tr r="DD106" s="1"/>
      </tp>
      <tp>
        <v>3.88</v>
        <stp/>
        <stp>P</stp>
        <stp>0</stp>
        <stp>BND</stp>
        <stp>KR6064313291</stp>
        <stp>민평3사 수익률(산출일)</stp>
        <stp>46198</stp>
        <stp/>
        <tr r="L144" s="1"/>
      </tp>
      <tp>
        <v>3.964</v>
        <stp/>
        <stp>P</stp>
        <stp>0</stp>
        <stp>BND</stp>
        <stp>KR6004944F33</stp>
        <stp>민평3사 수익률(산출일)</stp>
        <stp>46198</stp>
        <stp/>
        <tr r="L47" s="1"/>
      </tp>
      <tp>
        <v>4.024</v>
        <stp/>
        <stp>P</stp>
        <stp>0</stp>
        <stp>BND</stp>
        <stp>KR6065908G37</stp>
        <stp>민평3사 수익률(산출일)</stp>
        <stp>46198</stp>
        <stp/>
        <tr r="L101" s="1"/>
      </tp>
      <tp>
        <v>4.4809999999999999</v>
        <stp/>
        <stp>P</stp>
        <stp>0</stp>
        <stp>BND</stp>
        <stp>KR6004941A31</stp>
        <stp>민평3사 수익률(산출일)</stp>
        <stp>46198</stp>
        <stp/>
        <tr r="EB68" s="1"/>
      </tp>
      <tp>
        <v>3.1360000000000001</v>
        <stp/>
        <stp>P</stp>
        <stp>0</stp>
        <stp>BND</stp>
        <stp>KR6019802E25</stp>
        <stp>민평3사 수익률(산출일)</stp>
        <stp>46198</stp>
        <stp/>
        <tr r="CF48" s="1"/>
      </tp>
      <tp>
        <v>3.8530000000000002</v>
        <stp/>
        <stp>P</stp>
        <stp>0</stp>
        <stp>BND</stp>
        <stp>KR6176942G30</stp>
        <stp>민평3사 수익률(산출일)</stp>
        <stp>46198</stp>
        <stp/>
        <tr r="EB21" s="1"/>
      </tp>
      <tp>
        <v>3.456</v>
        <stp/>
        <stp>P</stp>
        <stp>0</stp>
        <stp>BND</stp>
        <stp>KR6064981F23</stp>
        <stp>민평3사 수익률(산출일)</stp>
        <stp>46198</stp>
        <stp/>
        <tr r="BT187" s="1"/>
      </tp>
      <tp>
        <v>3.3479999999999999</v>
        <stp/>
        <stp>P</stp>
        <stp>0</stp>
        <stp>BND</stp>
        <stp>KR6136301F89</stp>
        <stp>민평3사 수익률(산출일)</stp>
        <stp>46198</stp>
        <stp/>
        <tr r="CF60" s="1"/>
      </tp>
      <tp>
        <v>4.41</v>
        <stp/>
        <stp>P</stp>
        <stp>0</stp>
        <stp>BND</stp>
        <stp>KR6079312F88</stp>
        <stp>민평3사 수익률(산출일)</stp>
        <stp>46198</stp>
        <stp/>
        <tr r="CR36" s="1"/>
      </tp>
      <tp>
        <v>3.5779999999999998</v>
        <stp/>
        <stp>P</stp>
        <stp>0</stp>
        <stp>BND</stp>
        <stp>KR6145991C21</stp>
        <stp>민평3사 수익률(산출일)</stp>
        <stp>46198</stp>
        <stp/>
        <tr r="BT184" s="1"/>
      </tp>
      <tp>
        <v>4.2910000000000004</v>
        <stp/>
        <stp>P</stp>
        <stp>0</stp>
        <stp>BND</stp>
        <stp>KR6029884G31</stp>
        <stp>민평3사 수익률(산출일)</stp>
        <stp>46198</stp>
        <stp/>
        <tr r="DD117" s="1"/>
      </tp>
      <tp>
        <v>4.8330000000000002</v>
        <stp/>
        <stp>P</stp>
        <stp>0</stp>
        <stp>BND</stp>
        <stp>KR6144802F38</stp>
        <stp>민평3사 수익률(산출일)</stp>
        <stp>46198</stp>
        <stp/>
        <tr r="CR39" s="1"/>
      </tp>
      <tp>
        <v>3.2679999999999998</v>
        <stp/>
        <stp>P</stp>
        <stp>0</stp>
        <stp>BND</stp>
        <stp>KR6097248E98</stp>
        <stp>민평3사 수익률(산출일)</stp>
        <stp>46198</stp>
        <stp/>
        <tr r="CF43" s="1"/>
      </tp>
      <tp>
        <v>3.1859999999999999</v>
        <stp/>
        <stp>P</stp>
        <stp>0</stp>
        <stp>BND</stp>
        <stp>KR606590DE20</stp>
        <stp>민평3사 수익률(산출일)</stp>
        <stp>46198</stp>
        <stp/>
        <tr r="CF55" s="1"/>
      </tp>
      <tp>
        <v>3.9089999999999998</v>
        <stp/>
        <stp>P</stp>
        <stp>0</stp>
        <stp>BND</stp>
        <stp>KR6214342E86</stp>
        <stp>민평3사 수익률(산출일)</stp>
        <stp>46198</stp>
        <stp/>
        <tr r="CF83" s="1"/>
      </tp>
      <tp>
        <v>3.758</v>
        <stp/>
        <stp>P</stp>
        <stp>0</stp>
        <stp>BND</stp>
        <stp>KR6019803G30</stp>
        <stp>민평3사 수익률(산출일)</stp>
        <stp>46198</stp>
        <stp/>
        <tr r="DD60" s="1"/>
      </tp>
      <tp>
        <v>4.3490000000000002</v>
        <stp/>
        <stp>P</stp>
        <stp>0</stp>
        <stp>BND</stp>
        <stp>KR6005942F24</stp>
        <stp>민평3사 수익률(산출일)</stp>
        <stp>46198</stp>
        <stp/>
        <tr r="L212" s="1"/>
      </tp>
      <tp>
        <v>4.0339999999999998</v>
        <stp/>
        <stp>P</stp>
        <stp>0</stp>
        <stp>BND</stp>
        <stp>KR6004944G24</stp>
        <stp>민평3사 수익률(산출일)</stp>
        <stp>46198</stp>
        <stp/>
        <tr r="DD155" s="1"/>
      </tp>
      <tp>
        <v>4.1470000000000002</v>
        <stp/>
        <stp>P</stp>
        <stp>0</stp>
        <stp>BND</stp>
        <stp>KR6051914820</stp>
        <stp>민평3사 수익률(산출일)</stp>
        <stp>46198</stp>
        <stp/>
        <tr r="L59" s="1"/>
      </tp>
      <tp>
        <v>4.1180000000000003</v>
        <stp/>
        <stp>P</stp>
        <stp>0</stp>
        <stp>BND</stp>
        <stp>KR6005941F25</stp>
        <stp>민평3사 수익률(산출일)</stp>
        <stp>46198</stp>
        <stp/>
        <tr r="L161" s="1"/>
      </tp>
      <tp>
        <v>3.2429999999999999</v>
        <stp/>
        <stp>P</stp>
        <stp>0</stp>
        <stp>BND</stp>
        <stp>KR6097244B95</stp>
        <stp>민평3사 수익률(산출일)</stp>
        <stp>46198</stp>
        <stp/>
        <tr r="BT196" s="1"/>
      </tp>
      <tp>
        <v>4.3689999999999998</v>
        <stp/>
        <stp>P</stp>
        <stp>0</stp>
        <stp>BND</stp>
        <stp>KR6051914A27</stp>
        <stp>민평3사 수익률(산출일)</stp>
        <stp>46198</stp>
        <stp/>
        <tr r="BT89" s="1"/>
      </tp>
      <tp>
        <v>3.577</v>
        <stp/>
        <stp>P</stp>
        <stp>0</stp>
        <stp>BND</stp>
        <stp>KR6034222B94</stp>
        <stp>민평3사 수익률(산출일)</stp>
        <stp>46198</stp>
        <stp/>
        <tr r="CF24" s="1"/>
      </tp>
      <tp>
        <v>4.3310000000000004</v>
        <stp/>
        <stp>P</stp>
        <stp>0</stp>
        <stp>BND</stp>
        <stp>KR6076953D23</stp>
        <stp>민평3사 수익률(산출일)</stp>
        <stp>46198</stp>
        <stp/>
        <tr r="L94" s="1"/>
      </tp>
      <tp>
        <v>4.444</v>
        <stp/>
        <stp>P</stp>
        <stp>0</stp>
        <stp>BND</stp>
        <stp>KR6051914B26</stp>
        <stp>민평3사 수익률(산출일)</stp>
        <stp>46198</stp>
        <stp/>
        <tr r="DD249" s="1"/>
      </tp>
      <tp>
        <v>4.0529999999999999</v>
        <stp/>
        <stp>P</stp>
        <stp>0</stp>
        <stp>BND</stp>
        <stp>KR6079315E86</stp>
        <stp>민평3사 수익률(산출일)</stp>
        <stp>46198</stp>
        <stp/>
        <tr r="EB28" s="1"/>
      </tp>
      <tp>
        <v>4.26</v>
        <stp/>
        <stp>P</stp>
        <stp>0</stp>
        <stp>BND</stp>
        <stp>KR6019806G37</stp>
        <stp>민평3사 수익률(산출일)</stp>
        <stp>46198</stp>
        <stp/>
        <tr r="L99" s="1"/>
      </tp>
      <tp>
        <v>4.7939999999999996</v>
        <stp/>
        <stp>P</stp>
        <stp>0</stp>
        <stp>BND</stp>
        <stp>KR6103342F80</stp>
        <stp>민평3사 수익률(산출일)</stp>
        <stp>46198</stp>
        <stp/>
        <tr r="CR32" s="1"/>
      </tp>
      <tp>
        <v>4.25</v>
        <stp/>
        <stp>P</stp>
        <stp>0</stp>
        <stp>BND</stp>
        <stp>KR6021965F23</stp>
        <stp>민평3사 수익률(산출일)</stp>
        <stp>46198</stp>
        <stp/>
        <tr r="BT241" s="1"/>
      </tp>
      <tp>
        <v>4.0780000000000003</v>
        <stp/>
        <stp>P</stp>
        <stp>0</stp>
        <stp>BND</stp>
        <stp>KR6097952D20</stp>
        <stp>민평3사 수익률(산출일)</stp>
        <stp>46198</stp>
        <stp/>
        <tr r="L118" s="1"/>
      </tp>
      <tp>
        <v>4.3220000000000001</v>
        <stp/>
        <stp>P</stp>
        <stp>0</stp>
        <stp>BND</stp>
        <stp>KR6064983F13</stp>
        <stp>민평3사 수익률(산출일)</stp>
        <stp>46198</stp>
        <stp/>
        <tr r="EB55" s="1"/>
      </tp>
      <tp>
        <v>4.2539999999999996</v>
        <stp/>
        <stp>P</stp>
        <stp>0</stp>
        <stp>BND</stp>
        <stp>KR6064982G13</stp>
        <stp>민평3사 수익률(산출일)</stp>
        <stp>46198</stp>
        <stp/>
        <tr r="L163" s="1"/>
      </tp>
      <tp>
        <v>4.0860000000000003</v>
        <stp/>
        <stp>P</stp>
        <stp>0</stp>
        <stp>BND</stp>
        <stp>KR6064984G11</stp>
        <stp>민평3사 수익률(산출일)</stp>
        <stp>46198</stp>
        <stp/>
        <tr r="L148" s="1"/>
      </tp>
      <tp>
        <v>3.286</v>
        <stp/>
        <stp>P</stp>
        <stp>0</stp>
        <stp>BND</stp>
        <stp>KR617414AE99</stp>
        <stp>민평3사 수익률(산출일)</stp>
        <stp>46198</stp>
        <stp/>
        <tr r="CF63" s="1"/>
      </tp>
      <tp>
        <v>4.0590000000000002</v>
        <stp/>
        <stp>P</stp>
        <stp>0</stp>
        <stp>BND</stp>
        <stp>KR6316141995</stp>
        <stp>민평3사 수익률(산출일)</stp>
        <stp>46198</stp>
        <stp/>
        <tr r="EB46" s="1"/>
      </tp>
      <tp>
        <v>3.7469999999999999</v>
        <stp/>
        <stp>P</stp>
        <stp>0</stp>
        <stp>BND</stp>
        <stp>KR6000017E83</stp>
        <stp>민평3사 수익률(산출일)</stp>
        <stp>46198</stp>
        <stp/>
        <tr r="L130" s="1"/>
      </tp>
      <tp>
        <v>4.22</v>
        <stp/>
        <stp>P</stp>
        <stp>0</stp>
        <stp>BND</stp>
        <stp>KR6095922F11</stp>
        <stp>민평3사 수익률(산출일)</stp>
        <stp>46198</stp>
        <stp/>
        <tr r="L150" s="1"/>
      </tp>
      <tp>
        <v>3.2360000000000002</v>
        <stp/>
        <stp>P</stp>
        <stp>0</stp>
        <stp>BND</stp>
        <stp>KR6174148E96</stp>
        <stp>민평3사 수익률(산출일)</stp>
        <stp>46198</stp>
        <stp/>
        <tr r="CF64" s="1"/>
      </tp>
      <tp>
        <v>3.1890000000000001</v>
        <stp/>
        <stp>P</stp>
        <stp>0</stp>
        <stp>BND</stp>
        <stp>KR6176943E15</stp>
        <stp>민평3사 수익률(산출일)</stp>
        <stp>46198</stp>
        <stp/>
        <tr r="CF21" s="1"/>
      </tp>
      <tp>
        <v>3.508</v>
        <stp/>
        <stp>P</stp>
        <stp>0</stp>
        <stp>BND</stp>
        <stp>KR602196BF10</stp>
        <stp>민평3사 수익률(산출일)</stp>
        <stp>46198</stp>
        <stp/>
        <tr r="BT177" s="1"/>
      </tp>
      <tp>
        <v>4.1159999999999997</v>
        <stp/>
        <stp>P</stp>
        <stp>0</stp>
        <stp>BND</stp>
        <stp>KR6051911F17</stp>
        <stp>민평3사 수익률(산출일)</stp>
        <stp>46198</stp>
        <stp/>
        <tr r="L288" s="1"/>
      </tp>
      <tp>
        <v>4.3650000000000002</v>
        <stp/>
        <stp>P</stp>
        <stp>0</stp>
        <stp>BND</stp>
        <stp>KR6051912F16</stp>
        <stp>민평3사 수익률(산출일)</stp>
        <stp>46198</stp>
        <stp/>
        <tr r="EB52" s="1"/>
      </tp>
      <tp>
        <v>3.4769999999999999</v>
        <stp/>
        <stp>P</stp>
        <stp>0</stp>
        <stp>BND</stp>
        <stp>KR606590BE14</stp>
        <stp>민평3사 수익률(산출일)</stp>
        <stp>46198</stp>
        <stp/>
        <tr r="BT160" s="1"/>
      </tp>
      <tp>
        <v>4.4710000000000001</v>
        <stp/>
        <stp>P</stp>
        <stp>0</stp>
        <stp>BND</stp>
        <stp>KR6060005A85</stp>
        <stp>민평3사 수익률(산출일)</stp>
        <stp>46198</stp>
        <stp/>
        <tr r="EB77" s="1"/>
      </tp>
      <tp>
        <v>4.37</v>
        <stp/>
        <stp>P</stp>
        <stp>0</stp>
        <stp>BND</stp>
        <stp>KR6139132F88</stp>
        <stp>민평3사 수익률(산출일)</stp>
        <stp>46198</stp>
        <stp/>
        <tr r="BT109" s="1"/>
        <tr r="DP13" s="1"/>
      </tp>
      <tp>
        <v>3.2130000000000001</v>
        <stp/>
        <stp>P</stp>
        <stp>0</stp>
        <stp>BND</stp>
        <stp>KR6047051E99</stp>
        <stp>민평3사 수익률(산출일)</stp>
        <stp>46198</stp>
        <stp/>
        <tr r="BT182" s="1"/>
      </tp>
      <tp>
        <v>3.927</v>
        <stp/>
        <stp>P</stp>
        <stp>0</stp>
        <stp>BND</stp>
        <stp>KR6047052E98</stp>
        <stp>민평3사 수익률(산출일)</stp>
        <stp>46198</stp>
        <stp/>
        <tr r="BT57" s="1"/>
      </tp>
      <tp>
        <v>4.2949999999999999</v>
        <stp/>
        <stp>P</stp>
        <stp>0</stp>
        <stp>BND</stp>
        <stp>KR6140174F85</stp>
        <stp>민평3사 수익률(산출일)</stp>
        <stp>46198</stp>
        <stp/>
        <tr r="L202" s="1"/>
      </tp>
      <tp>
        <v>3.9350000000000001</v>
        <stp/>
        <stp>P</stp>
        <stp>0</stp>
        <stp>BND</stp>
        <stp>KR6019805F13</stp>
        <stp>민평3사 수익률(산출일)</stp>
        <stp>46198</stp>
        <stp/>
        <tr r="BT102" s="1"/>
      </tp>
      <tp>
        <v>4.29</v>
        <stp/>
        <stp>P</stp>
        <stp>0</stp>
        <stp>BND</stp>
        <stp>KR6029882F18</stp>
        <stp>민평3사 수익률(산출일)</stp>
        <stp>46198</stp>
        <stp/>
        <tr r="L376" s="1"/>
      </tp>
      <tp>
        <v>4.2990000000000004</v>
        <stp/>
        <stp>P</stp>
        <stp>0</stp>
        <stp>BND</stp>
        <stp>KR6140173F86</stp>
        <stp>민평3사 수익률(산출일)</stp>
        <stp>46198</stp>
        <stp/>
        <tr r="L199" s="1"/>
      </tp>
      <tp>
        <v>3.6030000000000002</v>
        <stp/>
        <stp>P</stp>
        <stp>0</stp>
        <stp>BND</stp>
        <stp>KR6089862F16</stp>
        <stp>민평3사 수익률(산출일)</stp>
        <stp>46198</stp>
        <stp/>
        <tr r="CR54" s="1"/>
      </tp>
      <tp>
        <v>3.246</v>
        <stp/>
        <stp>P</stp>
        <stp>0</stp>
        <stp>BND</stp>
        <stp>KR6039091E98</stp>
        <stp>민평3사 수익률(산출일)</stp>
        <stp>46198</stp>
        <stp/>
        <tr r="CF66" s="1"/>
      </tp>
      <tp>
        <v>4.3170000000000002</v>
        <stp/>
        <stp>P</stp>
        <stp>0</stp>
        <stp>BND</stp>
        <stp>KR6174141F84</stp>
        <stp>민평3사 수익률(산출일)</stp>
        <stp>46198</stp>
        <stp/>
        <tr r="L193" s="1"/>
      </tp>
      <tp>
        <v>4.2990000000000004</v>
        <stp/>
        <stp>P</stp>
        <stp>0</stp>
        <stp>BND</stp>
        <stp>KR6140172F87</stp>
        <stp>민평3사 수익률(산출일)</stp>
        <stp>46198</stp>
        <stp/>
        <tr r="L198" s="1"/>
      </tp>
      <tp>
        <v>3.9390000000000001</v>
        <stp/>
        <stp>P</stp>
        <stp>0</stp>
        <stp>BND</stp>
        <stp>KR6034122E84</stp>
        <stp>민평3사 수익률(산출일)</stp>
        <stp>46198</stp>
        <stp/>
        <tr r="L128" s="1"/>
      </tp>
      <tp>
        <v>4.4720000000000004</v>
        <stp/>
        <stp>P</stp>
        <stp>0</stp>
        <stp>BND</stp>
        <stp>KR6004023F94</stp>
        <stp>민평3사 수익률(산출일)</stp>
        <stp>46198</stp>
        <stp/>
        <tr r="DD143" s="1"/>
      </tp>
      <tp>
        <v>3.1659999999999999</v>
        <stp/>
        <stp>P</stp>
        <stp>0</stp>
        <stp>BND</stp>
        <stp>KR6140173B80</stp>
        <stp>민평3사 수익률(산출일)</stp>
        <stp>46198</stp>
        <stp/>
        <tr r="L244" s="1"/>
      </tp>
      <tp>
        <v>3.452</v>
        <stp/>
        <stp>P</stp>
        <stp>0</stp>
        <stp>BND</stp>
        <stp>KR6006802E14</stp>
        <stp>민평3사 수익률(산출일)</stp>
        <stp>46198</stp>
        <stp/>
        <tr r="CF86" s="1"/>
      </tp>
      <tp>
        <v>3.33</v>
        <stp/>
        <stp>P</stp>
        <stp>0</stp>
        <stp>BND</stp>
        <stp>KR6167161F83</stp>
        <stp>민평3사 수익률(산출일)</stp>
        <stp>46198</stp>
        <stp/>
        <tr r="CF69" s="1"/>
      </tp>
      <tp>
        <v>4.3929999999999998</v>
        <stp/>
        <stp>P</stp>
        <stp>0</stp>
        <stp>BND</stp>
        <stp>KR6047812F15</stp>
        <stp>민평3사 수익률(산출일)</stp>
        <stp>46198</stp>
        <stp/>
        <tr r="BT218" s="1"/>
        <tr r="EB53" s="1"/>
      </tp>
      <tp>
        <v>3.9119999999999999</v>
        <stp/>
        <stp>P</stp>
        <stp>0</stp>
        <stp>BND</stp>
        <stp>KR6004021E97</stp>
        <stp>민평3사 수익률(산출일)</stp>
        <stp>46198</stp>
        <stp/>
        <tr r="BT202" s="1"/>
      </tp>
      <tp>
        <v>3.8719999999999999</v>
        <stp/>
        <stp>P</stp>
        <stp>0</stp>
        <stp>BND</stp>
        <stp>KR6011173C82</stp>
        <stp>민평3사 수익률(산출일)</stp>
        <stp>46198</stp>
        <stp/>
        <tr r="DD254" s="1"/>
      </tp>
      <tp t="s">
        <v/>
        <stp/>
        <stp>P</stp>
        <stp>0</stp>
        <stp>BND</stp>
        <stp>KRZF0149W8G2</stp>
        <stp>만기일</stp>
        <stp>46198</stp>
        <stp/>
        <tr r="CE79" s="1"/>
      </tp>
      <tp t="s">
        <v/>
        <stp/>
        <stp>P</stp>
        <stp>0</stp>
        <stp>BND</stp>
        <stp>KRZF0149W6G2</stp>
        <stp>만기일</stp>
        <stp>46198</stp>
        <stp/>
        <tr r="CE77" s="1"/>
      </tp>
      <tp t="s">
        <v/>
        <stp/>
        <stp>P</stp>
        <stp>0</stp>
        <stp>BND</stp>
        <stp>KRZF0149W7G2</stp>
        <stp>만기일</stp>
        <stp>46198</stp>
        <stp/>
        <tr r="CE78" s="1"/>
      </tp>
      <tp t="s">
        <v/>
        <stp/>
        <stp>P</stp>
        <stp>0</stp>
        <stp>BND</stp>
        <stp>KRZF0149W4G2</stp>
        <stp>만기일</stp>
        <stp>46198</stp>
        <stp/>
        <tr r="BS53" s="1"/>
      </tp>
      <tp t="s">
        <v/>
        <stp/>
        <stp>P</stp>
        <stp>0</stp>
        <stp>BND</stp>
        <stp>KRZF0149W5G2</stp>
        <stp>만기일</stp>
        <stp>46198</stp>
        <stp/>
        <tr r="CE154" s="1"/>
      </tp>
      <tp>
        <v>20260828</v>
        <stp/>
        <stp>P</stp>
        <stp>0</stp>
        <stp>BND</stp>
        <stp>KR601980WD84</stp>
        <stp>만기일</stp>
        <stp>46198</stp>
        <stp/>
        <tr r="DC166" s="1"/>
      </tp>
      <tp>
        <v>20261123</v>
        <stp/>
        <stp>P</stp>
        <stp>0</stp>
        <stp>BND</stp>
        <stp>KR602988SDB0</stp>
        <stp>만기일</stp>
        <stp>46198</stp>
        <stp/>
        <tr r="BS163" s="1"/>
      </tp>
      <tp t="s">
        <v/>
        <stp/>
        <stp>P</stp>
        <stp>0</stp>
        <stp>BND</stp>
        <stp>KRZF0156PPG1</stp>
        <stp>만기일</stp>
        <stp>46198</stp>
        <stp/>
        <tr r="BS122" s="1"/>
      </tp>
      <tp t="s">
        <v/>
        <stp/>
        <stp>P</stp>
        <stp>0</stp>
        <stp>BND</stp>
        <stp>KRZF0107PVFA</stp>
        <stp>만기일</stp>
        <stp>46198</stp>
        <stp/>
        <tr r="DC174" s="1"/>
      </tp>
      <tp t="s">
        <v/>
        <stp/>
        <stp>P</stp>
        <stp>0</stp>
        <stp>BND</stp>
        <stp>KRZF0156PNG1</stp>
        <stp>만기일</stp>
        <stp>46198</stp>
        <stp/>
        <tr r="BS123" s="1"/>
      </tp>
      <tp t="s">
        <v/>
        <stp/>
        <stp>P</stp>
        <stp>0</stp>
        <stp>BND</stp>
        <stp>KRZS0078P033</stp>
        <stp>만기일</stp>
        <stp>46198</stp>
        <stp/>
        <tr r="CE14" s="1"/>
      </tp>
      <tp>
        <v>20280608</v>
        <stp/>
        <stp>P</stp>
        <stp>0</stp>
        <stp>BND</stp>
        <stp>KR350801GB61</stp>
        <stp>만기일</stp>
        <stp>46198</stp>
        <stp/>
        <tr r="K211" s="1"/>
      </tp>
      <tp>
        <v>20310824</v>
        <stp/>
        <stp>P</stp>
        <stp>0</stp>
        <stp>BND</stp>
        <stp>KR350801GB87</stp>
        <stp>만기일</stp>
        <stp>46198</stp>
        <stp/>
        <tr r="K246" s="1"/>
        <tr r="BS201" s="1"/>
        <tr r="DC295" s="1"/>
      </tp>
      <tp>
        <v>20281208</v>
        <stp/>
        <stp>P</stp>
        <stp>0</stp>
        <stp>BND</stp>
        <stp>KR350901GFC5</stp>
        <stp>만기일</stp>
        <stp>46198</stp>
        <stp/>
        <tr r="DC128" s="1"/>
      </tp>
      <tp>
        <v>20301030</v>
        <stp/>
        <stp>P</stp>
        <stp>0</stp>
        <stp>BND</stp>
        <stp>KR602988EFA7</stp>
        <stp>만기일</stp>
        <stp>46198</stp>
        <stp/>
        <tr r="EA63" s="1"/>
      </tp>
      <tp>
        <v>20310514</v>
        <stp/>
        <stp>P</stp>
        <stp>0</stp>
        <stp>BND</stp>
        <stp>KR350802GG57</stp>
        <stp>만기일</stp>
        <stp>46198</stp>
        <stp/>
        <tr r="DC169" s="1"/>
      </tp>
      <tp>
        <v>20550715</v>
        <stp/>
        <stp>P</stp>
        <stp>0</stp>
        <stp>BND</stp>
        <stp>KR350901GF74</stp>
        <stp>만기일</stp>
        <stp>46198</stp>
        <stp/>
        <tr r="K73" s="1"/>
      </tp>
      <tp>
        <v>20290417</v>
        <stp/>
        <stp>P</stp>
        <stp>0</stp>
        <stp>BND</stp>
        <stp>KR350901GG40</stp>
        <stp>만기일</stp>
        <stp>46198</stp>
        <stp/>
        <tr r="BS52" s="1"/>
      </tp>
      <tp>
        <v>20290814</v>
        <stp/>
        <stp>P</stp>
        <stp>0</stp>
        <stp>BND</stp>
        <stp>KR350802GE83</stp>
        <stp>만기일</stp>
        <stp>46198</stp>
        <stp/>
        <tr r="W29" s="1"/>
      </tp>
      <tp>
        <v>20281116</v>
        <stp/>
        <stp>P</stp>
        <stp>0</stp>
        <stp>BND</stp>
        <stp>KR350802GDB2</stp>
        <stp>만기일</stp>
        <stp>46198</stp>
        <stp/>
        <tr r="K89" s="1"/>
      </tp>
      <tp>
        <v>20280414</v>
        <stp/>
        <stp>P</stp>
        <stp>0</stp>
        <stp>BND</stp>
        <stp>KR350802GD43</stp>
        <stp>만기일</stp>
        <stp>46198</stp>
        <stp/>
        <tr r="BS213" s="1"/>
      </tp>
      <tp>
        <v>20260923</v>
        <stp/>
        <stp>P</stp>
        <stp>0</stp>
        <stp>BND</stp>
        <stp>KR601980FE92</stp>
        <stp>만기일</stp>
        <stp>46198</stp>
        <stp/>
        <tr r="CE42" s="1"/>
        <tr r="BS162" s="1"/>
      </tp>
      <tp>
        <v>20280721</v>
        <stp/>
        <stp>P</stp>
        <stp>0</stp>
        <stp>BND</stp>
        <stp>KR350802GD76</stp>
        <stp>만기일</stp>
        <stp>46198</stp>
        <stp/>
        <tr r="DC59" s="1"/>
      </tp>
      <tp>
        <v>20281026</v>
        <stp/>
        <stp>P</stp>
        <stp>0</stp>
        <stp>BND</stp>
        <stp>KR350705GDA9</stp>
        <stp>만기일</stp>
        <stp>46198</stp>
        <stp/>
        <tr r="K346" s="1"/>
      </tp>
      <tp>
        <v>20311021</v>
        <stp/>
        <stp>P</stp>
        <stp>0</stp>
        <stp>BND</stp>
        <stp>KR350106GBA4</stp>
        <stp>만기일</stp>
        <stp>46198</stp>
        <stp/>
        <tr r="BS87" s="1"/>
      </tp>
      <tp>
        <v>20331026</v>
        <stp/>
        <stp>P</stp>
        <stp>0</stp>
        <stp>BND</stp>
        <stp>KR350706GDA7</stp>
        <stp>만기일</stp>
        <stp>46198</stp>
        <stp/>
        <tr r="K298" s="1"/>
      </tp>
      <tp>
        <v>20261001</v>
        <stp/>
        <stp>P</stp>
        <stp>0</stp>
        <stp>BND</stp>
        <stp>KR350101GBA5</stp>
        <stp>만기일</stp>
        <stp>46198</stp>
        <stp/>
        <tr r="DC256" s="1"/>
      </tp>
      <tp>
        <v>20331013</v>
        <stp/>
        <stp>P</stp>
        <stp>0</stp>
        <stp>BND</stp>
        <stp>KR350702GDA6</stp>
        <stp>만기일</stp>
        <stp>46198</stp>
        <stp/>
        <tr r="BS264" s="1"/>
      </tp>
      <tp>
        <v>20281124</v>
        <stp/>
        <stp>P</stp>
        <stp>0</stp>
        <stp>BND</stp>
        <stp>KR350112GBB0</stp>
        <stp>만기일</stp>
        <stp>46198</stp>
        <stp/>
        <tr r="K51" s="1"/>
      </tp>
      <tp>
        <v>20281130</v>
        <stp/>
        <stp>P</stp>
        <stp>0</stp>
        <stp>BND</stp>
        <stp>KR350114GBB6</stp>
        <stp>만기일</stp>
        <stp>46198</stp>
        <stp/>
        <tr r="K207" s="1"/>
      </tp>
      <tp>
        <v>20281203</v>
        <stp/>
        <stp>P</stp>
        <stp>0</stp>
        <stp>BND</stp>
        <stp>KR350104GBC5</stp>
        <stp>만기일</stp>
        <stp>46198</stp>
        <stp/>
        <tr r="K208" s="1"/>
      </tp>
      <tp>
        <v>20281209</v>
        <stp/>
        <stp>P</stp>
        <stp>0</stp>
        <stp>BND</stp>
        <stp>KR350105GBC2</stp>
        <stp>만기일</stp>
        <stp>46198</stp>
        <stp/>
        <tr r="K52" s="1"/>
      </tp>
      <tp>
        <v>20281122</v>
        <stp/>
        <stp>P</stp>
        <stp>0</stp>
        <stp>BND</stp>
        <stp>KR350110GBB4</stp>
        <stp>만기일</stp>
        <stp>46198</stp>
        <stp/>
        <tr r="DC138" s="1"/>
      </tp>
      <tp>
        <v>20281119</v>
        <stp/>
        <stp>P</stp>
        <stp>0</stp>
        <stp>BND</stp>
        <stp>KR350108GBB8</stp>
        <stp>만기일</stp>
        <stp>46198</stp>
        <stp/>
        <tr r="K203" s="1"/>
      </tp>
      <tp>
        <v>20290119</v>
        <stp/>
        <stp>P</stp>
        <stp>0</stp>
        <stp>BND</stp>
        <stp>KR614017CC14</stp>
        <stp>만기일</stp>
        <stp>46198</stp>
        <stp/>
        <tr r="K201" s="1"/>
      </tp>
      <tp>
        <v>20260709</v>
        <stp/>
        <stp>P</stp>
        <stp>0</stp>
        <stp>BND</stp>
        <stp>KR350106GB71</stp>
        <stp>만기일</stp>
        <stp>46198</stp>
        <stp/>
        <tr r="K88" s="1"/>
      </tp>
      <tp>
        <v>20430608</v>
        <stp/>
        <stp>P</stp>
        <stp>0</stp>
        <stp>BND</stp>
        <stp>KR350702GD69</stp>
        <stp>만기일</stp>
        <stp>46198</stp>
        <stp/>
        <tr r="K235" s="1"/>
      </tp>
      <tp>
        <v>20280119</v>
        <stp/>
        <stp>P</stp>
        <stp>0</stp>
        <stp>BND</stp>
        <stp>KR350702GD10</stp>
        <stp>만기일</stp>
        <stp>46198</stp>
        <stp/>
        <tr r="BS209" s="1"/>
      </tp>
      <tp>
        <v>20310910</v>
        <stp/>
        <stp>P</stp>
        <stp>0</stp>
        <stp>BND</stp>
        <stp>KR350106GB97</stp>
        <stp>만기일</stp>
        <stp>46198</stp>
        <stp/>
        <tr r="DC144" s="1"/>
      </tp>
      <tp>
        <v>20330905</v>
        <stp/>
        <stp>P</stp>
        <stp>0</stp>
        <stp>BND</stp>
        <stp>KR350701GD94</stp>
        <stp>만기일</stp>
        <stp>46198</stp>
        <stp/>
        <tr r="K110" s="1"/>
      </tp>
      <tp>
        <v>20260731</v>
        <stp/>
        <stp>P</stp>
        <stp>0</stp>
        <stp>BND</stp>
        <stp>KR350701GD86</stp>
        <stp>만기일</stp>
        <stp>46198</stp>
        <stp/>
        <tr r="K318" s="1"/>
        <tr r="DC271" s="1"/>
      </tp>
      <tp>
        <v>20330817</v>
        <stp/>
        <stp>P</stp>
        <stp>0</stp>
        <stp>BND</stp>
        <stp>KR350702GD85</stp>
        <stp>만기일</stp>
        <stp>46198</stp>
        <stp/>
        <tr r="DC297" s="1"/>
      </tp>
      <tp>
        <v>20281024</v>
        <stp/>
        <stp>P</stp>
        <stp>0</stp>
        <stp>BND</stp>
        <stp>KR350705GEA7</stp>
        <stp>만기일</stp>
        <stp>46198</stp>
        <stp/>
        <tr r="K295" s="1"/>
      </tp>
      <tp>
        <v>20441108</v>
        <stp/>
        <stp>P</stp>
        <stp>0</stp>
        <stp>BND</stp>
        <stp>KR350702GEB2</stp>
        <stp>만기일</stp>
        <stp>46198</stp>
        <stp/>
        <tr r="K60" s="1"/>
      </tp>
      <tp>
        <v>20540430</v>
        <stp/>
        <stp>P</stp>
        <stp>0</stp>
        <stp>BND</stp>
        <stp>KR350702GE50</stp>
        <stp>만기일</stp>
        <stp>46198</stp>
        <stp/>
        <tr r="DC146" s="1"/>
      </tp>
      <tp>
        <v>20440422</v>
        <stp/>
        <stp>P</stp>
        <stp>0</stp>
        <stp>BND</stp>
        <stp>KR350702GE43</stp>
        <stp>만기일</stp>
        <stp>46198</stp>
        <stp/>
        <tr r="K294" s="1"/>
      </tp>
      <tp>
        <v>20280623</v>
        <stp/>
        <stp>P</stp>
        <stp>0</stp>
        <stp>BND</stp>
        <stp>KR310515GG67</stp>
        <stp>만기일</stp>
        <stp>46198</stp>
        <stp/>
        <tr r="DC30" s="1"/>
      </tp>
      <tp>
        <v>20260731</v>
        <stp/>
        <stp>P</stp>
        <stp>0</stp>
        <stp>BND</stp>
        <stp>KR353601DD76</stp>
        <stp>만기일</stp>
        <stp>46198</stp>
        <stp/>
        <tr r="BS203" s="1"/>
      </tp>
      <tp>
        <v>20260630</v>
        <stp/>
        <stp>P</stp>
        <stp>0</stp>
        <stp>BND</stp>
        <stp>KR353601DD68</stp>
        <stp>만기일</stp>
        <stp>46198</stp>
        <stp/>
        <tr r="K378" s="1"/>
      </tp>
      <tp>
        <v>20270617</v>
        <stp/>
        <stp>P</stp>
        <stp>0</stp>
        <stp>BND</stp>
        <stp>KR350109GC69</stp>
        <stp>만기일</stp>
        <stp>46198</stp>
        <stp/>
        <tr r="K350" s="1"/>
      </tp>
      <tp>
        <v>20320112</v>
        <stp/>
        <stp>P</stp>
        <stp>0</stp>
        <stp>BND</stp>
        <stp>KR350108GC11</stp>
        <stp>만기일</stp>
        <stp>46198</stp>
        <stp/>
        <tr r="K231" s="1"/>
        <tr r="DC18" s="1"/>
      </tp>
      <tp>
        <v>20320106</v>
        <stp/>
        <stp>P</stp>
        <stp>0</stp>
        <stp>BND</stp>
        <stp>KR350104GC15</stp>
        <stp>만기일</stp>
        <stp>46198</stp>
        <stp/>
        <tr r="DC148" s="1"/>
      </tp>
      <tp>
        <v>20320204</v>
        <stp/>
        <stp>P</stp>
        <stp>0</stp>
        <stp>BND</stp>
        <stp>KR350102GC25</stp>
        <stp>만기일</stp>
        <stp>46198</stp>
        <stp/>
        <tr r="DC142" s="1"/>
      </tp>
      <tp>
        <v>20540911</v>
        <stp/>
        <stp>P</stp>
        <stp>0</stp>
        <stp>BND</stp>
        <stp>KR350704GE90</stp>
        <stp>만기일</stp>
        <stp>46198</stp>
        <stp/>
        <tr r="K258" s="1"/>
      </tp>
      <tp>
        <v>20551015</v>
        <stp/>
        <stp>P</stp>
        <stp>0</stp>
        <stp>BND</stp>
        <stp>KR350706GFA2</stp>
        <stp>만기일</stp>
        <stp>46198</stp>
        <stp/>
        <tr r="K64" s="1"/>
      </tp>
      <tp>
        <v>20350622</v>
        <stp/>
        <stp>P</stp>
        <stp>0</stp>
        <stp>BND</stp>
        <stp>KR350706GF63</stp>
        <stp>만기일</stp>
        <stp>46198</stp>
        <stp/>
        <tr r="K241" s="1"/>
      </tp>
      <tp>
        <v>20280124</v>
        <stp/>
        <stp>P</stp>
        <stp>0</stp>
        <stp>BND</stp>
        <stp>KR350701GF19</stp>
        <stp>만기일</stp>
        <stp>46198</stp>
        <stp/>
        <tr r="BS108" s="1"/>
      </tp>
      <tp>
        <v>20350330</v>
        <stp/>
        <stp>P</stp>
        <stp>0</stp>
        <stp>BND</stp>
        <stp>KR350708GF38</stp>
        <stp>만기일</stp>
        <stp>46198</stp>
        <stp/>
        <tr r="BS225" s="1"/>
      </tp>
      <tp>
        <v>20350206</v>
        <stp/>
        <stp>P</stp>
        <stp>0</stp>
        <stp>BND</stp>
        <stp>KR350702GF26</stp>
        <stp>만기일</stp>
        <stp>46198</stp>
        <stp/>
        <tr r="BS76" s="1"/>
      </tp>
      <tp>
        <v>20300429</v>
        <stp/>
        <stp>P</stp>
        <stp>0</stp>
        <stp>BND</stp>
        <stp>KR350108GA47</stp>
        <stp>만기일</stp>
        <stp>46198</stp>
        <stp/>
        <tr r="K360" s="1"/>
      </tp>
      <tp>
        <v>20360428</v>
        <stp/>
        <stp>P</stp>
        <stp>0</stp>
        <stp>BND</stp>
        <stp>KR350706GG47</stp>
        <stp>만기일</stp>
        <stp>46198</stp>
        <stp/>
        <tr r="K48" s="1"/>
      </tp>
      <tp>
        <v>20290427</v>
        <stp/>
        <stp>P</stp>
        <stp>0</stp>
        <stp>BND</stp>
        <stp>KR350707GG46</stp>
        <stp>만기일</stp>
        <stp>46198</stp>
        <stp/>
        <tr r="BS44" s="1"/>
      </tp>
      <tp>
        <v>20300407</v>
        <stp/>
        <stp>P</stp>
        <stp>0</stp>
        <stp>BND</stp>
        <stp>KR350104GA41</stp>
        <stp>만기일</stp>
        <stp>46198</stp>
        <stp/>
        <tr r="K273" s="1"/>
        <tr r="W35" s="1"/>
      </tp>
      <tp>
        <v>20310616</v>
        <stp/>
        <stp>P</stp>
        <stp>0</stp>
        <stp>BND</stp>
        <stp>KR350201GB67</stp>
        <stp>만기일</stp>
        <stp>46198</stp>
        <stp/>
        <tr r="K237" s="1"/>
        <tr r="DC153" s="1"/>
      </tp>
      <tp>
        <v>20360616</v>
        <stp/>
        <stp>P</stp>
        <stp>0</stp>
        <stp>BND</stp>
        <stp>KR350701GG67</stp>
        <stp>만기일</stp>
        <stp>46198</stp>
        <stp/>
        <tr r="K44" s="1"/>
      </tp>
      <tp>
        <v>20290126</v>
        <stp/>
        <stp>P</stp>
        <stp>0</stp>
        <stp>BND</stp>
        <stp>KR350701GG18</stp>
        <stp>만기일</stp>
        <stp>46198</stp>
        <stp/>
        <tr r="DC83" s="1"/>
      </tp>
      <tp>
        <v>20300121</v>
        <stp/>
        <stp>P</stp>
        <stp>0</stp>
        <stp>BND</stp>
        <stp>KR350104GA17</stp>
        <stp>만기일</stp>
        <stp>46198</stp>
        <stp/>
        <tr r="DC278" s="1"/>
      </tp>
      <tp>
        <v>20270312</v>
        <stp/>
        <stp>P</stp>
        <stp>0</stp>
        <stp>BND</stp>
        <stp>KR350102GA35</stp>
        <stp>만기일</stp>
        <stp>46198</stp>
        <stp/>
        <tr r="K380" s="1"/>
        <tr r="W38" s="1"/>
      </tp>
      <tp>
        <v>20300711</v>
        <stp/>
        <stp>P</stp>
        <stp>0</stp>
        <stp>BND</stp>
        <stp>KR350106GF77</stp>
        <stp>만기일</stp>
        <stp>46198</stp>
        <stp/>
        <tr r="K218" s="1"/>
      </tp>
      <tp>
        <v>20270102</v>
        <stp/>
        <stp>P</stp>
        <stp>0</stp>
        <stp>BND</stp>
        <stp>KR310101GF19</stp>
        <stp>만기일</stp>
        <stp>46198</stp>
        <stp/>
        <tr r="BS91" s="1"/>
      </tp>
      <tp>
        <v>20280122</v>
        <stp/>
        <stp>P</stp>
        <stp>0</stp>
        <stp>BND</stp>
        <stp>KR350108GF18</stp>
        <stp>만기일</stp>
        <stp>46198</stp>
        <stp/>
        <tr r="K139" s="1"/>
      </tp>
      <tp>
        <v>20300206</v>
        <stp/>
        <stp>P</stp>
        <stp>0</stp>
        <stp>BND</stp>
        <stp>KR350103GF21</stp>
        <stp>만기일</stp>
        <stp>46198</stp>
        <stp/>
        <tr r="K56" s="1"/>
      </tp>
      <tp>
        <v>20300812</v>
        <stp/>
        <stp>P</stp>
        <stp>0</stp>
        <stp>BND</stp>
        <stp>KR350106GF85</stp>
        <stp>만기일</stp>
        <stp>46198</stp>
        <stp/>
        <tr r="K223" s="1"/>
      </tp>
      <tp>
        <v>20290828</v>
        <stp/>
        <stp>P</stp>
        <stp>0</stp>
        <stp>BND</stp>
        <stp>KR350201GE80</stp>
        <stp>만기일</stp>
        <stp>46198</stp>
        <stp/>
        <tr r="DC37" s="1"/>
      </tp>
      <tp>
        <v>20300528</v>
        <stp/>
        <stp>P</stp>
        <stp>0</stp>
        <stp>BND</stp>
        <stp>KR350703GA53</stp>
        <stp>만기일</stp>
        <stp>46198</stp>
        <stp/>
        <tr r="W26" s="1"/>
        <tr r="K326" s="1"/>
      </tp>
      <tp>
        <v>20310526</v>
        <stp/>
        <stp>P</stp>
        <stp>0</stp>
        <stp>BND</stp>
        <stp>KR350111GG53</stp>
        <stp>만기일</stp>
        <stp>46198</stp>
        <stp/>
        <tr r="K26" s="1"/>
      </tp>
      <tp>
        <v>20280608</v>
        <stp/>
        <stp>P</stp>
        <stp>0</stp>
        <stp>BND</stp>
        <stp>KR350103GG61</stp>
        <stp>만기일</stp>
        <stp>46198</stp>
        <stp/>
        <tr r="DC62" s="1"/>
      </tp>
      <tp>
        <v>20280103</v>
        <stp/>
        <stp>P</stp>
        <stp>0</stp>
        <stp>BND</stp>
        <stp>KR310201GD10</stp>
        <stp>만기일</stp>
        <stp>46198</stp>
        <stp/>
        <tr r="BS85" s="1"/>
      </tp>
      <tp>
        <v>20320323</v>
        <stp/>
        <stp>P</stp>
        <stp>0</stp>
        <stp>BND</stp>
        <stp>KR310501GC34</stp>
        <stp>만기일</stp>
        <stp>46198</stp>
        <stp/>
        <tr r="EA67" s="1"/>
      </tp>
      <tp>
        <v>20310210</v>
        <stp/>
        <stp>P</stp>
        <stp>0</stp>
        <stp>BND</stp>
        <stp>KR350104GG29</stp>
        <stp>만기일</stp>
        <stp>46198</stp>
        <stp/>
        <tr r="DC160" s="1"/>
      </tp>
      <tp>
        <v>20290420</v>
        <stp/>
        <stp>P</stp>
        <stp>0</stp>
        <stp>BND</stp>
        <stp>KR310213GG47</stp>
        <stp>만기일</stp>
        <stp>46198</stp>
        <stp/>
        <tr r="BS54" s="1"/>
      </tp>
      <tp>
        <v>20310430</v>
        <stp/>
        <stp>P</stp>
        <stp>0</stp>
        <stp>BND</stp>
        <stp>KR350201GG47</stp>
        <stp>만기일</stp>
        <stp>46198</stp>
        <stp/>
        <tr r="DC100" s="1"/>
      </tp>
      <tp>
        <v>20310226</v>
        <stp/>
        <stp>P</stp>
        <stp>0</stp>
        <stp>BND</stp>
        <stp>KR350202GG20</stp>
        <stp>만기일</stp>
        <stp>46198</stp>
        <stp/>
        <tr r="DC134" s="1"/>
      </tp>
      <tp>
        <v>20290326</v>
        <stp/>
        <stp>P</stp>
        <stp>0</stp>
        <stp>BND</stp>
        <stp>KR310211GG31</stp>
        <stp>만기일</stp>
        <stp>46198</stp>
        <stp/>
        <tr r="BS36" s="1"/>
      </tp>
      <tp>
        <v>20260903</v>
        <stp/>
        <stp>P</stp>
        <stp>0</stp>
        <stp>BND</stp>
        <stp>KR310102GD93</stp>
        <stp>만기일</stp>
        <stp>46198</stp>
        <stp/>
        <tr r="BS149" s="1"/>
      </tp>
      <tp>
        <v>20291025</v>
        <stp/>
        <stp>P</stp>
        <stp>0</stp>
        <stp>BND</stp>
        <stp>KR350109GEA2</stp>
        <stp>만기일</stp>
        <stp>46198</stp>
        <stp/>
        <tr r="K181" s="1"/>
      </tp>
      <tp>
        <v>20261002</v>
        <stp/>
        <stp>P</stp>
        <stp>0</stp>
        <stp>BND</stp>
        <stp>KR310101GEA8</stp>
        <stp>만기일</stp>
        <stp>46198</stp>
        <stp/>
        <tr r="K95" s="1"/>
        <tr r="BS158" s="1"/>
      </tp>
      <tp>
        <v>20260702</v>
        <stp/>
        <stp>P</stp>
        <stp>0</stp>
        <stp>BND</stp>
        <stp>KR310101GE77</stp>
        <stp>만기일</stp>
        <stp>46198</stp>
        <stp/>
        <tr r="BS157" s="1"/>
      </tp>
      <tp>
        <v>20290823</v>
        <stp/>
        <stp>P</stp>
        <stp>0</stp>
        <stp>BND</stp>
        <stp>KR350106GE86</stp>
        <stp>만기일</stp>
        <stp>46198</stp>
        <stp/>
        <tr r="DC257" s="1"/>
      </tp>
      <tp>
        <v>20280927</v>
        <stp/>
        <stp>P</stp>
        <stp>0</stp>
        <stp>BND</stp>
        <stp>KR350106G891</stp>
        <stp>만기일</stp>
        <stp>46198</stp>
        <stp/>
        <tr r="BS151" s="1"/>
      </tp>
      <tp>
        <v>20291219</v>
        <stp/>
        <stp>P</stp>
        <stp>0</stp>
        <stp>BND</stp>
        <stp>KR350105G9C6</stp>
        <stp>만기일</stp>
        <stp>46198</stp>
        <stp/>
        <tr r="K315" s="1"/>
      </tp>
      <tp>
        <v>20261114</v>
        <stp/>
        <stp>P</stp>
        <stp>0</stp>
        <stp>BND</stp>
        <stp>KR350103G9B0</stp>
        <stp>만기일</stp>
        <stp>46198</stp>
        <stp/>
        <tr r="BS215" s="1"/>
      </tp>
      <tp>
        <v>20290507</v>
        <stp/>
        <stp>P</stp>
        <stp>0</stp>
        <stp>BND</stp>
        <stp>KR350102G957</stp>
        <stp>만기일</stp>
        <stp>46198</stp>
        <stp/>
        <tr r="DC250" s="1"/>
      </tp>
      <tp>
        <v>20290304</v>
        <stp/>
        <stp>P</stp>
        <stp>0</stp>
        <stp>BND</stp>
        <stp>KR350101G934</stp>
        <stp>만기일</stp>
        <stp>46198</stp>
        <stp/>
        <tr r="BS199" s="1"/>
      </tp>
      <tp>
        <v>20350824</v>
        <stp/>
        <stp>P</stp>
        <stp>0</stp>
        <stp>BND</stp>
        <stp>KR350902G687</stp>
        <stp>만기일</stp>
        <stp>46198</stp>
        <stp/>
        <tr r="K63" s="1"/>
      </tp>
      <tp>
        <v>20260703</v>
        <stp/>
        <stp>P</stp>
        <stp>0</stp>
        <stp>BND</stp>
        <stp>KR350901G713</stp>
        <stp>만기일</stp>
        <stp>46198</stp>
        <stp/>
        <tr r="K85" s="1"/>
      </tp>
      <tp>
        <v>20300227</v>
        <stp/>
        <stp>P</stp>
        <stp>0</stp>
        <stp>BND</stp>
        <stp>KR350702G525</stp>
        <stp>만기일</stp>
        <stp>46198</stp>
        <stp/>
        <tr r="K224" s="1"/>
      </tp>
      <tp>
        <v>20461110</v>
        <stp/>
        <stp>P</stp>
        <stp>0</stp>
        <stp>BND</stp>
        <stp>KR350701G6B2</stp>
        <stp>만기일</stp>
        <stp>46198</stp>
        <stp/>
        <tr r="K268" s="1"/>
      </tp>
      <tp>
        <v>20381123</v>
        <stp/>
        <stp>P</stp>
        <stp>0</stp>
        <stp>BND</stp>
        <stp>KR350901G8B6</stp>
        <stp>만기일</stp>
        <stp>46198</stp>
        <stp/>
        <tr r="K62" s="1"/>
      </tp>
      <tp>
        <v>20270425</v>
        <stp/>
        <stp>P</stp>
        <stp>0</stp>
        <stp>BND</stp>
        <stp>KR350801G947</stp>
        <stp>만기일</stp>
        <stp>46198</stp>
        <stp/>
        <tr r="K364" s="1"/>
        <tr r="DC270" s="1"/>
      </tp>
      <tp>
        <v>20370824</v>
        <stp/>
        <stp>P</stp>
        <stp>0</stp>
        <stp>BND</stp>
        <stp>KR350701G782</stp>
        <stp>만기일</stp>
        <stp>46198</stp>
        <stp/>
        <tr r="K249" s="1"/>
      </tp>
      <tp>
        <v>20270425</v>
        <stp/>
        <stp>P</stp>
        <stp>0</stp>
        <stp>BND</stp>
        <stp>KR350104G748</stp>
        <stp>만기일</stp>
        <stp>46198</stp>
        <stp/>
        <tr r="DC258" s="1"/>
      </tp>
      <tp t="s">
        <v/>
        <stp/>
        <stp>P</stp>
        <stp>0</stp>
        <stp>BND</stp>
        <stp>KRZFA2047QG2</stp>
        <stp>만기일</stp>
        <stp>46198</stp>
        <stp/>
        <tr r="BS129" s="1"/>
      </tp>
      <tp t="s">
        <v/>
        <stp/>
        <stp>P</stp>
        <stp>0</stp>
        <stp>BND</stp>
        <stp>KRZFA2047RG2</stp>
        <stp>만기일</stp>
        <stp>46198</stp>
        <stp/>
        <tr r="BS128" s="1"/>
      </tp>
      <tp>
        <v>20270423</v>
        <stp/>
        <stp>P</stp>
        <stp>0</stp>
        <stp>BND</stp>
        <stp>KR351601GEA7</stp>
        <stp>만기일</stp>
        <stp>46198</stp>
        <stp/>
        <tr r="K107" s="1"/>
      </tp>
      <tp>
        <v>20310327</v>
        <stp/>
        <stp>P</stp>
        <stp>0</stp>
        <stp>BND</stp>
        <stp>KR351605GE31</stp>
        <stp>만기일</stp>
        <stp>46198</stp>
        <stp/>
        <tr r="K179" s="1"/>
      </tp>
      <tp>
        <v>20311019</v>
        <stp/>
        <stp>P</stp>
        <stp>0</stp>
        <stp>BND</stp>
        <stp>KR381002GBA8</stp>
        <stp>만기일</stp>
        <stp>46198</stp>
        <stp/>
        <tr r="EA70" s="1"/>
      </tp>
      <tp>
        <v>20261012</v>
        <stp/>
        <stp>P</stp>
        <stp>0</stp>
        <stp>BND</stp>
        <stp>KR617414AE99</stp>
        <stp>만기일</stp>
        <stp>46198</stp>
        <stp/>
        <tr r="CE63" s="1"/>
      </tp>
      <tp>
        <v>20300327</v>
        <stp/>
        <stp>P</stp>
        <stp>0</stp>
        <stp>BND</stp>
        <stp>KR351607GF38</stp>
        <stp>만기일</stp>
        <stp>46198</stp>
        <stp/>
        <tr r="DC242" s="1"/>
      </tp>
      <tp>
        <v>20270304</v>
        <stp/>
        <stp>P</stp>
        <stp>0</stp>
        <stp>BND</stp>
        <stp>KR381101GA31</stp>
        <stp>만기일</stp>
        <stp>46198</stp>
        <stp/>
        <tr r="DC156" s="1"/>
      </tp>
      <tp>
        <v>20350323</v>
        <stp/>
        <stp>P</stp>
        <stp>0</stp>
        <stp>BND</stp>
        <stp>KR351605GF30</stp>
        <stp>만기일</stp>
        <stp>46198</stp>
        <stp/>
        <tr r="K236" s="1"/>
      </tp>
      <tp>
        <v>20270424</v>
        <stp/>
        <stp>P</stp>
        <stp>0</stp>
        <stp>BND</stp>
        <stp>KR381004GEA8</stp>
        <stp>만기일</stp>
        <stp>46198</stp>
        <stp/>
        <tr r="K104" s="1"/>
      </tp>
      <tp>
        <v>20271115</v>
        <stp/>
        <stp>P</stp>
        <stp>0</stp>
        <stp>BND</stp>
        <stp>KR351604GCB3</stp>
        <stp>만기일</stp>
        <stp>46198</stp>
        <stp/>
        <tr r="DC263" s="1"/>
      </tp>
      <tp>
        <v>20270423</v>
        <stp/>
        <stp>P</stp>
        <stp>0</stp>
        <stp>BND</stp>
        <stp>KR381005GE42</stp>
        <stp>만기일</stp>
        <stp>46198</stp>
        <stp/>
        <tr r="K92" s="1"/>
      </tp>
      <tp>
        <v>20290625</v>
        <stp/>
        <stp>P</stp>
        <stp>0</stp>
        <stp>BND</stp>
        <stp>KR381005GE67</stp>
        <stp>만기일</stp>
        <stp>46198</stp>
        <stp/>
        <tr r="K355" s="1"/>
      </tp>
      <tp>
        <v>20270124</v>
        <stp/>
        <stp>P</stp>
        <stp>0</stp>
        <stp>BND</stp>
        <stp>KR381103GE19</stp>
        <stp>만기일</stp>
        <stp>46198</stp>
        <stp/>
        <tr r="CE44" s="1"/>
      </tp>
      <tp>
        <v>20270220</v>
        <stp/>
        <stp>P</stp>
        <stp>0</stp>
        <stp>BND</stp>
        <stp>KR381101GE29</stp>
        <stp>만기일</stp>
        <stp>46198</stp>
        <stp/>
        <tr r="K97" s="1"/>
      </tp>
      <tp>
        <v>20270826</v>
        <stp/>
        <stp>P</stp>
        <stp>0</stp>
        <stp>BND</stp>
        <stp>KR381103GE84</stp>
        <stp>만기일</stp>
        <stp>46198</stp>
        <stp/>
        <tr r="K136" s="1"/>
        <tr r="BS103" s="1"/>
      </tp>
      <tp>
        <v>20280807</v>
        <stp/>
        <stp>P</stp>
        <stp>0</stp>
        <stp>BND</stp>
        <stp>KR381002GD87</stp>
        <stp>만기일</stp>
        <stp>46198</stp>
        <stp/>
        <tr r="K339" s="1"/>
      </tp>
      <tp>
        <v>20280810</v>
        <stp/>
        <stp>P</stp>
        <stp>0</stp>
        <stp>BND</stp>
        <stp>KR381004GD85</stp>
        <stp>만기일</stp>
        <stp>46198</stp>
        <stp/>
        <tr r="BS210" s="1"/>
      </tp>
      <tp>
        <v>20310307</v>
        <stp/>
        <stp>P</stp>
        <stp>0</stp>
        <stp>BND</stp>
        <stp>KR351601G635</stp>
        <stp>만기일</stp>
        <stp>46198</stp>
        <stp/>
        <tr r="K275" s="1"/>
      </tp>
      <tp>
        <v>20260922</v>
        <stp/>
        <stp>P</stp>
        <stp>0</stp>
        <stp>BND</stp>
        <stp>KR381102G695</stp>
        <stp>만기일</stp>
        <stp>46198</stp>
        <stp/>
        <tr r="K371" s="1"/>
        <tr r="BS219" s="1"/>
        <tr r="DC298" s="1"/>
      </tp>
      <tp t="s">
        <v/>
        <stp/>
        <stp>P</stp>
        <stp>0</stp>
        <stp>BND</stp>
        <stp>KRZFA0354QG6</stp>
        <stp>만기일</stp>
        <stp>46198</stp>
        <stp/>
        <tr r="DC193" s="1"/>
      </tp>
      <tp t="s">
        <v/>
        <stp/>
        <stp>P</stp>
        <stp>0</stp>
        <stp>BND</stp>
        <stp>KRZFA0354PG6</stp>
        <stp>만기일</stp>
        <stp>46198</stp>
        <stp/>
        <tr r="DC188" s="1"/>
      </tp>
      <tp t="s">
        <v/>
        <stp/>
        <stp>P</stp>
        <stp>0</stp>
        <stp>BND</stp>
        <stp>KRZFA0354KG6</stp>
        <stp>만기일</stp>
        <stp>46198</stp>
        <stp/>
        <tr r="DC194" s="1"/>
      </tp>
      <tp t="s">
        <v/>
        <stp/>
        <stp>P</stp>
        <stp>0</stp>
        <stp>BND</stp>
        <stp>KRZFA0594KG5</stp>
        <stp>만기일</stp>
        <stp>46198</stp>
        <stp/>
        <tr r="DC223" s="1"/>
      </tp>
      <tp t="s">
        <v/>
        <stp/>
        <stp>P</stp>
        <stp>0</stp>
        <stp>BND</stp>
        <stp>KRZFA0354JG6</stp>
        <stp>만기일</stp>
        <stp>46198</stp>
        <stp/>
        <tr r="DC195" s="1"/>
      </tp>
      <tp t="s">
        <v/>
        <stp/>
        <stp>P</stp>
        <stp>0</stp>
        <stp>BND</stp>
        <stp>KRZFA0354HG6</stp>
        <stp>만기일</stp>
        <stp>46198</stp>
        <stp/>
        <tr r="DC190" s="1"/>
      </tp>
      <tp>
        <v>20271022</v>
        <stp/>
        <stp>P</stp>
        <stp>0</stp>
        <stp>BND</stp>
        <stp>KR601980DFC3</stp>
        <stp>만기일</stp>
        <stp>46198</stp>
        <stp/>
        <tr r="K324" s="1"/>
      </tp>
      <tp t="s">
        <v/>
        <stp/>
        <stp>P</stp>
        <stp>0</stp>
        <stp>BND</stp>
        <stp>KRZFA0354NG6</stp>
        <stp>만기일</stp>
        <stp>46198</stp>
        <stp/>
        <tr r="DC191" s="1"/>
      </tp>
      <tp t="s">
        <v/>
        <stp/>
        <stp>P</stp>
        <stp>0</stp>
        <stp>BND</stp>
        <stp>KRZFA0354MG6</stp>
        <stp>만기일</stp>
        <stp>46198</stp>
        <stp/>
        <tr r="DC196" s="1"/>
      </tp>
      <tp t="s">
        <v/>
        <stp/>
        <stp>P</stp>
        <stp>0</stp>
        <stp>BND</stp>
        <stp>KRZFA0354LG6</stp>
        <stp>만기일</stp>
        <stp>46198</stp>
        <stp/>
        <tr r="DC192" s="1"/>
      </tp>
      <tp t="s">
        <v/>
        <stp/>
        <stp>P</stp>
        <stp>0</stp>
        <stp>BND</stp>
        <stp>KRZFA0594LG5</stp>
        <stp>만기일</stp>
        <stp>46198</stp>
        <stp/>
        <tr r="DC224" s="1"/>
      </tp>
      <tp>
        <v>20300731</v>
        <stp/>
        <stp>P</stp>
        <stp>0</stp>
        <stp>BND</stp>
        <stp>KR101501DF78</stp>
        <stp>만기일</stp>
        <stp>46198</stp>
        <stp/>
        <tr r="EA79" s="1"/>
      </tp>
      <tp>
        <v>20280830</v>
        <stp/>
        <stp>P</stp>
        <stp>0</stp>
        <stp>BND</stp>
        <stp>KR352703GD80</stp>
        <stp>만기일</stp>
        <stp>46198</stp>
        <stp/>
        <tr r="K79" s="1"/>
      </tp>
      <tp>
        <v>20290420</v>
        <stp/>
        <stp>P</stp>
        <stp>0</stp>
        <stp>BND</stp>
        <stp>KR617414BFA3</stp>
        <stp>만기일</stp>
        <stp>46198</stp>
        <stp/>
        <tr r="K209" s="1"/>
      </tp>
      <tp>
        <v>20310228</v>
        <stp/>
        <stp>P</stp>
        <stp>0</stp>
        <stp>BND</stp>
        <stp>KR101501DG28</stp>
        <stp>만기일</stp>
        <stp>46198</stp>
        <stp/>
        <tr r="EA80" s="1"/>
      </tp>
      <tp>
        <v>20281130</v>
        <stp/>
        <stp>P</stp>
        <stp>0</stp>
        <stp>BND</stp>
        <stp>KR101501DDB9</stp>
        <stp>만기일</stp>
        <stp>46198</stp>
        <stp/>
        <tr r="EA48" s="1"/>
      </tp>
      <tp>
        <v>20281031</v>
        <stp/>
        <stp>P</stp>
        <stp>0</stp>
        <stp>BND</stp>
        <stp>KR101501DDA1</stp>
        <stp>만기일</stp>
        <stp>46198</stp>
        <stp/>
        <tr r="BS265" s="1"/>
      </tp>
      <tp>
        <v>20280522</v>
        <stp/>
        <stp>P</stp>
        <stp>0</stp>
        <stp>BND</stp>
        <stp>KR352501GD50</stp>
        <stp>만기일</stp>
        <stp>46198</stp>
        <stp/>
        <tr r="DC292" s="1"/>
      </tp>
      <tp>
        <v>20280731</v>
        <stp/>
        <stp>P</stp>
        <stp>0</stp>
        <stp>BND</stp>
        <stp>KR101501DD70</stp>
        <stp>만기일</stp>
        <stp>46198</stp>
        <stp/>
        <tr r="K152" s="1"/>
      </tp>
      <tp>
        <v>20350423</v>
        <stp/>
        <stp>P</stp>
        <stp>0</stp>
        <stp>BND</stp>
        <stp>KR352702GF48</stp>
        <stp>만기일</stp>
        <stp>46198</stp>
        <stp/>
        <tr r="BS134" s="1"/>
      </tp>
      <tp>
        <v>20291130</v>
        <stp/>
        <stp>P</stp>
        <stp>0</stp>
        <stp>BND</stp>
        <stp>KR101501DEB7</stp>
        <stp>만기일</stp>
        <stp>46198</stp>
        <stp/>
        <tr r="K234" s="1"/>
        <tr r="DC293" s="1"/>
      </tp>
      <tp>
        <v>20280519</v>
        <stp/>
        <stp>P</stp>
        <stp>0</stp>
        <stp>BND</stp>
        <stp>KR352701GG55</stp>
        <stp>만기일</stp>
        <stp>46198</stp>
        <stp/>
        <tr r="DC68" s="1"/>
      </tp>
      <tp>
        <v>20290630</v>
        <stp/>
        <stp>P</stp>
        <stp>0</stp>
        <stp>BND</stp>
        <stp>KR101501DE61</stp>
        <stp>만기일</stp>
        <stp>46198</stp>
        <stp/>
        <tr r="BS252" s="1"/>
      </tp>
      <tp>
        <v>20290430</v>
        <stp/>
        <stp>P</stp>
        <stp>0</stp>
        <stp>BND</stp>
        <stp>KR101501DE46</stp>
        <stp>만기일</stp>
        <stp>46198</stp>
        <stp/>
        <tr r="BS248" s="1"/>
      </tp>
      <tp>
        <v>20290331</v>
        <stp/>
        <stp>P</stp>
        <stp>0</stp>
        <stp>BND</stp>
        <stp>KR101501DE38</stp>
        <stp>만기일</stp>
        <stp>46198</stp>
        <stp/>
        <tr r="K215" s="1"/>
      </tp>
      <tp>
        <v>20310903</v>
        <stp/>
        <stp>P</stp>
        <stp>0</stp>
        <stp>BND</stp>
        <stp>KR352202GB96</stp>
        <stp>만기일</stp>
        <stp>46198</stp>
        <stp/>
        <tr r="K240" s="1"/>
      </tp>
      <tp t="s">
        <v/>
        <stp/>
        <stp>P</stp>
        <stp>0</stp>
        <stp>BND</stp>
        <stp>KRZFA0354GG6</stp>
        <stp>만기일</stp>
        <stp>46198</stp>
        <stp/>
        <tr r="DC187" s="1"/>
      </tp>
      <tp>
        <v>20281219</v>
        <stp/>
        <stp>P</stp>
        <stp>0</stp>
        <stp>BND</stp>
        <stp>KR352201GDC3</stp>
        <stp>만기일</stp>
        <stp>46198</stp>
        <stp/>
        <tr r="K353" s="1"/>
      </tp>
      <tp t="s">
        <v/>
        <stp/>
        <stp>P</stp>
        <stp>0</stp>
        <stp>BND</stp>
        <stp>KRZFA0354FG6</stp>
        <stp>만기일</stp>
        <stp>46198</stp>
        <stp/>
        <tr r="DC189" s="1"/>
      </tp>
      <tp>
        <v>20360612</v>
        <stp/>
        <stp>P</stp>
        <stp>0</stp>
        <stp>BND</stp>
        <stp>KR352201GG68</stp>
        <stp>만기일</stp>
        <stp>46198</stp>
        <stp/>
        <tr r="DC164" s="1"/>
      </tp>
      <tp>
        <v>20300408</v>
        <stp/>
        <stp>P</stp>
        <stp>0</stp>
        <stp>BND</stp>
        <stp>KR352201GF44</stp>
        <stp>만기일</stp>
        <stp>46198</stp>
        <stp/>
        <tr r="K222" s="1"/>
      </tp>
      <tp>
        <v>20360225</v>
        <stp/>
        <stp>P</stp>
        <stp>0</stp>
        <stp>BND</stp>
        <stp>KR352302GG25</stp>
        <stp>만기일</stp>
        <stp>46198</stp>
        <stp/>
        <tr r="DC136" s="1"/>
      </tp>
      <tp>
        <v>20291023</v>
        <stp/>
        <stp>P</stp>
        <stp>0</stp>
        <stp>BND</stp>
        <stp>KR352702G4A4</stp>
        <stp>만기일</stp>
        <stp>46198</stp>
        <stp/>
        <tr r="DC139" s="1"/>
      </tp>
      <tp>
        <v>20291112</v>
        <stp/>
        <stp>P</stp>
        <stp>0</stp>
        <stp>BND</stp>
        <stp>KR352702G4B2</stp>
        <stp>만기일</stp>
        <stp>46198</stp>
        <stp/>
        <tr r="K213" s="1"/>
      </tp>
      <tp>
        <v>20351203</v>
        <stp/>
        <stp>P</stp>
        <stp>0</stp>
        <stp>BND</stp>
        <stp>KR352701G5C8</stp>
        <stp>만기일</stp>
        <stp>46198</stp>
        <stp/>
        <tr r="DC147" s="1"/>
      </tp>
      <tp>
        <v>20300825</v>
        <stp/>
        <stp>P</stp>
        <stp>0</stp>
        <stp>BND</stp>
        <stp>KR352701G582</stp>
        <stp>만기일</stp>
        <stp>46198</stp>
        <stp/>
        <tr r="K293" s="1"/>
      </tp>
      <tp t="s">
        <v/>
        <stp/>
        <stp>P</stp>
        <stp>0</stp>
        <stp>BND</stp>
        <stp>KRZFA05941F8</stp>
        <stp>만기일</stp>
        <stp>46198</stp>
        <stp/>
        <tr r="DC173" s="1"/>
      </tp>
      <tp t="s">
        <v/>
        <stp/>
        <stp>P</stp>
        <stp>0</stp>
        <stp>BND</stp>
        <stp>KRZFA05940F8</stp>
        <stp>만기일</stp>
        <stp>46198</stp>
        <stp/>
        <tr r="DC172" s="1"/>
      </tp>
      <tp t="s">
        <v/>
        <stp/>
        <stp>P</stp>
        <stp>0</stp>
        <stp>BND</stp>
        <stp>KRZFA0345YFA</stp>
        <stp>만기일</stp>
        <stp>46198</stp>
        <stp/>
        <tr r="BS118" s="1"/>
      </tp>
      <tp t="s">
        <v/>
        <stp/>
        <stp>P</stp>
        <stp>0</stp>
        <stp>BND</stp>
        <stp>KRZFA0345XFA</stp>
        <stp>만기일</stp>
        <stp>46198</stp>
        <stp/>
        <tr r="BS120" s="1"/>
      </tp>
      <tp t="s">
        <v/>
        <stp/>
        <stp>P</stp>
        <stp>0</stp>
        <stp>BND</stp>
        <stp>KRZFA0345WFA</stp>
        <stp>만기일</stp>
        <stp>46198</stp>
        <stp/>
        <tr r="BS119" s="1"/>
      </tp>
      <tp>
        <v>20271025</v>
        <stp/>
        <stp>P</stp>
        <stp>0</stp>
        <stp>BND</stp>
        <stp>KR616937BFB2</stp>
        <stp>만기일</stp>
        <stp>46198</stp>
        <stp/>
        <tr r="EA33" s="1"/>
      </tp>
      <tp>
        <v>20300529</v>
        <stp/>
        <stp>P</stp>
        <stp>0</stp>
        <stp>BND</stp>
        <stp>KR602978FF51</stp>
        <stp>만기일</stp>
        <stp>46198</stp>
        <stp/>
        <tr r="BS75" s="1"/>
      </tp>
      <tp>
        <v>20261020</v>
        <stp/>
        <stp>P</stp>
        <stp>0</stp>
        <stp>BND</stp>
        <stp>KR607931CDC7</stp>
        <stp>만기일</stp>
        <stp>46198</stp>
        <stp/>
        <tr r="CE22" s="1"/>
      </tp>
      <tp>
        <v>20261109</v>
        <stp/>
        <stp>P</stp>
        <stp>0</stp>
        <stp>BND</stp>
        <stp>KR602988FDB7</stp>
        <stp>만기일</stp>
        <stp>46198</stp>
        <stp/>
        <tr r="K83" s="1"/>
      </tp>
      <tp>
        <v>20351210</v>
        <stp/>
        <stp>P</stp>
        <stp>0</stp>
        <stp>BND</stp>
        <stp>KR103502GFC1</stp>
        <stp>만기일</stp>
        <stp>46198</stp>
        <stp/>
        <tr r="W12" s="1"/>
        <tr r="K14" s="1"/>
        <tr r="AU9" s="1"/>
        <tr r="BS10" s="1"/>
        <tr r="DC40" s="1"/>
        <tr r="DO20" s="1"/>
      </tp>
      <tp>
        <v>20281210</v>
        <stp/>
        <stp>P</stp>
        <stp>0</stp>
        <stp>BND</stp>
        <stp>KR103501GFC3</stp>
        <stp>만기일</stp>
        <stp>46198</stp>
        <stp/>
        <tr r="BG9" s="1"/>
        <tr r="BS95" s="1"/>
        <tr r="DO9" s="1"/>
      </tp>
      <tp>
        <v>20280610</v>
        <stp/>
        <stp>P</stp>
        <stp>0</stp>
        <stp>BND</stp>
        <stp>KR103501GF63</stp>
        <stp>만기일</stp>
        <stp>46198</stp>
        <stp/>
        <tr r="BS197" s="1"/>
        <tr r="BG11" s="1"/>
      </tp>
      <tp>
        <v>20350610</v>
        <stp/>
        <stp>P</stp>
        <stp>0</stp>
        <stp>BND</stp>
        <stp>KR103502GF62</stp>
        <stp>만기일</stp>
        <stp>46198</stp>
        <stp/>
        <tr r="BS189" s="1"/>
        <tr r="AU10" s="1"/>
        <tr r="DC17" s="1"/>
      </tp>
      <tp>
        <v>20550310</v>
        <stp/>
        <stp>P</stp>
        <stp>0</stp>
        <stp>BND</stp>
        <stp>KR103502GF39</stp>
        <stp>만기일</stp>
        <stp>46198</stp>
        <stp/>
        <tr r="BS12" s="1"/>
        <tr r="K340" s="1"/>
        <tr r="AI25" s="1"/>
        <tr r="W10" s="1"/>
        <tr r="DC11" s="1"/>
      </tp>
      <tp>
        <v>20300310</v>
        <stp/>
        <stp>P</stp>
        <stp>0</stp>
        <stp>BND</stp>
        <stp>KR103503GF38</stp>
        <stp>만기일</stp>
        <stp>46198</stp>
        <stp/>
        <tr r="BS21" s="1"/>
        <tr r="W14" s="1"/>
        <tr r="K277" s="1"/>
        <tr r="BG14" s="1"/>
        <tr r="DO14" s="1"/>
        <tr r="DC23" s="1"/>
      </tp>
      <tp>
        <v>20300910</v>
        <stp/>
        <stp>P</stp>
        <stp>0</stp>
        <stp>BND</stp>
        <stp>KR103503GF95</stp>
        <stp>만기일</stp>
        <stp>46198</stp>
        <stp/>
        <tr r="W16" s="1"/>
        <tr r="K358" s="1"/>
        <tr r="DO19" s="1"/>
        <tr r="DC12" s="1"/>
        <tr r="BS154" s="1"/>
      </tp>
      <tp>
        <v>20550910</v>
        <stp/>
        <stp>P</stp>
        <stp>0</stp>
        <stp>BND</stp>
        <stp>KR103502GF96</stp>
        <stp>만기일</stp>
        <stp>46198</stp>
        <stp/>
        <tr r="BS13" s="1"/>
        <tr r="K21" s="1"/>
        <tr r="AI28" s="1"/>
        <tr r="DC43" s="1"/>
      </tp>
      <tp>
        <v>20450910</v>
        <stp/>
        <stp>P</stp>
        <stp>0</stp>
        <stp>BND</stp>
        <stp>KR103504GF94</stp>
        <stp>만기일</stp>
        <stp>46198</stp>
        <stp/>
        <tr r="W34" s="1"/>
        <tr r="K57" s="1"/>
        <tr r="DC24" s="1"/>
        <tr r="BS20" s="1"/>
      </tp>
      <tp>
        <v>20281215</v>
        <stp/>
        <stp>P</stp>
        <stp>0</stp>
        <stp>BND</stp>
        <stp>KR353601GDC3</stp>
        <stp>만기일</stp>
        <stp>46198</stp>
        <stp/>
        <tr r="BS216" s="1"/>
      </tp>
      <tp>
        <v>20290610</v>
        <stp/>
        <stp>P</stp>
        <stp>0</stp>
        <stp>BND</stp>
        <stp>KR103501GG62</stp>
        <stp>만기일</stp>
        <stp>46198</stp>
        <stp/>
        <tr r="K146" s="1"/>
        <tr r="BS92" s="1"/>
        <tr r="EA82" s="1"/>
      </tp>
      <tp>
        <v>20360610</v>
        <stp/>
        <stp>P</stp>
        <stp>0</stp>
        <stp>BND</stp>
        <stp>KR103503GG60</stp>
        <stp>만기일</stp>
        <stp>46198</stp>
        <stp/>
        <tr r="K93" s="1"/>
        <tr r="BS25" s="1"/>
        <tr r="DC273" s="1"/>
      </tp>
      <tp>
        <v>20560310</v>
        <stp/>
        <stp>P</stp>
        <stp>0</stp>
        <stp>BND</stp>
        <stp>KR103501GG39</stp>
        <stp>만기일</stp>
        <stp>46198</stp>
        <stp/>
        <tr r="AI9" s="1"/>
        <tr r="K9" s="1"/>
        <tr r="BS9" s="1"/>
        <tr r="DC9" s="1"/>
        <tr r="W11" s="1"/>
      </tp>
      <tp>
        <v>20310310</v>
        <stp/>
        <stp>P</stp>
        <stp>0</stp>
        <stp>BND</stp>
        <stp>KR103503GG37</stp>
        <stp>만기일</stp>
        <stp>46198</stp>
        <stp/>
        <tr r="K29" s="1"/>
        <tr r="BS14" s="1"/>
        <tr r="W19" s="1"/>
        <tr r="BG10" s="1"/>
        <tr r="DO12" s="1"/>
        <tr r="DC10" s="1"/>
      </tp>
      <tp>
        <v>20280929</v>
        <stp/>
        <stp>P</stp>
        <stp>0</stp>
        <stp>BND</stp>
        <stp>KR353401GF99</stp>
        <stp>만기일</stp>
        <stp>46198</stp>
        <stp/>
        <tr r="DC36" s="1"/>
      </tp>
      <tp>
        <v>20261210</v>
        <stp/>
        <stp>P</stp>
        <stp>0</stp>
        <stp>BND</stp>
        <stp>KR103501GDC8</stp>
        <stp>만기일</stp>
        <stp>46198</stp>
        <stp/>
        <tr r="K286" s="1"/>
      </tp>
      <tp>
        <v>20331210</v>
        <stp/>
        <stp>P</stp>
        <stp>0</stp>
        <stp>BND</stp>
        <stp>KR103502GDC6</stp>
        <stp>만기일</stp>
        <stp>46198</stp>
        <stp/>
        <tr r="K316" s="1"/>
        <tr r="W36" s="1"/>
        <tr r="AU13" s="1"/>
        <tr r="BS17" s="1"/>
        <tr r="DC161" s="1"/>
      </tp>
      <tp>
        <v>20290515</v>
        <stp/>
        <stp>P</stp>
        <stp>0</stp>
        <stp>BND</stp>
        <stp>KR353602GG53</stp>
        <stp>만기일</stp>
        <stp>46198</stp>
        <stp/>
        <tr r="DC248" s="1"/>
      </tp>
      <tp>
        <v>20280515</v>
        <stp/>
        <stp>P</stp>
        <stp>0</stp>
        <stp>BND</stp>
        <stp>KR353601GG54</stp>
        <stp>만기일</stp>
        <stp>46198</stp>
        <stp/>
        <tr r="DC78" s="1"/>
      </tp>
      <tp>
        <v>20330610</v>
        <stp/>
        <stp>P</stp>
        <stp>0</stp>
        <stp>BND</stp>
        <stp>KR103502GD64</stp>
        <stp>만기일</stp>
        <stp>46198</stp>
        <stp/>
        <tr r="K336" s="1"/>
        <tr r="AU15" s="1"/>
        <tr r="W43" s="1"/>
        <tr r="BS132" s="1"/>
        <tr r="DC301" s="1"/>
      </tp>
      <tp>
        <v>20280121</v>
        <stp/>
        <stp>P</stp>
        <stp>0</stp>
        <stp>BND</stp>
        <stp>KR353603GG11</stp>
        <stp>만기일</stp>
        <stp>46198</stp>
        <stp/>
        <tr r="BS22" s="1"/>
      </tp>
      <tp>
        <v>20280310</v>
        <stp/>
        <stp>P</stp>
        <stp>0</stp>
        <stp>BND</stp>
        <stp>KR103501GD32</stp>
        <stp>만기일</stp>
        <stp>46198</stp>
        <stp/>
        <tr r="K281" s="1"/>
        <tr r="BS250" s="1"/>
        <tr r="DC306" s="1"/>
      </tp>
      <tp>
        <v>20530310</v>
        <stp/>
        <stp>P</stp>
        <stp>0</stp>
        <stp>BND</stp>
        <stp>KR103502GD31</stp>
        <stp>만기일</stp>
        <stp>46198</stp>
        <stp/>
        <tr r="K245" s="1"/>
        <tr r="BS153" s="1"/>
        <tr r="AI17" s="1"/>
        <tr r="DC264" s="1"/>
      </tp>
      <tp>
        <v>20530910</v>
        <stp/>
        <stp>P</stp>
        <stp>0</stp>
        <stp>BND</stp>
        <stp>KR103502GD98</stp>
        <stp>만기일</stp>
        <stp>46198</stp>
        <stp/>
        <tr r="K11" s="1"/>
        <tr r="W24" s="1"/>
        <tr r="AI20" s="1"/>
        <tr r="BS144" s="1"/>
        <tr r="DC253" s="1"/>
      </tp>
      <tp>
        <v>20280910</v>
        <stp/>
        <stp>P</stp>
        <stp>0</stp>
        <stp>BND</stp>
        <stp>KR103501GD99</stp>
        <stp>만기일</stp>
        <stp>46198</stp>
        <stp/>
        <tr r="K328" s="1"/>
        <tr r="BS193" s="1"/>
      </tp>
      <tp>
        <v>20430910</v>
        <stp/>
        <stp>P</stp>
        <stp>0</stp>
        <stp>BND</stp>
        <stp>KR103504GD96</stp>
        <stp>만기일</stp>
        <stp>46198</stp>
        <stp/>
        <tr r="AI14" s="1"/>
        <tr r="W33" s="1"/>
        <tr r="K363" s="1"/>
        <tr r="DC252" s="1"/>
      </tp>
      <tp>
        <v>20271210</v>
        <stp/>
        <stp>P</stp>
        <stp>0</stp>
        <stp>BND</stp>
        <stp>KR103501GEC6</stp>
        <stp>만기일</stp>
        <stp>46198</stp>
        <stp/>
        <tr r="K354" s="1"/>
        <tr r="BS275" s="1"/>
        <tr r="BG13" s="1"/>
      </tp>
      <tp>
        <v>20341210</v>
        <stp/>
        <stp>P</stp>
        <stp>0</stp>
        <stp>BND</stp>
        <stp>KR103502GEC4</stp>
        <stp>만기일</stp>
        <stp>46198</stp>
        <stp/>
        <tr r="K359" s="1"/>
        <tr r="BS247" s="1"/>
        <tr r="W9" s="1"/>
        <tr r="AU11" s="1"/>
        <tr r="DC152" s="1"/>
      </tp>
      <tp>
        <v>20270610</v>
        <stp/>
        <stp>P</stp>
        <stp>0</stp>
        <stp>BND</stp>
        <stp>KR103501GE64</stp>
        <stp>만기일</stp>
        <stp>46198</stp>
        <stp/>
        <tr r="K313" s="1"/>
        <tr r="W46" s="1"/>
        <tr r="BS254" s="1"/>
      </tp>
      <tp>
        <v>20340610</v>
        <stp/>
        <stp>P</stp>
        <stp>0</stp>
        <stp>BND</stp>
        <stp>KR103502GE63</stp>
        <stp>만기일</stp>
        <stp>46198</stp>
        <stp/>
        <tr r="K71" s="1"/>
        <tr r="W22" s="1"/>
        <tr r="BS145" s="1"/>
        <tr r="DC14" s="1"/>
      </tp>
      <tp>
        <v>20540310</v>
        <stp/>
        <stp>P</stp>
        <stp>0</stp>
        <stp>BND</stp>
        <stp>KR103502GE30</stp>
        <stp>만기일</stp>
        <stp>46198</stp>
        <stp/>
        <tr r="K19" s="1"/>
        <tr r="W15" s="1"/>
        <tr r="BS16" s="1"/>
        <tr r="AI23" s="1"/>
        <tr r="DC19" s="1"/>
      </tp>
      <tp>
        <v>20290310</v>
        <stp/>
        <stp>P</stp>
        <stp>0</stp>
        <stp>BND</stp>
        <stp>KR103501GE31</stp>
        <stp>만기일</stp>
        <stp>46198</stp>
        <stp/>
        <tr r="BS279" s="1"/>
        <tr r="K341" s="1"/>
        <tr r="DC282" s="1"/>
      </tp>
      <tp>
        <v>20300211</v>
        <stp/>
        <stp>P</stp>
        <stp>0</stp>
        <stp>BND</stp>
        <stp>KR353602GF21</stp>
        <stp>만기일</stp>
        <stp>46198</stp>
        <stp/>
        <tr r="K216" s="1"/>
      </tp>
      <tp>
        <v>20270122</v>
        <stp/>
        <stp>P</stp>
        <stp>0</stp>
        <stp>BND</stp>
        <stp>KR606590BE14</stp>
        <stp>만기일</stp>
        <stp>46198</stp>
        <stp/>
        <tr r="BS160" s="1"/>
      </tp>
      <tp>
        <v>20290910</v>
        <stp/>
        <stp>P</stp>
        <stp>0</stp>
        <stp>BND</stp>
        <stp>KR103501GE98</stp>
        <stp>만기일</stp>
        <stp>46198</stp>
        <stp/>
        <tr r="K343" s="1"/>
        <tr r="BS150" s="1"/>
        <tr r="DC240" s="1"/>
      </tp>
      <tp>
        <v>20540910</v>
        <stp/>
        <stp>P</stp>
        <stp>0</stp>
        <stp>BND</stp>
        <stp>KR103502GE97</stp>
        <stp>만기일</stp>
        <stp>46198</stp>
        <stp/>
        <tr r="BS80" s="1"/>
        <tr r="W27" s="1"/>
        <tr r="AI15" s="1"/>
        <tr r="K20" s="1"/>
        <tr r="DC22" s="1"/>
      </tp>
      <tp>
        <v>20260910</v>
        <stp/>
        <stp>P</stp>
        <stp>0</stp>
        <stp>BND</stp>
        <stp>KR103503GE96</stp>
        <stp>만기일</stp>
        <stp>46198</stp>
        <stp/>
        <tr r="K300" s="1"/>
      </tp>
      <tp>
        <v>20440910</v>
        <stp/>
        <stp>P</stp>
        <stp>0</stp>
        <stp>BND</stp>
        <stp>KR103504GE95</stp>
        <stp>만기일</stp>
        <stp>46198</stp>
        <stp/>
        <tr r="K261" s="1"/>
        <tr r="AI11" s="1"/>
        <tr r="W17" s="1"/>
        <tr r="BS15" s="1"/>
        <tr r="DC13" s="1"/>
      </tp>
      <tp>
        <v>20740910</v>
        <stp/>
        <stp>P</stp>
        <stp>0</stp>
        <stp>BND</stp>
        <stp>KR103505GE94</stp>
        <stp>만기일</stp>
        <stp>46198</stp>
        <stp/>
        <tr r="K365" s="1"/>
      </tp>
      <tp>
        <v>20311210</v>
        <stp/>
        <stp>P</stp>
        <stp>0</stp>
        <stp>BND</stp>
        <stp>KR103502GBC0</stp>
        <stp>만기일</stp>
        <stp>46198</stp>
        <stp/>
        <tr r="K35" s="1"/>
        <tr r="W44" s="1"/>
        <tr r="DC140" s="1"/>
        <tr r="BS28" s="1"/>
      </tp>
      <tp>
        <v>20310610</v>
        <stp/>
        <stp>P</stp>
        <stp>0</stp>
        <stp>BND</stp>
        <stp>KR103502GB66</stp>
        <stp>만기일</stp>
        <stp>46198</stp>
        <stp/>
        <tr r="W39" s="1"/>
        <tr r="K255" s="1"/>
        <tr r="BS273" s="1"/>
        <tr r="DC261" s="1"/>
      </tp>
      <tp>
        <v>20510310</v>
        <stp/>
        <stp>P</stp>
        <stp>0</stp>
        <stp>BND</stp>
        <stp>KR103502GB33</stp>
        <stp>만기일</stp>
        <stp>46198</stp>
        <stp/>
        <tr r="AI22" s="1"/>
        <tr r="W20" s="1"/>
        <tr r="BS139" s="1"/>
        <tr r="K10" s="1"/>
        <tr r="DC48" s="1"/>
      </tp>
      <tp>
        <v>20410910</v>
        <stp/>
        <stp>P</stp>
        <stp>0</stp>
        <stp>BND</stp>
        <stp>KR103503GB99</stp>
        <stp>만기일</stp>
        <stp>46198</stp>
        <stp/>
        <tr r="K321" s="1"/>
        <tr r="AI27" s="1"/>
        <tr r="DC50" s="1"/>
        <tr r="W40" s="1"/>
        <tr r="BS77" s="1"/>
      </tp>
      <tp>
        <v>20260910</v>
        <stp/>
        <stp>P</stp>
        <stp>0</stp>
        <stp>BND</stp>
        <stp>KR103501GB91</stp>
        <stp>만기일</stp>
        <stp>46198</stp>
        <stp/>
        <tr r="K330" s="1"/>
      </tp>
      <tp>
        <v>20321210</v>
        <stp/>
        <stp>P</stp>
        <stp>0</stp>
        <stp>BND</stp>
        <stp>KR103502GCC8</stp>
        <stp>만기일</stp>
        <stp>46198</stp>
        <stp/>
        <tr r="K349" s="1"/>
        <tr r="AU14" s="1"/>
        <tr r="BS136" s="1"/>
        <tr r="DC41" s="1"/>
      </tp>
      <tp>
        <v>20320610</v>
        <stp/>
        <stp>P</stp>
        <stp>0</stp>
        <stp>BND</stp>
        <stp>KR103502GC65</stp>
        <stp>만기일</stp>
        <stp>46198</stp>
        <stp/>
        <tr r="K33" s="1"/>
        <tr r="AU16" s="1"/>
        <tr r="BS142" s="1"/>
        <tr r="DC245" s="1"/>
      </tp>
      <tp>
        <v>20270310</v>
        <stp/>
        <stp>P</stp>
        <stp>0</stp>
        <stp>BND</stp>
        <stp>KR103501GC33</stp>
        <stp>만기일</stp>
        <stp>46198</stp>
        <stp/>
        <tr r="BS245" s="1"/>
        <tr r="K327" s="1"/>
        <tr r="DC311" s="1"/>
      </tp>
      <tp>
        <v>20520310</v>
        <stp/>
        <stp>P</stp>
        <stp>0</stp>
        <stp>BND</stp>
        <stp>KR103502GC32</stp>
        <stp>만기일</stp>
        <stp>46198</stp>
        <stp/>
        <tr r="K38" s="1"/>
        <tr r="W41" s="1"/>
        <tr r="AI18" s="1"/>
        <tr r="BS27" s="1"/>
        <tr r="DC304" s="1"/>
      </tp>
      <tp>
        <v>20520910</v>
        <stp/>
        <stp>P</stp>
        <stp>0</stp>
        <stp>BND</stp>
        <stp>KR103502GC99</stp>
        <stp>만기일</stp>
        <stp>46198</stp>
        <stp/>
        <tr r="K23" s="1"/>
        <tr r="W23" s="1"/>
        <tr r="DC286" s="1"/>
        <tr r="BS82" s="1"/>
        <tr r="AI13" s="1"/>
      </tp>
      <tp>
        <v>20420910</v>
        <stp/>
        <stp>P</stp>
        <stp>0</stp>
        <stp>BND</stp>
        <stp>KR103504GC97</stp>
        <stp>만기일</stp>
        <stp>46198</stp>
        <stp/>
        <tr r="AI21" s="1"/>
        <tr r="BS194" s="1"/>
        <tr r="K291" s="1"/>
        <tr r="W37" s="1"/>
        <tr r="DC20" s="1"/>
      </tp>
      <tp>
        <v>20720910</v>
        <stp/>
        <stp>P</stp>
        <stp>0</stp>
        <stp>BND</stp>
        <stp>KR103505GC96</stp>
        <stp>만기일</stp>
        <stp>46198</stp>
        <stp/>
        <tr r="K58" s="1"/>
      </tp>
      <tp>
        <v>20270910</v>
        <stp/>
        <stp>P</stp>
        <stp>0</stp>
        <stp>BND</stp>
        <stp>KR103501GC90</stp>
        <stp>만기일</stp>
        <stp>46198</stp>
        <stp/>
        <tr r="K361" s="1"/>
        <tr r="BS141" s="1"/>
      </tp>
      <tp>
        <v>20301210</v>
        <stp/>
        <stp>P</stp>
        <stp>0</stp>
        <stp>BND</stp>
        <stp>KR103502GAC2</stp>
        <stp>만기일</stp>
        <stp>46198</stp>
        <stp/>
        <tr r="BS130" s="1"/>
        <tr r="K55" s="1"/>
        <tr r="DC26" s="1"/>
      </tp>
      <tp>
        <v>20300610</v>
        <stp/>
        <stp>P</stp>
        <stp>0</stp>
        <stp>BND</stp>
        <stp>KR103502GA67</stp>
        <stp>만기일</stp>
        <stp>46198</stp>
        <stp/>
        <tr r="W45" s="1"/>
        <tr r="BS11" s="1"/>
        <tr r="K304" s="1"/>
        <tr r="DC170" s="1"/>
      </tp>
      <tp>
        <v>20300610</v>
        <stp/>
        <stp>P</stp>
        <stp>0</stp>
        <stp>BND</stp>
        <stp>KR103503GA66</stp>
        <stp>만기일</stp>
        <stp>46198</stp>
        <stp/>
        <tr r="K377" s="1"/>
        <tr r="DC285" s="1"/>
      </tp>
      <tp>
        <v>20500310</v>
        <stp/>
        <stp>P</stp>
        <stp>0</stp>
        <stp>BND</stp>
        <stp>KR103502GA34</stp>
        <stp>만기일</stp>
        <stp>46198</stp>
        <stp/>
        <tr r="AI19" s="1"/>
        <tr r="K31" s="1"/>
        <tr r="BS249" s="1"/>
        <tr r="DC151" s="1"/>
      </tp>
      <tp>
        <v>20400910</v>
        <stp/>
        <stp>P</stp>
        <stp>0</stp>
        <stp>BND</stp>
        <stp>KR103502GA91</stp>
        <stp>만기일</stp>
        <stp>46198</stp>
        <stp/>
        <tr r="K302" s="1"/>
        <tr r="W25" s="1"/>
        <tr r="BS135" s="1"/>
        <tr r="DC154" s="1"/>
      </tp>
      <tp>
        <v>20281210</v>
        <stp/>
        <stp>P</stp>
        <stp>0</stp>
        <stp>BND</stp>
        <stp>KR103502G8C0</stp>
        <stp>만기일</stp>
        <stp>46198</stp>
        <stp/>
        <tr r="K334" s="1"/>
        <tr r="BS200" s="1"/>
      </tp>
      <tp>
        <v>20280610</v>
        <stp/>
        <stp>P</stp>
        <stp>0</stp>
        <stp>BND</stp>
        <stp>KR103503G865</stp>
        <stp>만기일</stp>
        <stp>46198</stp>
        <stp/>
        <tr r="K36" s="1"/>
        <tr r="BS283" s="1"/>
        <tr r="DC47" s="1"/>
      </tp>
      <tp>
        <v>20280610</v>
        <stp/>
        <stp>P</stp>
        <stp>0</stp>
        <stp>BND</stp>
        <stp>KR103502G867</stp>
        <stp>만기일</stp>
        <stp>46198</stp>
        <stp/>
        <tr r="K338" s="1"/>
        <tr r="BS133" s="1"/>
      </tp>
      <tp>
        <v>20480310</v>
        <stp/>
        <stp>P</stp>
        <stp>0</stp>
        <stp>BND</stp>
        <stp>KR103502G834</stp>
        <stp>만기일</stp>
        <stp>46198</stp>
        <stp/>
        <tr r="BS195" s="1"/>
        <tr r="AI12" s="1"/>
        <tr r="K61" s="1"/>
        <tr r="DC296" s="1"/>
      </tp>
      <tp>
        <v>20680910</v>
        <stp/>
        <stp>P</stp>
        <stp>0</stp>
        <stp>BND</stp>
        <stp>KR103503G899</stp>
        <stp>만기일</stp>
        <stp>46198</stp>
        <stp/>
        <tr r="K366" s="1"/>
      </tp>
      <tp>
        <v>20380910</v>
        <stp/>
        <stp>P</stp>
        <stp>0</stp>
        <stp>BND</stp>
        <stp>KR103502G891</stp>
        <stp>만기일</stp>
        <stp>46198</stp>
        <stp/>
        <tr r="K12" s="1"/>
        <tr r="DC46" s="1"/>
      </tp>
      <tp>
        <v>20291210</v>
        <stp/>
        <stp>P</stp>
        <stp>0</stp>
        <stp>BND</stp>
        <stp>KR103502G9C8</stp>
        <stp>만기일</stp>
        <stp>46198</stp>
        <stp/>
        <tr r="K290" s="1"/>
        <tr r="BS143" s="1"/>
        <tr r="DC141" s="1"/>
      </tp>
      <tp>
        <v>20290610</v>
        <stp/>
        <stp>P</stp>
        <stp>0</stp>
        <stp>BND</stp>
        <stp>KR103502G966</stp>
        <stp>만기일</stp>
        <stp>46198</stp>
        <stp/>
        <tr r="K289" s="1"/>
        <tr r="BS74" s="1"/>
        <tr r="DC38" s="1"/>
      </tp>
      <tp>
        <v>20490310</v>
        <stp/>
        <stp>P</stp>
        <stp>0</stp>
        <stp>BND</stp>
        <stp>KR103502G933</stp>
        <stp>만기일</stp>
        <stp>46198</stp>
        <stp/>
        <tr r="K24" s="1"/>
        <tr r="BS138" s="1"/>
        <tr r="AI16" s="1"/>
        <tr r="DC44" s="1"/>
      </tp>
      <tp>
        <v>20390910</v>
        <stp/>
        <stp>P</stp>
        <stp>0</stp>
        <stp>BND</stp>
        <stp>KR103502G990</stp>
        <stp>만기일</stp>
        <stp>46198</stp>
        <stp/>
        <tr r="K386" s="1"/>
        <tr r="BS278" s="1"/>
        <tr r="DC310" s="1"/>
      </tp>
      <tp>
        <v>20261210</v>
        <stp/>
        <stp>P</stp>
        <stp>0</stp>
        <stp>BND</stp>
        <stp>KR103502G6C4</stp>
        <stp>만기일</stp>
        <stp>46198</stp>
        <stp/>
        <tr r="K299" s="1"/>
        <tr r="BS207" s="1"/>
      </tp>
      <tp>
        <v>20460310</v>
        <stp/>
        <stp>P</stp>
        <stp>0</stp>
        <stp>BND</stp>
        <stp>KR103502G636</stp>
        <stp>만기일</stp>
        <stp>46198</stp>
        <stp/>
        <tr r="DC288" s="1"/>
      </tp>
      <tp>
        <v>20360910</v>
        <stp/>
        <stp>P</stp>
        <stp>0</stp>
        <stp>BND</stp>
        <stp>KR103502G693</stp>
        <stp>만기일</stp>
        <stp>46198</stp>
        <stp/>
        <tr r="K25" s="1"/>
        <tr r="BS253" s="1"/>
        <tr r="DC300" s="1"/>
      </tp>
      <tp>
        <v>20271210</v>
        <stp/>
        <stp>P</stp>
        <stp>0</stp>
        <stp>BND</stp>
        <stp>KR103502G7C2</stp>
        <stp>만기일</stp>
        <stp>46198</stp>
        <stp/>
        <tr r="K383" s="1"/>
        <tr r="DC302" s="1"/>
      </tp>
      <tp>
        <v>20270610</v>
        <stp/>
        <stp>P</stp>
        <stp>0</stp>
        <stp>BND</stp>
        <stp>KR103502G768</stp>
        <stp>만기일</stp>
        <stp>46198</stp>
        <stp/>
        <tr r="K68" s="1"/>
        <tr r="BS246" s="1"/>
      </tp>
      <tp>
        <v>20470310</v>
        <stp/>
        <stp>P</stp>
        <stp>0</stp>
        <stp>BND</stp>
        <stp>KR103502G735</stp>
        <stp>만기일</stp>
        <stp>46198</stp>
        <stp/>
        <tr r="AI24" s="1"/>
        <tr r="BS276" s="1"/>
        <tr r="DC294" s="1"/>
      </tp>
      <tp>
        <v>20370910</v>
        <stp/>
        <stp>P</stp>
        <stp>0</stp>
        <stp>BND</stp>
        <stp>KR103502G792</stp>
        <stp>만기일</stp>
        <stp>46198</stp>
        <stp/>
        <tr r="K13" s="1"/>
        <tr r="BS220" s="1"/>
        <tr r="DC241" s="1"/>
      </tp>
      <tp t="s">
        <v/>
        <stp/>
        <stp>P</stp>
        <stp>0</stp>
        <stp>BND</stp>
        <stp>KRZFA03452F9</stp>
        <stp>만기일</stp>
        <stp>46198</stp>
        <stp/>
        <tr r="BS115" s="1"/>
      </tp>
      <tp>
        <v>20441210</v>
        <stp/>
        <stp>P</stp>
        <stp>0</stp>
        <stp>BND</stp>
        <stp>KR103502G4C9</stp>
        <stp>만기일</stp>
        <stp>46198</stp>
        <stp/>
        <tr r="AI26" s="1"/>
        <tr r="DC246" s="1"/>
      </tp>
      <tp t="s">
        <v/>
        <stp/>
        <stp>P</stp>
        <stp>0</stp>
        <stp>BND</stp>
        <stp>KRZFA03451F9</stp>
        <stp>만기일</stp>
        <stp>46198</stp>
        <stp/>
        <tr r="BS114" s="1"/>
      </tp>
      <tp>
        <v>20350910</v>
        <stp/>
        <stp>P</stp>
        <stp>0</stp>
        <stp>BND</stp>
        <stp>KR103502G594</stp>
        <stp>만기일</stp>
        <stp>46198</stp>
        <stp/>
        <tr r="K373" s="1"/>
      </tp>
      <tp t="s">
        <v/>
        <stp/>
        <stp>P</stp>
        <stp>0</stp>
        <stp>BND</stp>
        <stp>KRZFA03450F9</stp>
        <stp>만기일</stp>
        <stp>46198</stp>
        <stp/>
        <tr r="BS263" s="1"/>
      </tp>
      <tp>
        <v>20331210</v>
        <stp/>
        <stp>P</stp>
        <stp>0</stp>
        <stp>BND</stp>
        <stp>KR103502G3C1</stp>
        <stp>만기일</stp>
        <stp>46198</stp>
        <stp/>
        <tr r="K319" s="1"/>
        <tr r="BS206" s="1"/>
        <tr r="DC283" s="1"/>
      </tp>
      <tp>
        <v>20281117</v>
        <stp/>
        <stp>P</stp>
        <stp>0</stp>
        <stp>BND</stp>
        <stp>KR601980BFC7</stp>
        <stp>만기일</stp>
        <stp>46198</stp>
        <stp/>
        <tr r="BS78" s="1"/>
        <tr r="DO15" s="1"/>
      </tp>
      <tp>
        <v>20300225</v>
        <stp/>
        <stp>P</stp>
        <stp>0</stp>
        <stp>BND</stp>
        <stp>KR354901GF27</stp>
        <stp>만기일</stp>
        <stp>46198</stp>
        <stp/>
        <tr r="EA56" s="1"/>
      </tp>
      <tp>
        <v>20310519</v>
        <stp/>
        <stp>P</stp>
        <stp>0</stp>
        <stp>BND</stp>
        <stp>KR354416GG57</stp>
        <stp>만기일</stp>
        <stp>46198</stp>
        <stp/>
        <tr r="K43" s="1"/>
      </tp>
      <tp>
        <v>20270210</v>
        <stp/>
        <stp>P</stp>
        <stp>0</stp>
        <stp>BND</stp>
        <stp>KR354411GG29</stp>
        <stp>만기일</stp>
        <stp>46198</stp>
        <stp/>
        <tr r="K362" s="1"/>
      </tp>
      <tp t="s">
        <v/>
        <stp/>
        <stp>P</stp>
        <stp>0</stp>
        <stp>BND</stp>
        <stp>KRZFA1122BG6</stp>
        <stp>만기일</stp>
        <stp>46198</stp>
        <stp/>
        <tr r="DC217" s="1"/>
      </tp>
      <tp>
        <v>20281213</v>
        <stp/>
        <stp>P</stp>
        <stp>0</stp>
        <stp>BND</stp>
        <stp>KR354601GDC2</stp>
        <stp>만기일</stp>
        <stp>46198</stp>
        <stp/>
        <tr r="DC88" s="1"/>
      </tp>
      <tp>
        <v>20270806</v>
        <stp/>
        <stp>P</stp>
        <stp>0</stp>
        <stp>BND</stp>
        <stp>KR354701GE87</stp>
        <stp>만기일</stp>
        <stp>46198</stp>
        <stp/>
        <tr r="EA29" s="1"/>
      </tp>
      <tp t="s">
        <v/>
        <stp/>
        <stp>P</stp>
        <stp>0</stp>
        <stp>BND</stp>
        <stp>KRZFA1122CG6</stp>
        <stp>만기일</stp>
        <stp>46198</stp>
        <stp/>
        <tr r="DC216" s="1"/>
      </tp>
      <tp>
        <v>20290615</v>
        <stp/>
        <stp>P</stp>
        <stp>0</stp>
        <stp>BND</stp>
        <stp>KR354601GG60</stp>
        <stp>만기일</stp>
        <stp>46198</stp>
        <stp/>
        <tr r="BS41" s="1"/>
        <tr r="DC79" s="1"/>
      </tp>
      <tp>
        <v>20270108</v>
        <stp/>
        <stp>P</stp>
        <stp>0</stp>
        <stp>BND</stp>
        <stp>KR354401GE15</stp>
        <stp>만기일</stp>
        <stp>46198</stp>
        <stp/>
        <tr r="K348" s="1"/>
        <tr r="BS190" s="1"/>
      </tp>
      <tp>
        <v>20280725</v>
        <stp/>
        <stp>P</stp>
        <stp>0</stp>
        <stp>BND</stp>
        <stp>KR354425GD75</stp>
        <stp>만기일</stp>
        <stp>46198</stp>
        <stp/>
        <tr r="K309" s="1"/>
        <tr r="BS146" s="1"/>
      </tp>
      <tp>
        <v>20290618</v>
        <stp/>
        <stp>P</stp>
        <stp>0</stp>
        <stp>BND</stp>
        <stp>KR354701GG69</stp>
        <stp>만기일</stp>
        <stp>46198</stp>
        <stp/>
        <tr r="BS39" s="1"/>
      </tp>
      <tp>
        <v>20450812</v>
        <stp/>
        <stp>P</stp>
        <stp>0</stp>
        <stp>BND</stp>
        <stp>KR354601GF87</stp>
        <stp>만기일</stp>
        <stp>46198</stp>
        <stp/>
        <tr r="K252" s="1"/>
      </tp>
      <tp>
        <v>20291218</v>
        <stp/>
        <stp>P</stp>
        <stp>0</stp>
        <stp>BND</stp>
        <stp>KR354202GEC7</stp>
        <stp>만기일</stp>
        <stp>46198</stp>
        <stp/>
        <tr r="K214" s="1"/>
      </tp>
      <tp>
        <v>20291120</v>
        <stp/>
        <stp>P</stp>
        <stp>0</stp>
        <stp>BND</stp>
        <stp>KR354201GEB1</stp>
        <stp>만기일</stp>
        <stp>46198</stp>
        <stp/>
        <tr r="K200" s="1"/>
      </tp>
      <tp>
        <v>20290701</v>
        <stp/>
        <stp>P</stp>
        <stp>0</stp>
        <stp>BND</stp>
        <stp>KR354203GE72</stp>
        <stp>만기일</stp>
        <stp>46198</stp>
        <stp/>
        <tr r="K160" s="1"/>
      </tp>
      <tp>
        <v>20270718</v>
        <stp/>
        <stp>P</stp>
        <stp>0</stp>
        <stp>BND</stp>
        <stp>KR354204GE71</stp>
        <stp>만기일</stp>
        <stp>46198</stp>
        <stp/>
        <tr r="K115" s="1"/>
      </tp>
      <tp>
        <v>20290718</v>
        <stp/>
        <stp>P</stp>
        <stp>0</stp>
        <stp>BND</stp>
        <stp>KR354205GE70</stp>
        <stp>만기일</stp>
        <stp>46198</stp>
        <stp/>
        <tr r="K172" s="1"/>
      </tp>
      <tp>
        <v>20270724</v>
        <stp/>
        <stp>P</stp>
        <stp>0</stp>
        <stp>BND</stp>
        <stp>KR354301GE73</stp>
        <stp>만기일</stp>
        <stp>46198</stp>
        <stp/>
        <tr r="K42" s="1"/>
      </tp>
      <tp>
        <v>20310205</v>
        <stp/>
        <stp>P</stp>
        <stp>0</stp>
        <stp>BND</stp>
        <stp>KR354406GB21</stp>
        <stp>만기일</stp>
        <stp>46198</stp>
        <stp/>
        <tr r="K314" s="1"/>
        <tr r="DC279" s="1"/>
      </tp>
      <tp>
        <v>20270722</v>
        <stp/>
        <stp>P</stp>
        <stp>0</stp>
        <stp>BND</stp>
        <stp>KR354301GF72</stp>
        <stp>만기일</stp>
        <stp>46198</stp>
        <stp/>
        <tr r="EA34" s="1"/>
      </tp>
      <tp>
        <v>20281209</v>
        <stp/>
        <stp>P</stp>
        <stp>0</stp>
        <stp>BND</stp>
        <stp>KR354202GFC4</stp>
        <stp>만기일</stp>
        <stp>46198</stp>
        <stp/>
        <tr r="K170" s="1"/>
      </tp>
      <tp>
        <v>20280216</v>
        <stp/>
        <stp>P</stp>
        <stp>0</stp>
        <stp>BND</stp>
        <stp>KR354602GB23</stp>
        <stp>만기일</stp>
        <stp>46198</stp>
        <stp/>
        <tr r="K333" s="1"/>
      </tp>
      <tp>
        <v>20290308</v>
        <stp/>
        <stp>P</stp>
        <stp>0</stp>
        <stp>BND</stp>
        <stp>KR354202G936</stp>
        <stp>만기일</stp>
        <stp>46198</stp>
        <stp/>
        <tr r="DC307" s="1"/>
        <tr r="BS251" s="1"/>
      </tp>
      <tp>
        <v>20291024</v>
        <stp/>
        <stp>P</stp>
        <stp>0</stp>
        <stp>BND</stp>
        <stp>KR354601G9A1</stp>
        <stp>만기일</stp>
        <stp>46198</stp>
        <stp/>
        <tr r="K312" s="1"/>
      </tp>
      <tp>
        <v>20290924</v>
        <stp/>
        <stp>P</stp>
        <stp>0</stp>
        <stp>BND</stp>
        <stp>KR354411G990</stp>
        <stp>만기일</stp>
        <stp>46198</stp>
        <stp/>
        <tr r="DC237" s="1"/>
      </tp>
      <tp t="s">
        <v/>
        <stp/>
        <stp>P</stp>
        <stp>0</stp>
        <stp>BND</stp>
        <stp>KRZFJ30490FC</stp>
        <stp>만기일</stp>
        <stp>46198</stp>
        <stp/>
        <tr r="DC234" s="1"/>
      </tp>
      <tp t="s">
        <v/>
        <stp/>
        <stp>P</stp>
        <stp>0</stp>
        <stp>BND</stp>
        <stp>KRZFA57126G4</stp>
        <stp>만기일</stp>
        <stp>46198</stp>
        <stp/>
        <tr r="CE146" s="1"/>
      </tp>
      <tp t="s">
        <v/>
        <stp/>
        <stp>P</stp>
        <stp>0</stp>
        <stp>BND</stp>
        <stp>KRZFJ30491FC</stp>
        <stp>만기일</stp>
        <stp>46198</stp>
        <stp/>
        <tr r="DC235" s="1"/>
      </tp>
      <tp t="s">
        <v/>
        <stp/>
        <stp>P</stp>
        <stp>0</stp>
        <stp>BND</stp>
        <stp>KRZFA57124G4</stp>
        <stp>만기일</stp>
        <stp>46198</stp>
        <stp/>
        <tr r="CE137" s="1"/>
      </tp>
      <tp t="s">
        <v/>
        <stp/>
        <stp>P</stp>
        <stp>0</stp>
        <stp>BND</stp>
        <stp>KRZFA57125G4</stp>
        <stp>만기일</stp>
        <stp>46198</stp>
        <stp/>
        <tr r="CE138" s="1"/>
      </tp>
      <tp t="s">
        <v/>
        <stp/>
        <stp>P</stp>
        <stp>0</stp>
        <stp>BND</stp>
        <stp>KRZFA57123G4</stp>
        <stp>만기일</stp>
        <stp>46198</stp>
        <stp/>
        <tr r="CE139" s="1"/>
      </tp>
      <tp>
        <v>20290601</v>
        <stp/>
        <stp>P</stp>
        <stp>0</stp>
        <stp>BND</stp>
        <stp>KR355902GG63</stp>
        <stp>만기일</stp>
        <stp>46198</stp>
        <stp/>
        <tr r="DC167" s="1"/>
      </tp>
      <tp>
        <v>20280602</v>
        <stp/>
        <stp>P</stp>
        <stp>0</stp>
        <stp>BND</stp>
        <stp>KR355901GG64</stp>
        <stp>만기일</stp>
        <stp>46198</stp>
        <stp/>
        <tr r="DC65" s="1"/>
      </tp>
      <tp>
        <v>20281227</v>
        <stp/>
        <stp>P</stp>
        <stp>0</stp>
        <stp>BND</stp>
        <stp>KR600827BF60</stp>
        <stp>만기일</stp>
        <stp>46198</stp>
        <stp/>
        <tr r="K50" s="1"/>
      </tp>
      <tp>
        <v>20290430</v>
        <stp/>
        <stp>P</stp>
        <stp>0</stp>
        <stp>BND</stp>
        <stp>KR601980CG44</stp>
        <stp>만기일</stp>
        <stp>46198</stp>
        <stp/>
        <tr r="BS37" s="1"/>
        <tr r="DC71" s="1"/>
      </tp>
      <tp>
        <v>20281012</v>
        <stp/>
        <stp>P</stp>
        <stp>0</stp>
        <stp>BND</stp>
        <stp>KR355901GDA9</stp>
        <stp>만기일</stp>
        <stp>46198</stp>
        <stp/>
        <tr r="BS271" s="1"/>
      </tp>
      <tp>
        <v>20260828</v>
        <stp/>
        <stp>P</stp>
        <stp>0</stp>
        <stp>BND</stp>
        <stp>KR601945CE81</stp>
        <stp>만기일</stp>
        <stp>46198</stp>
        <stp/>
        <tr r="BS178" s="1"/>
      </tp>
      <tp>
        <v>20261231</v>
        <stp/>
        <stp>P</stp>
        <stp>0</stp>
        <stp>BND</stp>
        <stp>KR356103DBC8</stp>
        <stp>만기일</stp>
        <stp>46198</stp>
        <stp/>
        <tr r="K370" s="1"/>
      </tp>
      <tp>
        <v>20280522</v>
        <stp/>
        <stp>P</stp>
        <stp>0</stp>
        <stp>BND</stp>
        <stp>KR355601GG59</stp>
        <stp>만기일</stp>
        <stp>46198</stp>
        <stp/>
        <tr r="DC66" s="1"/>
      </tp>
      <tp>
        <v>20280718</v>
        <stp/>
        <stp>P</stp>
        <stp>0</stp>
        <stp>BND</stp>
        <stp>KR355701GF75</stp>
        <stp>만기일</stp>
        <stp>46198</stp>
        <stp/>
        <tr r="EA47" s="1"/>
      </tp>
      <tp>
        <v>20290604</v>
        <stp/>
        <stp>P</stp>
        <stp>0</stp>
        <stp>BND</stp>
        <stp>KR355701GG66</stp>
        <stp>만기일</stp>
        <stp>46198</stp>
        <stp/>
        <tr r="DC63" s="1"/>
      </tp>
      <tp>
        <v>20260821</v>
        <stp/>
        <stp>P</stp>
        <stp>0</stp>
        <stp>BND</stp>
        <stp>KR606590DE20</stp>
        <stp>만기일</stp>
        <stp>46198</stp>
        <stp/>
        <tr r="CE55" s="1"/>
      </tp>
      <tp>
        <v>20280114</v>
        <stp/>
        <stp>P</stp>
        <stp>0</stp>
        <stp>BND</stp>
        <stp>KR355001GG14</stp>
        <stp>만기일</stp>
        <stp>46198</stp>
        <stp/>
        <tr r="EA35" s="1"/>
      </tp>
      <tp>
        <v>20280930</v>
        <stp/>
        <stp>P</stp>
        <stp>0</stp>
        <stp>BND</stp>
        <stp>KR356101DF98</stp>
        <stp>만기일</stp>
        <stp>46198</stp>
        <stp/>
        <tr r="BS217" s="1"/>
      </tp>
      <tp>
        <v>20260720</v>
        <stp/>
        <stp>P</stp>
        <stp>0</stp>
        <stp>BND</stp>
        <stp>KR606590DB72</stp>
        <stp>만기일</stp>
        <stp>46198</stp>
        <stp/>
        <tr r="CE84" s="1"/>
      </tp>
      <tp>
        <v>20280609</v>
        <stp/>
        <stp>P</stp>
        <stp>0</stp>
        <stp>BND</stp>
        <stp>KR603271AD68</stp>
        <stp>만기일</stp>
        <stp>46198</stp>
        <stp/>
        <tr r="K243" s="1"/>
      </tp>
      <tp>
        <v>20270726</v>
        <stp/>
        <stp>P</stp>
        <stp>0</stp>
        <stp>BND</stp>
        <stp>KR603062AE78</stp>
        <stp>만기일</stp>
        <stp>46198</stp>
        <stp/>
        <tr r="BS48" s="1"/>
      </tp>
      <tp>
        <v>20261113</v>
        <stp/>
        <stp>P</stp>
        <stp>0</stp>
        <stp>BND</stp>
        <stp>KR603062AE52</stp>
        <stp>만기일</stp>
        <stp>46198</stp>
        <stp/>
        <tr r="EA12" s="1"/>
      </tp>
      <tp>
        <v>20271031</v>
        <stp/>
        <stp>P</stp>
        <stp>0</stp>
        <stp>BND</stp>
        <stp>KR356101DEA0</stp>
        <stp>만기일</stp>
        <stp>46198</stp>
        <stp/>
        <tr r="K368" s="1"/>
      </tp>
      <tp>
        <v>20300522</v>
        <stp/>
        <stp>P</stp>
        <stp>0</stp>
        <stp>BND</stp>
        <stp>KR603271AF58</stp>
        <stp>만기일</stp>
        <stp>46198</stp>
        <stp/>
        <tr r="K227" s="1"/>
      </tp>
      <tp>
        <v>20270328</v>
        <stp/>
        <stp>P</stp>
        <stp>0</stp>
        <stp>BND</stp>
        <stp>KR355201GF39</stp>
        <stp>만기일</stp>
        <stp>46198</stp>
        <stp/>
        <tr r="EA23" s="1"/>
      </tp>
      <tp>
        <v>20270624</v>
        <stp/>
        <stp>P</stp>
        <stp>0</stp>
        <stp>BND</stp>
        <stp>KR620549AFC9</stp>
        <stp>만기일</stp>
        <stp>46198</stp>
        <stp/>
        <tr r="K28" s="1"/>
      </tp>
      <tp>
        <v>20270321</v>
        <stp/>
        <stp>P</stp>
        <stp>0</stp>
        <stp>BND</stp>
        <stp>KR356102GC30</stp>
        <stp>만기일</stp>
        <stp>46198</stp>
        <stp/>
        <tr r="K142" s="1"/>
      </tp>
      <tp>
        <v>20290927</v>
        <stp/>
        <stp>P</stp>
        <stp>0</stp>
        <stp>BND</stp>
        <stp>KR600494AE98</stp>
        <stp>만기일</stp>
        <stp>46198</stp>
        <stp/>
        <tr r="K177" s="1"/>
      </tp>
      <tp>
        <v>20280824</v>
        <stp/>
        <stp>P</stp>
        <stp>0</stp>
        <stp>BND</stp>
        <stp>KR620549AD84</stp>
        <stp>만기일</stp>
        <stp>46198</stp>
        <stp/>
        <tr r="K80" s="1"/>
      </tp>
      <tp>
        <v>20500918</v>
        <stp/>
        <stp>P</stp>
        <stp>0</stp>
        <stp>BND</stp>
        <stp>KR356101GA90</stp>
        <stp>만기일</stp>
        <stp>46198</stp>
        <stp/>
        <tr r="K276" s="1"/>
      </tp>
      <tp>
        <v>20301125</v>
        <stp/>
        <stp>P</stp>
        <stp>0</stp>
        <stp>BND</stp>
        <stp>KR356110GFB9</stp>
        <stp>만기일</stp>
        <stp>46198</stp>
        <stp/>
        <tr r="BS71" s="1"/>
      </tp>
      <tp>
        <v>20301127</v>
        <stp/>
        <stp>P</stp>
        <stp>0</stp>
        <stp>BND</stp>
        <stp>KR356115GFB8</stp>
        <stp>만기일</stp>
        <stp>46198</stp>
        <stp/>
        <tr r="W13" s="1"/>
        <tr r="BS72" s="1"/>
      </tp>
      <tp>
        <v>20351125</v>
        <stp/>
        <stp>P</stp>
        <stp>0</stp>
        <stp>BND</stp>
        <stp>KR356113GFB3</stp>
        <stp>만기일</stp>
        <stp>46198</stp>
        <stp/>
        <tr r="BS88" s="1"/>
      </tp>
      <tp>
        <v>20290316</v>
        <stp/>
        <stp>P</stp>
        <stp>0</stp>
        <stp>BND</stp>
        <stp>KR356103GFC2</stp>
        <stp>만기일</stp>
        <stp>46198</stp>
        <stp/>
        <tr r="BS90" s="1"/>
        <tr r="DO10" s="1"/>
      </tp>
      <tp>
        <v>20310421</v>
        <stp/>
        <stp>P</stp>
        <stp>0</stp>
        <stp>BND</stp>
        <stp>KR356105GG41</stp>
        <stp>만기일</stp>
        <stp>46198</stp>
        <stp/>
        <tr r="K154" s="1"/>
      </tp>
      <tp>
        <v>20560113</v>
        <stp/>
        <stp>P</stp>
        <stp>0</stp>
        <stp>BND</stp>
        <stp>KR356102GG10</stp>
        <stp>만기일</stp>
        <stp>46198</stp>
        <stp/>
        <tr r="BS93" s="1"/>
        <tr r="DC149" s="1"/>
      </tp>
      <tp>
        <v>20310304</v>
        <stp/>
        <stp>P</stp>
        <stp>0</stp>
        <stp>BND</stp>
        <stp>KR356101GG37</stp>
        <stp>만기일</stp>
        <stp>46198</stp>
        <stp/>
        <tr r="K175" s="1"/>
      </tp>
      <tp>
        <v>20261129</v>
        <stp/>
        <stp>P</stp>
        <stp>0</stp>
        <stp>BND</stp>
        <stp>KR356108GDB8</stp>
        <stp>만기일</stp>
        <stp>46198</stp>
        <stp/>
        <tr r="BS147" s="1"/>
      </tp>
      <tp>
        <v>20430420</v>
        <stp/>
        <stp>P</stp>
        <stp>0</stp>
        <stp>BND</stp>
        <stp>KR356103GD46</stp>
        <stp>만기일</stp>
        <stp>46198</stp>
        <stp/>
        <tr r="W21" s="1"/>
      </tp>
      <tp>
        <v>20430623</v>
        <stp/>
        <stp>P</stp>
        <stp>0</stp>
        <stp>BND</stp>
        <stp>KR356102GD62</stp>
        <stp>만기일</stp>
        <stp>46198</stp>
        <stp/>
        <tr r="K232" s="1"/>
      </tp>
      <tp>
        <v>20280119</v>
        <stp/>
        <stp>P</stp>
        <stp>0</stp>
        <stp>BND</stp>
        <stp>KR356101GD14</stp>
        <stp>만기일</stp>
        <stp>46198</stp>
        <stp/>
        <tr r="BS86" s="1"/>
      </tp>
      <tp>
        <v>20290125</v>
        <stp/>
        <stp>P</stp>
        <stp>0</stp>
        <stp>BND</stp>
        <stp>KR356102GE12</stp>
        <stp>만기일</stp>
        <stp>46198</stp>
        <stp/>
        <tr r="K138" s="1"/>
      </tp>
      <tp>
        <v>20260811</v>
        <stp/>
        <stp>P</stp>
        <stp>0</stp>
        <stp>BND</stp>
        <stp>KR356002GD89</stp>
        <stp>만기일</stp>
        <stp>46198</stp>
        <stp/>
        <tr r="CE31" s="1"/>
      </tp>
      <tp t="s">
        <v/>
        <stp/>
        <stp>P</stp>
        <stp>0</stp>
        <stp>BND</stp>
        <stp>KRZFE05942FB</stp>
        <stp>만기일</stp>
        <stp>46198</stp>
        <stp/>
        <tr r="BS126" s="1"/>
      </tp>
      <tp t="s">
        <v/>
        <stp/>
        <stp>P</stp>
        <stp>0</stp>
        <stp>BND</stp>
        <stp>KRZFE05942FM</stp>
        <stp>만기일</stp>
        <stp>46198</stp>
        <stp/>
        <tr r="BS113" s="1"/>
      </tp>
      <tp t="s">
        <v/>
        <stp/>
        <stp>P</stp>
        <stp>0</stp>
        <stp>BND</stp>
        <stp>KRZFE05941FB</stp>
        <stp>만기일</stp>
        <stp>46198</stp>
        <stp/>
        <tr r="BS127" s="1"/>
      </tp>
      <tp t="s">
        <v/>
        <stp/>
        <stp>P</stp>
        <stp>0</stp>
        <stp>BND</stp>
        <stp>KRZFE05941FM</stp>
        <stp>만기일</stp>
        <stp>46198</stp>
        <stp/>
        <tr r="BS112" s="1"/>
      </tp>
      <tp t="s">
        <v/>
        <stp/>
        <stp>P</stp>
        <stp>0</stp>
        <stp>BND</stp>
        <stp>KRZFE05947F9</stp>
        <stp>만기일</stp>
        <stp>46198</stp>
        <stp/>
        <tr r="BS111" s="1"/>
      </tp>
      <tp t="s">
        <v/>
        <stp/>
        <stp>P</stp>
        <stp>0</stp>
        <stp>BND</stp>
        <stp>KRZFE05946F9</stp>
        <stp>만기일</stp>
        <stp>46198</stp>
        <stp/>
        <tr r="BS110" s="1"/>
      </tp>
      <tp t="s">
        <v/>
        <stp/>
        <stp>P</stp>
        <stp>0</stp>
        <stp>BND</stp>
        <stp>KRZFE05945F9</stp>
        <stp>만기일</stp>
        <stp>46198</stp>
        <stp/>
        <tr r="BS261" s="1"/>
      </tp>
      <tp>
        <v>20350206</v>
        <stp/>
        <stp>P</stp>
        <stp>0</stp>
        <stp>BND</stp>
        <stp>KR356102G522</stp>
        <stp>만기일</stp>
        <stp>46198</stp>
        <stp/>
        <tr r="K296" s="1"/>
        <tr r="DC145" s="1"/>
      </tp>
      <tp t="s">
        <v/>
        <stp/>
        <stp>P</stp>
        <stp>0</stp>
        <stp>BND</stp>
        <stp>KRZFE05944F9</stp>
        <stp>만기일</stp>
        <stp>46198</stp>
        <stp/>
        <tr r="BS260" s="1"/>
      </tp>
      <tp>
        <v>20270611</v>
        <stp/>
        <stp>P</stp>
        <stp>0</stp>
        <stp>BND</stp>
        <stp>KR601980AE63</stp>
        <stp>만기일</stp>
        <stp>46198</stp>
        <stp/>
        <tr r="BS38" s="1"/>
      </tp>
      <tp>
        <v>20280508</v>
        <stp/>
        <stp>P</stp>
        <stp>0</stp>
        <stp>BND</stp>
        <stp>KR357501GG56</stp>
        <stp>만기일</stp>
        <stp>46198</stp>
        <stp/>
        <tr r="DC69" s="1"/>
      </tp>
      <tp>
        <v>20290508</v>
        <stp/>
        <stp>P</stp>
        <stp>0</stp>
        <stp>BND</stp>
        <stp>KR357502GG55</stp>
        <stp>만기일</stp>
        <stp>46198</stp>
        <stp/>
        <tr r="DC82" s="1"/>
      </tp>
      <tp>
        <v>20300724</v>
        <stp/>
        <stp>P</stp>
        <stp>0</stp>
        <stp>BND</stp>
        <stp>KR357402GF73</stp>
        <stp>만기일</stp>
        <stp>46198</stp>
        <stp/>
        <tr r="K228" s="1"/>
      </tp>
      <tp>
        <v>20300726</v>
        <stp/>
        <stp>P</stp>
        <stp>0</stp>
        <stp>BND</stp>
        <stp>KR602378BD79</stp>
        <stp>만기일</stp>
        <stp>46198</stp>
        <stp/>
        <tr r="W18" s="1"/>
      </tp>
      <tp>
        <v>20270115</v>
        <stp/>
        <stp>P</stp>
        <stp>0</stp>
        <stp>BND</stp>
        <stp>KR602196BF10</stp>
        <stp>만기일</stp>
        <stp>46198</stp>
        <stp/>
        <tr r="BS177" s="1"/>
      </tp>
      <tp>
        <v>20280926</v>
        <stp/>
        <stp>P</stp>
        <stp>0</stp>
        <stp>BND</stp>
        <stp>KR357001GF94</stp>
        <stp>만기일</stp>
        <stp>46198</stp>
        <stp/>
        <tr r="EA15" s="1"/>
      </tp>
      <tp>
        <v>20270902</v>
        <stp/>
        <stp>P</stp>
        <stp>0</stp>
        <stp>BND</stp>
        <stp>KR357201GF92</stp>
        <stp>만기일</stp>
        <stp>46198</stp>
        <stp/>
        <tr r="EA39" s="1"/>
      </tp>
      <tp>
        <v>20301027</v>
        <stp/>
        <stp>P</stp>
        <stp>0</stp>
        <stp>BND</stp>
        <stp>KR358301GFA4</stp>
        <stp>만기일</stp>
        <stp>46198</stp>
        <stp/>
        <tr r="BS94" s="1"/>
        <tr r="EA65" s="1"/>
      </tp>
      <tp t="s">
        <v/>
        <stp/>
        <stp>P</stp>
        <stp>0</stp>
        <stp>BND</stp>
        <stp>KRZFJ71054G2</stp>
        <stp>만기일</stp>
        <stp>46198</stp>
        <stp/>
        <tr r="DC222" s="1"/>
      </tp>
      <tp t="s">
        <v/>
        <stp/>
        <stp>P</stp>
        <stp>0</stp>
        <stp>BND</stp>
        <stp>KRZFJ71050G2</stp>
        <stp>만기일</stp>
        <stp>46198</stp>
        <stp/>
        <tr r="DC221" s="1"/>
      </tp>
      <tp t="s">
        <v/>
        <stp/>
        <stp>P</stp>
        <stp>0</stp>
        <stp>BND</stp>
        <stp>KRZFJ71051G2</stp>
        <stp>만기일</stp>
        <stp>46198</stp>
        <stp/>
        <tr r="DC220" s="1"/>
      </tp>
      <tp t="s">
        <v/>
        <stp/>
        <stp>P</stp>
        <stp>0</stp>
        <stp>BND</stp>
        <stp>KRZFJ71052G2</stp>
        <stp>만기일</stp>
        <stp>46198</stp>
        <stp/>
        <tr r="DC218" s="1"/>
      </tp>
      <tp t="s">
        <v/>
        <stp/>
        <stp>P</stp>
        <stp>0</stp>
        <stp>BND</stp>
        <stp>KRZFJ71053G2</stp>
        <stp>만기일</stp>
        <stp>46198</stp>
        <stp/>
        <tr r="DC219" s="1"/>
      </tp>
      <tp>
        <v>20270126</v>
        <stp/>
        <stp>P</stp>
        <stp>0</stp>
        <stp>BND</stp>
        <stp>KR602196LE76</stp>
        <stp>만기일</stp>
        <stp>46198</stp>
        <stp/>
        <tr r="BS174" s="1"/>
      </tp>
      <tp t="s">
        <v/>
        <stp/>
        <stp>P</stp>
        <stp>0</stp>
        <stp>BND</stp>
        <stp>KRZFJ05942FB</stp>
        <stp>만기일</stp>
        <stp>46198</stp>
        <stp/>
        <tr r="DC214" s="1"/>
      </tp>
      <tp>
        <v>20270827</v>
        <stp/>
        <stp>P</stp>
        <stp>0</stp>
        <stp>BND</stp>
        <stp>KR609523DF25</stp>
        <stp>만기일</stp>
        <stp>46198</stp>
        <stp/>
        <tr r="CQ46" s="1"/>
      </tp>
      <tp t="s">
        <v/>
        <stp/>
        <stp>P</stp>
        <stp>0</stp>
        <stp>BND</stp>
        <stp>KRZFE3049YFQ</stp>
        <stp>만기일</stp>
        <stp>46198</stp>
        <stp/>
        <tr r="DC236" s="1"/>
      </tp>
      <tp t="s">
        <v/>
        <stp/>
        <stp>P</stp>
        <stp>0</stp>
        <stp>BND</stp>
        <stp>KRZFE3049ZFQ</stp>
        <stp>만기일</stp>
        <stp>46198</stp>
        <stp/>
        <tr r="DC233" s="1"/>
      </tp>
      <tp t="s">
        <v/>
        <stp/>
        <stp>P</stp>
        <stp>0</stp>
        <stp>BND</stp>
        <stp>KRZS0004L003</stp>
        <stp>만기일</stp>
        <stp>46198</stp>
        <stp/>
        <tr r="CE16" s="1"/>
      </tp>
      <tp t="s">
        <v/>
        <stp/>
        <stp>P</stp>
        <stp>0</stp>
        <stp>BND</stp>
        <stp>KRZFE30495G5</stp>
        <stp>만기일</stp>
        <stp>46198</stp>
        <stp/>
        <tr r="DC99" s="1"/>
      </tp>
      <tp>
        <v>20260731</v>
        <stp/>
        <stp>P</stp>
        <stp>0</stp>
        <stp>BND</stp>
        <stp>KR609724BD75</stp>
        <stp>만기일</stp>
        <stp>46198</stp>
        <stp/>
        <tr r="BS164" s="1"/>
      </tp>
      <tp t="s">
        <v/>
        <stp/>
        <stp>P</stp>
        <stp>0</stp>
        <stp>BND</stp>
        <stp>KRZFA3949HG5</stp>
        <stp>만기일</stp>
        <stp>46198</stp>
        <stp/>
        <tr r="DC211" s="1"/>
      </tp>
      <tp t="s">
        <v/>
        <stp/>
        <stp>P</stp>
        <stp>0</stp>
        <stp>BND</stp>
        <stp>KRZFA3949JG5</stp>
        <stp>만기일</stp>
        <stp>46198</stp>
        <stp/>
        <tr r="DC206" s="1"/>
      </tp>
      <tp>
        <v>20301029</v>
        <stp/>
        <stp>P</stp>
        <stp>0</stp>
        <stp>BND</stp>
        <stp>KR602988JAA7</stp>
        <stp>만기일</stp>
        <stp>46198</stp>
        <stp/>
        <tr r="EA71" s="1"/>
      </tp>
      <tp t="s">
        <v/>
        <stp/>
        <stp>P</stp>
        <stp>0</stp>
        <stp>BND</stp>
        <stp>KRZFA3949KG5</stp>
        <stp>만기일</stp>
        <stp>46198</stp>
        <stp/>
        <tr r="DC207" s="1"/>
      </tp>
      <tp t="s">
        <v/>
        <stp/>
        <stp>P</stp>
        <stp>0</stp>
        <stp>BND</stp>
        <stp>KRZFA3949LG5</stp>
        <stp>만기일</stp>
        <stp>46198</stp>
        <stp/>
        <tr r="DC208" s="1"/>
      </tp>
      <tp t="s">
        <v/>
        <stp/>
        <stp>P</stp>
        <stp>0</stp>
        <stp>BND</stp>
        <stp>KRZFA3949MG5</stp>
        <stp>만기일</stp>
        <stp>46198</stp>
        <stp/>
        <tr r="DC209" s="1"/>
      </tp>
      <tp>
        <v>20270331</v>
        <stp/>
        <stp>P</stp>
        <stp>0</stp>
        <stp>BND</stp>
        <stp>KR609592AG31</stp>
        <stp>만기일</stp>
        <stp>46198</stp>
        <stp/>
        <tr r="K301" s="1"/>
      </tp>
      <tp t="s">
        <v/>
        <stp/>
        <stp>P</stp>
        <stp>0</stp>
        <stp>BND</stp>
        <stp>KRZFA3049BFP</stp>
        <stp>만기일</stp>
        <stp>46198</stp>
        <stp/>
        <tr r="DC215" s="1"/>
      </tp>
      <tp>
        <v>20290730</v>
        <stp/>
        <stp>P</stp>
        <stp>0</stp>
        <stp>BND</stp>
        <stp>KR609592AE74</stp>
        <stp>만기일</stp>
        <stp>46198</stp>
        <stp/>
        <tr r="EA45" s="1"/>
      </tp>
      <tp t="s">
        <v/>
        <stp/>
        <stp>P</stp>
        <stp>0</stp>
        <stp>BND</stp>
        <stp>KRZFA3949GG5</stp>
        <stp>만기일</stp>
        <stp>46198</stp>
        <stp/>
        <tr r="DC210" s="1"/>
      </tp>
      <tp t="s">
        <v/>
        <stp/>
        <stp>P</stp>
        <stp>0</stp>
        <stp>BND</stp>
        <stp>KRZS0011H033</stp>
        <stp>만기일</stp>
        <stp>46198</stp>
        <stp/>
        <tr r="CE144" s="1"/>
      </tp>
      <tp t="s">
        <v/>
        <stp/>
        <stp>P</stp>
        <stp>0</stp>
        <stp>BND</stp>
        <stp>KRZS0011H028</stp>
        <stp>만기일</stp>
        <stp>46198</stp>
        <stp/>
        <tr r="CE27" s="1"/>
      </tp>
      <tp t="s">
        <v/>
        <stp/>
        <stp>P</stp>
        <stp>0</stp>
        <stp>BND</stp>
        <stp>-</stp>
        <stp>만기일</stp>
        <stp>46198</stp>
        <stp/>
        <tr r="DO21" s="1"/>
        <tr r="K387" s="1"/>
        <tr r="BS284" s="1"/>
        <tr r="AU17" s="1"/>
        <tr r="CE164" s="1"/>
        <tr r="W48" s="1"/>
        <tr r="BG15" s="1"/>
        <tr r="EA89" s="1"/>
        <tr r="AI29" s="1"/>
        <tr r="CQ61" s="1"/>
        <tr r="DC313" s="1"/>
      </tp>
      <tp t="s">
        <v/>
        <stp/>
        <stp>P</stp>
        <stp>0</stp>
        <stp>BND</stp>
        <stp>KRZF01117RF7</stp>
        <stp>만기일</stp>
        <stp>46198</stp>
        <stp/>
        <tr r="CE96" s="1"/>
      </tp>
      <tp t="s">
        <v/>
        <stp/>
        <stp>P</stp>
        <stp>0</stp>
        <stp>BND</stp>
        <stp>KRZF01117SF7</stp>
        <stp>만기일</stp>
        <stp>46198</stp>
        <stp/>
        <tr r="CE95" s="1"/>
      </tp>
      <tp t="s">
        <v/>
        <stp/>
        <stp>P</stp>
        <stp>0</stp>
        <stp>BND</stp>
        <stp>KRZF01117PF7</stp>
        <stp>만기일</stp>
        <stp>46198</stp>
        <stp/>
        <tr r="CE98" s="1"/>
      </tp>
      <tp t="s">
        <v/>
        <stp/>
        <stp>P</stp>
        <stp>0</stp>
        <stp>BND</stp>
        <stp>KRZF01117QF7</stp>
        <stp>만기일</stp>
        <stp>46198</stp>
        <stp/>
        <tr r="CE97" s="1"/>
      </tp>
      <tp>
        <v>20291106</v>
        <stp/>
        <stp>P</stp>
        <stp>0</stp>
        <stp>BND</stp>
        <stp>KR6063321WB6</stp>
        <stp>만기일</stp>
        <stp>46198</stp>
        <stp/>
        <tr r="K367" s="1"/>
      </tp>
      <tp>
        <v>20310406</v>
        <stp/>
        <stp>P</stp>
        <stp>0</stp>
        <stp>BND</stp>
        <stp>KR6138094B49</stp>
        <stp>만기일</stp>
        <stp>46198</stp>
        <stp/>
        <tr r="EA72" s="1"/>
      </tp>
      <tp>
        <v>20271105</v>
        <stp/>
        <stp>P</stp>
        <stp>0</stp>
        <stp>BND</stp>
        <stp>KR6169371FB9</stp>
        <stp>만기일</stp>
        <stp>46198</stp>
        <stp/>
        <tr r="BS59" s="1"/>
      </tp>
      <tp>
        <v>20270514</v>
        <stp/>
        <stp>P</stp>
        <stp>0</stp>
        <stp>BND</stp>
        <stp>KR6169371F51</stp>
        <stp>만기일</stp>
        <stp>46198</stp>
        <stp/>
        <tr r="EA86" s="1"/>
      </tp>
      <tp>
        <v>20270623</v>
        <stp/>
        <stp>P</stp>
        <stp>0</stp>
        <stp>BND</stp>
        <stp>KR6068171F65</stp>
        <stp>만기일</stp>
        <stp>46198</stp>
        <stp/>
        <tr r="DC35" s="1"/>
      </tp>
      <tp>
        <v>20280324</v>
        <stp/>
        <stp>P</stp>
        <stp>0</stp>
        <stp>BND</stp>
        <stp>KR6019806G37</stp>
        <stp>만기일</stp>
        <stp>46198</stp>
        <stp/>
        <tr r="K99" s="1"/>
      </tp>
      <tp>
        <v>20261113</v>
        <stp/>
        <stp>P</stp>
        <stp>0</stp>
        <stp>BND</stp>
        <stp>KR6169371EB2</stp>
        <stp>만기일</stp>
        <stp>46198</stp>
        <stp/>
        <tr r="DC58" s="1"/>
      </tp>
      <tp>
        <v>20261113</v>
        <stp/>
        <stp>P</stp>
        <stp>0</stp>
        <stp>BND</stp>
        <stp>KR6065901FB8</stp>
        <stp>만기일</stp>
        <stp>46198</stp>
        <stp/>
        <tr r="CE61" s="1"/>
      </tp>
      <tp>
        <v>20290209</v>
        <stp/>
        <stp>P</stp>
        <stp>0</stp>
        <stp>BND</stp>
        <stp>KR6064311G23</stp>
        <stp>만기일</stp>
        <stp>46198</stp>
        <stp/>
        <tr r="DC111" s="1"/>
      </tp>
      <tp>
        <v>20300731</v>
        <stp/>
        <stp>P</stp>
        <stp>0</stp>
        <stp>BND</stp>
        <stp>KR2055022F75</stp>
        <stp>만기일</stp>
        <stp>46198</stp>
        <stp/>
        <tr r="K357" s="1"/>
      </tp>
      <tp>
        <v>20290406</v>
        <stp/>
        <stp>P</stp>
        <stp>0</stp>
        <stp>BND</stp>
        <stp>KR6064981G48</stp>
        <stp>만기일</stp>
        <stp>46198</stp>
        <stp/>
        <tr r="DC67" s="1"/>
      </tp>
      <tp>
        <v>20270311</v>
        <stp/>
        <stp>P</stp>
        <stp>0</stp>
        <stp>BND</stp>
        <stp>KR6140173B31</stp>
        <stp>만기일</stp>
        <stp>46198</stp>
        <stp/>
        <tr r="BS266" s="1"/>
        <tr r="DO17" s="1"/>
      </tp>
      <tp>
        <v>20280616</v>
        <stp/>
        <stp>P</stp>
        <stp>0</stp>
        <stp>BND</stp>
        <stp>KR6064311F65</stp>
        <stp>만기일</stp>
        <stp>46198</stp>
        <stp/>
        <tr r="CQ35" s="1"/>
      </tp>
      <tp>
        <v>20270524</v>
        <stp/>
        <stp>P</stp>
        <stp>0</stp>
        <stp>BND</stp>
        <stp>KR6214346F65</stp>
        <stp>만기일</stp>
        <stp>46198</stp>
        <stp/>
        <tr r="DC98" s="1"/>
      </tp>
      <tp>
        <v>20260812</v>
        <stp/>
        <stp>P</stp>
        <stp>0</stp>
        <stp>BND</stp>
        <stp>KR6140173B80</stp>
        <stp>만기일</stp>
        <stp>46198</stp>
        <stp/>
        <tr r="K244" s="1"/>
      </tp>
      <tp>
        <v>20270218</v>
        <stp/>
        <stp>P</stp>
        <stp>0</stp>
        <stp>BND</stp>
        <stp>KR6064981F23</stp>
        <stp>만기일</stp>
        <stp>46198</stp>
        <stp/>
        <tr r="BS187" s="1"/>
      </tp>
      <tp>
        <v>20291028</v>
        <stp/>
        <stp>P</stp>
        <stp>0</stp>
        <stp>BND</stp>
        <stp>KR6004947EA0</stp>
        <stp>만기일</stp>
        <stp>46198</stp>
        <stp/>
        <tr r="K32" s="1"/>
      </tp>
      <tp>
        <v>20270726</v>
        <stp/>
        <stp>P</stp>
        <stp>0</stp>
        <stp>BND</stp>
        <stp>KR6046293G14</stp>
        <stp>만기일</stp>
        <stp>46198</stp>
        <stp/>
        <tr r="CQ17" s="1"/>
      </tp>
      <tp>
        <v>20280623</v>
        <stp/>
        <stp>P</stp>
        <stp>0</stp>
        <stp>BND</stp>
        <stp>KR6066561G66</stp>
        <stp>만기일</stp>
        <stp>46198</stp>
        <stp/>
        <tr r="DC75" s="1"/>
      </tp>
      <tp>
        <v>20260828</v>
        <stp/>
        <stp>P</stp>
        <stp>0</stp>
        <stp>BND</stp>
        <stp>KR6167161F83</stp>
        <stp>만기일</stp>
        <stp>46198</stp>
        <stp/>
        <tr r="CE69" s="1"/>
      </tp>
      <tp>
        <v>20280828</v>
        <stp/>
        <stp>P</stp>
        <stp>0</stp>
        <stp>BND</stp>
        <stp>KR6055552D89</stp>
        <stp>만기일</stp>
        <stp>46198</stp>
        <stp/>
        <tr r="BS156" s="1"/>
      </tp>
      <tp>
        <v>20260806</v>
        <stp/>
        <stp>P</stp>
        <stp>0</stp>
        <stp>BND</stp>
        <stp>KR6065901E85</stp>
        <stp>만기일</stp>
        <stp>46198</stp>
        <stp/>
        <tr r="CE54" s="1"/>
      </tp>
      <tp>
        <v>20290531</v>
        <stp/>
        <stp>P</stp>
        <stp>0</stp>
        <stp>BND</stp>
        <stp>KR2055022E50</stp>
        <stp>만기일</stp>
        <stp>46198</stp>
        <stp/>
        <tr r="K347" s="1"/>
      </tp>
      <tp>
        <v>20260707</v>
        <stp/>
        <stp>P</stp>
        <stp>0</stp>
        <stp>BND</stp>
        <stp>KR6046293F15</stp>
        <stp>만기일</stp>
        <stp>46198</stp>
        <stp/>
        <tr r="CE34" s="1"/>
      </tp>
      <tp>
        <v>20330911</v>
        <stp/>
        <stp>P</stp>
        <stp>0</stp>
        <stp>BND</stp>
        <stp>KR6034734D93</stp>
        <stp>만기일</stp>
        <stp>46198</stp>
        <stp/>
        <tr r="K282" s="1"/>
      </tp>
      <tp>
        <v>20260803</v>
        <stp/>
        <stp>P</stp>
        <stp>0</stp>
        <stp>BND</stp>
        <stp>KR6145763E82</stp>
        <stp>만기일</stp>
        <stp>46198</stp>
        <stp/>
        <tr r="CE51" s="1"/>
      </tp>
      <tp>
        <v>20300109</v>
        <stp/>
        <stp>P</stp>
        <stp>0</stp>
        <stp>BND</stp>
        <stp>KR6031324F10</stp>
        <stp>만기일</stp>
        <stp>46198</stp>
        <stp/>
        <tr r="EA51" s="1"/>
      </tp>
      <tp>
        <v>20290131</v>
        <stp/>
        <stp>P</stp>
        <stp>0</stp>
        <stp>BND</stp>
        <stp>KR6152252E11</stp>
        <stp>만기일</stp>
        <stp>46198</stp>
        <stp/>
        <tr r="K375" s="1"/>
      </tp>
      <tp>
        <v>20290809</v>
        <stp/>
        <stp>P</stp>
        <stp>0</stp>
        <stp>BND</stp>
        <stp>KR6140173G51</stp>
        <stp>만기일</stp>
        <stp>46198</stp>
        <stp/>
        <tr r="K134" s="1"/>
      </tp>
      <tp>
        <v>20280426</v>
        <stp/>
        <stp>P</stp>
        <stp>0</stp>
        <stp>BND</stp>
        <stp>KR6063321D42</stp>
        <stp>만기일</stp>
        <stp>46198</stp>
        <stp/>
        <tr r="K323" s="1"/>
      </tp>
      <tp>
        <v>20300124</v>
        <stp/>
        <stp>P</stp>
        <stp>0</stp>
        <stp>BND</stp>
        <stp>KR6051912F16</stp>
        <stp>만기일</stp>
        <stp>46198</stp>
        <stp/>
        <tr r="EA52" s="1"/>
      </tp>
      <tp>
        <v>20280224</v>
        <stp/>
        <stp>P</stp>
        <stp>0</stp>
        <stp>BND</stp>
        <stp>KR6021965F23</stp>
        <stp>만기일</stp>
        <stp>46198</stp>
        <stp/>
        <tr r="BS241" s="1"/>
      </tp>
      <tp>
        <v>20281109</v>
        <stp/>
        <stp>P</stp>
        <stp>0</stp>
        <stp>BND</stp>
        <stp>KR6032714DB0</stp>
        <stp>만기일</stp>
        <stp>46198</stp>
        <stp/>
        <tr r="K77" s="1"/>
      </tp>
      <tp>
        <v>20280602</v>
        <stp/>
        <stp>P</stp>
        <stp>0</stp>
        <stp>BND</stp>
        <stp>KR6030624F68</stp>
        <stp>만기일</stp>
        <stp>46198</stp>
        <stp/>
        <tr r="BS69" s="1"/>
      </tp>
      <tp>
        <v>20270609</v>
        <stp/>
        <stp>P</stp>
        <stp>0</stp>
        <stp>BND</stp>
        <stp>KR6160721F65</stp>
        <stp>만기일</stp>
        <stp>46198</stp>
        <stp/>
        <tr r="CQ19" s="1"/>
      </tp>
      <tp>
        <v>20270718</v>
        <stp/>
        <stp>P</stp>
        <stp>0</stp>
        <stp>BND</stp>
        <stp>KR6055552C72</stp>
        <stp>만기일</stp>
        <stp>46198</stp>
        <stp/>
        <tr r="K82" s="1"/>
      </tp>
      <tp>
        <v>20290612</v>
        <stp/>
        <stp>P</stp>
        <stp>0</stp>
        <stp>BND</stp>
        <stp>KR6053212E69</stp>
        <stp>만기일</stp>
        <stp>46198</stp>
        <stp/>
        <tr r="W28" s="1"/>
        <tr r="DC126" s="1"/>
      </tp>
      <tp>
        <v>20280211</v>
        <stp/>
        <stp>P</stp>
        <stp>0</stp>
        <stp>BND</stp>
        <stp>KR6030624F27</stp>
        <stp>만기일</stp>
        <stp>46198</stp>
        <stp/>
        <tr r="EA42" s="1"/>
      </tp>
      <tp>
        <v>20280526</v>
        <stp/>
        <stp>P</stp>
        <stp>0</stp>
        <stp>BND</stp>
        <stp>KR6310106F53</stp>
        <stp>만기일</stp>
        <stp>46198</stp>
        <stp/>
        <tr r="CQ24" s="1"/>
      </tp>
      <tp>
        <v>20290628</v>
        <stp/>
        <stp>P</stp>
        <stp>0</stp>
        <stp>BND</stp>
        <stp>KR6063321E66</stp>
        <stp>만기일</stp>
        <stp>46198</stp>
        <stp/>
        <tr r="K162" s="1"/>
      </tp>
      <tp>
        <v>20280825</v>
        <stp/>
        <stp>P</stp>
        <stp>0</stp>
        <stp>BND</stp>
        <stp>KR6140173F86</stp>
        <stp>만기일</stp>
        <stp>46198</stp>
        <stp/>
        <tr r="K199" s="1"/>
      </tp>
      <tp>
        <v>20261002</v>
        <stp/>
        <stp>P</stp>
        <stp>0</stp>
        <stp>BND</stp>
        <stp>KR6140173EB6</stp>
        <stp>만기일</stp>
        <stp>46198</stp>
        <stp/>
        <tr r="K239" s="1"/>
      </tp>
      <tp>
        <v>20271112</v>
        <stp/>
        <stp>P</stp>
        <stp>0</stp>
        <stp>BND</stp>
        <stp>KR6030624EB1</stp>
        <stp>만기일</stp>
        <stp>46198</stp>
        <stp/>
        <tr r="CQ21" s="1"/>
      </tp>
      <tp>
        <v>20260922</v>
        <stp/>
        <stp>P</stp>
        <stp>0</stp>
        <stp>BND</stp>
        <stp>KR6023765F39</stp>
        <stp>만기일</stp>
        <stp>46198</stp>
        <stp/>
        <tr r="CE36" s="1"/>
        <tr r="EA19" s="1"/>
      </tp>
      <tp>
        <v>20270312</v>
        <stp/>
        <stp>P</stp>
        <stp>0</stp>
        <stp>BND</stp>
        <stp>KR6063621F39</stp>
        <stp>만기일</stp>
        <stp>46198</stp>
        <stp/>
        <tr r="K45" s="1"/>
      </tp>
      <tp>
        <v>20270814</v>
        <stp/>
        <stp>P</stp>
        <stp>0</stp>
        <stp>BND</stp>
        <stp>KR6000017E83</stp>
        <stp>만기일</stp>
        <stp>46198</stp>
        <stp/>
        <tr r="K130" s="1"/>
      </tp>
      <tp>
        <v>20300902</v>
        <stp/>
        <stp>P</stp>
        <stp>0</stp>
        <stp>BND</stp>
        <stp>KR6063621F96</stp>
        <stp>만기일</stp>
        <stp>46198</stp>
        <stp/>
        <tr r="K230" s="1"/>
      </tp>
      <tp>
        <v>20290112</v>
        <stp/>
        <stp>P</stp>
        <stp>0</stp>
        <stp>BND</stp>
        <stp>KR6032714F73</stp>
        <stp>만기일</stp>
        <stp>46198</stp>
        <stp/>
        <tr r="K205" s="1"/>
      </tp>
      <tp>
        <v>20290209</v>
        <stp/>
        <stp>P</stp>
        <stp>0</stp>
        <stp>BND</stp>
        <stp>KR6063621G20</stp>
        <stp>만기일</stp>
        <stp>46198</stp>
        <stp/>
        <tr r="DC113" s="1"/>
      </tp>
      <tp>
        <v>20270127</v>
        <stp/>
        <stp>P</stp>
        <stp>0</stp>
        <stp>BND</stp>
        <stp>KR6140173D47</stp>
        <stp>만기일</stp>
        <stp>46198</stp>
        <stp/>
        <tr r="BS161" s="1"/>
      </tp>
      <tp>
        <v>20270305</v>
        <stp/>
        <stp>P</stp>
        <stp>0</stp>
        <stp>BND</stp>
        <stp>KR6051912E33</stp>
        <stp>만기일</stp>
        <stp>46198</stp>
        <stp/>
        <tr r="DC28" s="1"/>
      </tp>
      <tp>
        <v>20280425</v>
        <stp/>
        <stp>P</stp>
        <stp>0</stp>
        <stp>BND</stp>
        <stp>KR6060001841</stp>
        <stp>만기일</stp>
        <stp>46198</stp>
        <stp/>
        <tr r="EA36" s="1"/>
      </tp>
      <tp>
        <v>20460910</v>
        <stp/>
        <stp>P</stp>
        <stp>0</stp>
        <stp>BND</stp>
        <stp>KRC0350C4690</stp>
        <stp>만기일</stp>
        <stp>46198</stp>
        <stp/>
        <tr r="BS277" s="1"/>
      </tp>
      <tp>
        <v>20320518</v>
        <stp/>
        <stp>P</stp>
        <stp>0</stp>
        <stp>BND</stp>
        <stp>KR6063321253</stp>
        <stp>만기일</stp>
        <stp>46198</stp>
        <stp/>
        <tr r="K151" s="1"/>
      </tp>
      <tp>
        <v>20450310</v>
        <stp/>
        <stp>P</stp>
        <stp>0</stp>
        <stp>BND</stp>
        <stp>KRC0350C4534</stp>
        <stp>만기일</stp>
        <stp>46198</stp>
        <stp/>
        <tr r="DC281" s="1"/>
      </tp>
      <tp>
        <v>20341215</v>
        <stp/>
        <stp>P</stp>
        <stp>0</stp>
        <stp>BND</stp>
        <stp>KR60649814C1</stp>
        <stp>만기일</stp>
        <stp>46198</stp>
        <stp/>
        <tr r="EA78" s="1"/>
      </tp>
      <tp>
        <v>20400610</v>
        <stp/>
        <stp>P</stp>
        <stp>0</stp>
        <stp>BND</stp>
        <stp>KRC0350C4062</stp>
        <stp>만기일</stp>
        <stp>46198</stp>
        <stp/>
        <tr r="DC309" s="1"/>
      </tp>
      <tp>
        <v>20280227</v>
        <stp/>
        <stp>P</stp>
        <stp>0</stp>
        <stp>BND</stp>
        <stp>KR3507037322</stp>
        <stp>만기일</stp>
        <stp>46198</stp>
        <stp/>
        <tr r="K127" s="1"/>
      </tp>
      <tp>
        <v>20260911</v>
        <stp/>
        <stp>P</stp>
        <stp>0</stp>
        <stp>BND</stp>
        <stp>KR6079311FC2</stp>
        <stp>만기일</stp>
        <stp>46198</stp>
        <stp/>
        <tr r="CE68" s="1"/>
      </tp>
      <tp>
        <v>20300308</v>
        <stp/>
        <stp>P</stp>
        <stp>0</stp>
        <stp>BND</stp>
        <stp>KR6029784F90</stp>
        <stp>만기일</stp>
        <stp>46198</stp>
        <stp/>
        <tr r="EA62" s="1"/>
      </tp>
      <tp>
        <v>20271224</v>
        <stp/>
        <stp>P</stp>
        <stp>0</stp>
        <stp>BND</stp>
        <stp>KR6019807F60</stp>
        <stp>만기일</stp>
        <stp>46198</stp>
        <stp/>
        <tr r="DC212" s="1"/>
      </tp>
      <tp>
        <v>20281201</v>
        <stp/>
        <stp>P</stp>
        <stp>0</stp>
        <stp>BND</stp>
        <stp>KR6029884G31</stp>
        <stp>만기일</stp>
        <stp>46198</stp>
        <stp/>
        <tr r="DC117" s="1"/>
      </tp>
      <tp>
        <v>20260828</v>
        <stp/>
        <stp>P</stp>
        <stp>0</stp>
        <stp>BND</stp>
        <stp>KR6049772D86</stp>
        <stp>만기일</stp>
        <stp>46198</stp>
        <stp/>
        <tr r="CE88" s="1"/>
      </tp>
      <tp>
        <v>20271001</v>
        <stp/>
        <stp>P</stp>
        <stp>0</stp>
        <stp>BND</stp>
        <stp>KR6029884EA6</stp>
        <stp>만기일</stp>
        <stp>46198</stp>
        <stp/>
        <tr r="BS227" s="1"/>
      </tp>
      <tp>
        <v>20261216</v>
        <stp/>
        <stp>P</stp>
        <stp>0</stp>
        <stp>BND</stp>
        <stp>KR6019807EC5</stp>
        <stp>만기일</stp>
        <stp>46198</stp>
        <stp/>
        <tr r="K119" s="1"/>
      </tp>
      <tp>
        <v>20260813</v>
        <stp/>
        <stp>P</stp>
        <stp>0</stp>
        <stp>BND</stp>
        <stp>KR6019807E87</stp>
        <stp>만기일</stp>
        <stp>46198</stp>
        <stp/>
        <tr r="CE57" s="1"/>
      </tp>
      <tp>
        <v>20271119</v>
        <stp/>
        <stp>P</stp>
        <stp>0</stp>
        <stp>BND</stp>
        <stp>KR6176941EB3</stp>
        <stp>만기일</stp>
        <stp>46198</stp>
        <stp/>
        <tr r="EA30" s="1"/>
      </tp>
      <tp>
        <v>20280226</v>
        <stp/>
        <stp>P</stp>
        <stp>0</stp>
        <stp>BND</stp>
        <stp>KR6055553F29</stp>
        <stp>만기일</stp>
        <stp>46198</stp>
        <stp/>
        <tr r="K169" s="1"/>
      </tp>
      <tp>
        <v>20300304</v>
        <stp/>
        <stp>P</stp>
        <stp>0</stp>
        <stp>BND</stp>
        <stp>KR6145992F35</stp>
        <stp>만기일</stp>
        <stp>46198</stp>
        <stp/>
        <tr r="K220" s="1"/>
      </tp>
      <tp>
        <v>20270910</v>
        <stp/>
        <stp>P</stp>
        <stp>0</stp>
        <stp>BND</stp>
        <stp>KR6047052E98</stp>
        <stp>만기일</stp>
        <stp>46198</stp>
        <stp/>
        <tr r="BS57" s="1"/>
      </tp>
      <tp>
        <v>20280807</v>
        <stp/>
        <stp>P</stp>
        <stp>0</stp>
        <stp>BND</stp>
        <stp>KR6174141F84</stp>
        <stp>만기일</stp>
        <stp>46198</stp>
        <stp/>
        <tr r="K193" s="1"/>
      </tp>
      <tp>
        <v>20280313</v>
        <stp/>
        <stp>P</stp>
        <stp>0</stp>
        <stp>BND</stp>
        <stp>KR6144802F38</stp>
        <stp>만기일</stp>
        <stp>46198</stp>
        <stp/>
        <tr r="CQ39" s="1"/>
      </tp>
      <tp>
        <v>20290920</v>
        <stp/>
        <stp>P</stp>
        <stp>0</stp>
        <stp>BND</stp>
        <stp>KR6004946E99</stp>
        <stp>만기일</stp>
        <stp>46198</stp>
        <stp/>
        <tr r="K196" s="1"/>
      </tp>
      <tp>
        <v>20300124</v>
        <stp/>
        <stp>P</stp>
        <stp>0</stp>
        <stp>BND</stp>
        <stp>KR6047812F15</stp>
        <stp>만기일</stp>
        <stp>46198</stp>
        <stp/>
        <tr r="BS218" s="1"/>
        <tr r="EA53" s="1"/>
      </tp>
      <tp>
        <v>20280713</v>
        <stp/>
        <stp>P</stp>
        <stp>0</stp>
        <stp>BND</stp>
        <stp>KR6176941G56</stp>
        <stp>만기일</stp>
        <stp>46198</stp>
        <stp/>
        <tr r="K133" s="1"/>
      </tp>
      <tp>
        <v>20280229</v>
        <stp/>
        <stp>P</stp>
        <stp>0</stp>
        <stp>BND</stp>
        <stp>KR2044022D22</stp>
        <stp>만기일</stp>
        <stp>46198</stp>
        <stp/>
        <tr r="K74" s="1"/>
      </tp>
      <tp>
        <v>20280331</v>
        <stp/>
        <stp>P</stp>
        <stp>0</stp>
        <stp>BND</stp>
        <stp>KR2044022D30</stp>
        <stp>만기일</stp>
        <stp>46198</stp>
        <stp/>
        <tr r="K344" s="1"/>
      </tp>
      <tp>
        <v>20290926</v>
        <stp/>
        <stp>P</stp>
        <stp>0</stp>
        <stp>BND</stp>
        <stp>KR6055553E95</stp>
        <stp>만기일</stp>
        <stp>46198</stp>
        <stp/>
        <tr r="K254" s="1"/>
      </tp>
      <tp>
        <v>20261006</v>
        <stp/>
        <stp>P</stp>
        <stp>0</stp>
        <stp>BND</stp>
        <stp>KR6033665DA5</stp>
        <stp>만기일</stp>
        <stp>46198</stp>
        <stp/>
        <tr r="CE19" s="1"/>
      </tp>
      <tp>
        <v>20271231</v>
        <stp/>
        <stp>P</stp>
        <stp>0</stp>
        <stp>BND</stp>
        <stp>KR2044022CC3</stp>
        <stp>만기일</stp>
        <stp>46198</stp>
        <stp/>
        <tr r="BS214" s="1"/>
      </tp>
      <tp>
        <v>20270308</v>
        <stp/>
        <stp>P</stp>
        <stp>0</stp>
        <stp>BND</stp>
        <stp>KR6042672E32</stp>
        <stp>만기일</stp>
        <stp>46198</stp>
        <stp/>
        <tr r="CQ59" s="1"/>
      </tp>
      <tp>
        <v>20280509</v>
        <stp/>
        <stp>P</stp>
        <stp>0</stp>
        <stp>BND</stp>
        <stp>KR6021964F57</stp>
        <stp>만기일</stp>
        <stp>46198</stp>
        <stp/>
        <tr r="K182" s="1"/>
      </tp>
      <tp>
        <v>20280928</v>
        <stp/>
        <stp>P</stp>
        <stp>0</stp>
        <stp>BND</stp>
        <stp>KR6140172FA7</stp>
        <stp>만기일</stp>
        <stp>46198</stp>
        <stp/>
        <tr r="K187" s="1"/>
      </tp>
      <tp>
        <v>20271105</v>
        <stp/>
        <stp>P</stp>
        <stp>0</stp>
        <stp>BND</stp>
        <stp>KR6033665EB1</stp>
        <stp>만기일</stp>
        <stp>46198</stp>
        <stp/>
        <tr r="DC89" s="1"/>
      </tp>
      <tp>
        <v>20261119</v>
        <stp/>
        <stp>P</stp>
        <stp>0</stp>
        <stp>BND</stp>
        <stp>KR6032715DB7</stp>
        <stp>만기일</stp>
        <stp>46198</stp>
        <stp/>
        <tr r="BS211" s="1"/>
      </tp>
      <tp>
        <v>20280824</v>
        <stp/>
        <stp>P</stp>
        <stp>0</stp>
        <stp>BND</stp>
        <stp>KR6140172F87</stp>
        <stp>만기일</stp>
        <stp>46198</stp>
        <stp/>
        <tr r="K198" s="1"/>
      </tp>
      <tp>
        <v>20270924</v>
        <stp/>
        <stp>P</stp>
        <stp>0</stp>
        <stp>BND</stp>
        <stp>KR6023784E94</stp>
        <stp>만기일</stp>
        <stp>46198</stp>
        <stp/>
        <tr r="K332" s="1"/>
      </tp>
      <tp>
        <v>20291023</v>
        <stp/>
        <stp>P</stp>
        <stp>0</stp>
        <stp>BND</stp>
        <stp>KR6000036EA6</stp>
        <stp>만기일</stp>
        <stp>46198</stp>
        <stp/>
        <tr r="K30" s="1"/>
      </tp>
      <tp>
        <v>20281205</v>
        <stp/>
        <stp>P</stp>
        <stp>0</stp>
        <stp>BND</stp>
        <stp>KR6033665FC6</stp>
        <stp>만기일</stp>
        <stp>46198</stp>
        <stp/>
        <tr r="DC157" s="1"/>
      </tp>
      <tp>
        <v>20270214</v>
        <stp/>
        <stp>P</stp>
        <stp>0</stp>
        <stp>BND</stp>
        <stp>KR6373221F28</stp>
        <stp>만기일</stp>
        <stp>46198</stp>
        <stp/>
        <tr r="K15" s="1"/>
      </tp>
      <tp>
        <v>20271029</v>
        <stp/>
        <stp>P</stp>
        <stp>0</stp>
        <stp>BND</stp>
        <stp>KR6272211FA3</stp>
        <stp>만기일</stp>
        <stp>46198</stp>
        <stp/>
        <tr r="BS31" s="1"/>
      </tp>
      <tp>
        <v>20300114</v>
        <stp/>
        <stp>P</stp>
        <stp>0</stp>
        <stp>BND</stp>
        <stp>KR6032715F72</stp>
        <stp>만기일</stp>
        <stp>46198</stp>
        <stp/>
        <tr r="K219" s="1"/>
      </tp>
      <tp>
        <v>20271029</v>
        <stp/>
        <stp>P</stp>
        <stp>0</stp>
        <stp>BND</stp>
        <stp>KR6033665G46</stp>
        <stp>만기일</stp>
        <stp>46198</stp>
        <stp/>
        <tr r="DC29" s="1"/>
      </tp>
      <tp t="s">
        <v/>
        <stp/>
        <stp>P</stp>
        <stp>0</stp>
        <stp>BND</stp>
        <stp>KRZS49662018</stp>
        <stp>만기일</stp>
        <stp>46198</stp>
        <stp/>
        <tr r="CE28" s="1"/>
      </tp>
      <tp t="s">
        <v/>
        <stp/>
        <stp>P</stp>
        <stp>0</stp>
        <stp>BND</stp>
        <stp>KRZF023763G6</stp>
        <stp>만기일</stp>
        <stp>46198</stp>
        <stp/>
        <tr r="CE158" s="1"/>
      </tp>
      <tp t="s">
        <v/>
        <stp/>
        <stp>P</stp>
        <stp>0</stp>
        <stp>BND</stp>
        <stp>KR4A67690003</stp>
        <stp>만기일</stp>
        <stp>46198</stp>
        <stp/>
        <tr r="AI10" s="1"/>
        <tr r="AU12" s="1"/>
        <tr r="BS23" s="1"/>
        <tr r="EA9" s="1"/>
        <tr r="DO18" s="1"/>
      </tp>
      <tp t="s">
        <v/>
        <stp/>
        <stp>P</stp>
        <stp>0</stp>
        <stp>BND</stp>
        <stp>KRZF023765G6</stp>
        <stp>만기일</stp>
        <stp>46198</stp>
        <stp/>
        <tr r="CE107" s="1"/>
      </tp>
      <tp t="s">
        <v/>
        <stp/>
        <stp>P</stp>
        <stp>0</stp>
        <stp>BND</stp>
        <stp>KRZF023764G6</stp>
        <stp>만기일</stp>
        <stp>46198</stp>
        <stp/>
        <tr r="CE106" s="1"/>
      </tp>
      <tp t="s">
        <v/>
        <stp/>
        <stp>P</stp>
        <stp>0</stp>
        <stp>BND</stp>
        <stp>KR4A65690005</stp>
        <stp>만기일</stp>
        <stp>46198</stp>
        <stp/>
        <tr r="BG12" s="1"/>
        <tr r="K18" s="1"/>
        <tr r="BS26" s="1"/>
        <tr r="EA10" s="1"/>
      </tp>
      <tp t="s">
        <v/>
        <stp/>
        <stp>P</stp>
        <stp>0</stp>
        <stp>BND</stp>
        <stp>KRZF023766G6</stp>
        <stp>만기일</stp>
        <stp>46198</stp>
        <stp/>
        <tr r="CE105" s="1"/>
      </tp>
      <tp t="s">
        <v/>
        <stp/>
        <stp>P</stp>
        <stp>0</stp>
        <stp>BND</stp>
        <stp>KRZF00345ZFM</stp>
        <stp>만기일</stp>
        <stp>46198</stp>
        <stp/>
        <tr r="BS262" s="1"/>
      </tp>
      <tp t="s">
        <v/>
        <stp/>
        <stp>P</stp>
        <stp>0</stp>
        <stp>BND</stp>
        <stp>KRZF10334ZFB</stp>
        <stp>만기일</stp>
        <stp>46198</stp>
        <stp/>
        <tr r="EA87" s="1"/>
      </tp>
      <tp t="s">
        <v/>
        <stp/>
        <stp>P</stp>
        <stp>0</stp>
        <stp>BND</stp>
        <stp>KRZF10334XFB</stp>
        <stp>만기일</stp>
        <stp>46198</stp>
        <stp/>
        <tr r="EA88" s="1"/>
      </tp>
      <tp t="s">
        <v/>
        <stp/>
        <stp>P</stp>
        <stp>0</stp>
        <stp>BND</stp>
        <stp>KRZF10334SG4</stp>
        <stp>만기일</stp>
        <stp>46198</stp>
        <stp/>
        <tr r="CE110" s="1"/>
      </tp>
      <tp t="s">
        <v/>
        <stp/>
        <stp>P</stp>
        <stp>0</stp>
        <stp>BND</stp>
        <stp>KRZF07105TG4</stp>
        <stp>만기일</stp>
        <stp>46198</stp>
        <stp/>
        <tr r="DC227" s="1"/>
      </tp>
      <tp t="s">
        <v/>
        <stp/>
        <stp>P</stp>
        <stp>0</stp>
        <stp>BND</stp>
        <stp>KRZF10334RG4</stp>
        <stp>만기일</stp>
        <stp>46198</stp>
        <stp/>
        <tr r="CE111" s="1"/>
      </tp>
      <tp t="s">
        <v/>
        <stp/>
        <stp>P</stp>
        <stp>0</stp>
        <stp>BND</stp>
        <stp>KRZF10334QG4</stp>
        <stp>만기일</stp>
        <stp>46198</stp>
        <stp/>
        <tr r="CE113" s="1"/>
      </tp>
      <tp t="s">
        <v/>
        <stp/>
        <stp>P</stp>
        <stp>0</stp>
        <stp>BND</stp>
        <stp>KRZF07105VG4</stp>
        <stp>만기일</stp>
        <stp>46198</stp>
        <stp/>
        <tr r="DC225" s="1"/>
      </tp>
      <tp t="s">
        <v/>
        <stp/>
        <stp>P</stp>
        <stp>0</stp>
        <stp>BND</stp>
        <stp>KRZF10334WG4</stp>
        <stp>만기일</stp>
        <stp>46198</stp>
        <stp/>
        <tr r="CE160" s="1"/>
      </tp>
      <tp t="s">
        <v/>
        <stp/>
        <stp>P</stp>
        <stp>0</stp>
        <stp>BND</stp>
        <stp>KRZF10334VG4</stp>
        <stp>만기일</stp>
        <stp>46198</stp>
        <stp/>
        <tr r="CE114" s="1"/>
      </tp>
      <tp t="s">
        <v/>
        <stp/>
        <stp>P</stp>
        <stp>0</stp>
        <stp>BND</stp>
        <stp>KRZF07105RG4</stp>
        <stp>만기일</stp>
        <stp>46198</stp>
        <stp/>
        <tr r="DC226" s="1"/>
      </tp>
      <tp t="s">
        <v/>
        <stp/>
        <stp>P</stp>
        <stp>0</stp>
        <stp>BND</stp>
        <stp>KRZF10334TG4</stp>
        <stp>만기일</stp>
        <stp>46198</stp>
        <stp/>
        <tr r="CE112" s="1"/>
      </tp>
      <tp t="s">
        <v/>
        <stp/>
        <stp>P</stp>
        <stp>0</stp>
        <stp>BND</stp>
        <stp>KRZF07105SG4</stp>
        <stp>만기일</stp>
        <stp>46198</stp>
        <stp/>
        <tr r="DC228" s="1"/>
      </tp>
      <tp>
        <v>20280727</v>
        <stp/>
        <stp>P</stp>
        <stp>0</stp>
        <stp>BND</stp>
        <stp>KR6029787B59</stp>
        <stp>만기일</stp>
        <stp>46198</stp>
        <stp/>
        <tr r="BS272" s="1"/>
        <tr r="K385" s="1"/>
        <tr r="DC312" s="1"/>
      </tp>
      <tp>
        <v>20280811</v>
        <stp/>
        <stp>P</stp>
        <stp>0</stp>
        <stp>BND</stp>
        <stp>KR6079312F88</stp>
        <stp>만기일</stp>
        <stp>46198</stp>
        <stp/>
        <tr r="CQ36" s="1"/>
      </tp>
      <tp>
        <v>20271126</v>
        <stp/>
        <stp>P</stp>
        <stp>0</stp>
        <stp>BND</stp>
        <stp>KR6008565EB4</stp>
        <stp>만기일</stp>
        <stp>46198</stp>
        <stp/>
        <tr r="BS56" s="1"/>
      </tp>
      <tp>
        <v>20261005</v>
        <stp/>
        <stp>P</stp>
        <stp>0</stp>
        <stp>BND</stp>
        <stp>KR6029697E48</stp>
        <stp>만기일</stp>
        <stp>46198</stp>
        <stp/>
        <tr r="EA17" s="1"/>
        <tr r="CE32" s="1"/>
      </tp>
      <tp>
        <v>20260902</v>
        <stp/>
        <stp>P</stp>
        <stp>0</stp>
        <stp>BND</stp>
        <stp>KR6019804E23</stp>
        <stp>만기일</stp>
        <stp>46198</stp>
        <stp/>
        <tr r="CE46" s="1"/>
      </tp>
      <tp>
        <v>20271027</v>
        <stp/>
        <stp>P</stp>
        <stp>0</stp>
        <stp>BND</stp>
        <stp>KR6175332FA5</stp>
        <stp>만기일</stp>
        <stp>46198</stp>
        <stp/>
        <tr r="BS232" s="1"/>
      </tp>
      <tp>
        <v>20281023</v>
        <stp/>
        <stp>P</stp>
        <stp>0</stp>
        <stp>BND</stp>
        <stp>KR6205495FA4</stp>
        <stp>만기일</stp>
        <stp>46198</stp>
        <stp/>
        <tr r="DC158" s="1"/>
      </tp>
      <tp>
        <v>20270510</v>
        <stp/>
        <stp>P</stp>
        <stp>0</stp>
        <stp>BND</stp>
        <stp>KR6145761F59</stp>
        <stp>만기일</stp>
        <stp>46198</stp>
        <stp/>
        <tr r="EA32" s="1"/>
      </tp>
      <tp>
        <v>20280512</v>
        <stp/>
        <stp>P</stp>
        <stp>0</stp>
        <stp>BND</stp>
        <stp>KR6174142G58</stp>
        <stp>만기일</stp>
        <stp>46198</stp>
        <stp/>
        <tr r="K125" s="1"/>
      </tp>
      <tp>
        <v>20270917</v>
        <stp/>
        <stp>P</stp>
        <stp>0</stp>
        <stp>BND</stp>
        <stp>KR6174142FC5</stp>
        <stp>만기일</stp>
        <stp>46198</stp>
        <stp/>
        <tr r="DC108" s="1"/>
      </tp>
      <tp>
        <v>20280420</v>
        <stp/>
        <stp>P</stp>
        <stp>0</stp>
        <stp>BND</stp>
        <stp>KR6205495G46</stp>
        <stp>만기일</stp>
        <stp>46198</stp>
        <stp/>
        <tr r="K121" s="1"/>
      </tp>
      <tp>
        <v>20270923</v>
        <stp/>
        <stp>P</stp>
        <stp>0</stp>
        <stp>BND</stp>
        <stp>KR6175332G30</stp>
        <stp>만기일</stp>
        <stp>46198</stp>
        <stp/>
        <tr r="DC15" s="1"/>
      </tp>
      <tp>
        <v>20280627</v>
        <stp/>
        <stp>P</stp>
        <stp>0</stp>
        <stp>BND</stp>
        <stp>KR6166263D68</stp>
        <stp>만기일</stp>
        <stp>46198</stp>
        <stp/>
        <tr r="K284" s="1"/>
      </tp>
      <tp>
        <v>20261124</v>
        <stp/>
        <stp>P</stp>
        <stp>0</stp>
        <stp>BND</stp>
        <stp>KR6214344F67</stp>
        <stp>만기일</stp>
        <stp>46198</stp>
        <stp/>
        <tr r="CQ16" s="1"/>
      </tp>
      <tp>
        <v>20280704</v>
        <stp/>
        <stp>P</stp>
        <stp>0</stp>
        <stp>BND</stp>
        <stp>KR6174142F75</stp>
        <stp>만기일</stp>
        <stp>46198</stp>
        <stp/>
        <tr r="K178" s="1"/>
      </tp>
      <tp>
        <v>20300124</v>
        <stp/>
        <stp>P</stp>
        <stp>0</stp>
        <stp>BND</stp>
        <stp>KR6064983F13</stp>
        <stp>만기일</stp>
        <stp>46198</stp>
        <stp/>
        <tr r="EA55" s="1"/>
      </tp>
      <tp>
        <v>20260911</v>
        <stp/>
        <stp>P</stp>
        <stp>0</stp>
        <stp>BND</stp>
        <stp>KR6047051E99</stp>
        <stp>만기일</stp>
        <stp>46198</stp>
        <stp/>
        <tr r="BS182" s="1"/>
      </tp>
      <tp>
        <v>20290912</v>
        <stp/>
        <stp>P</stp>
        <stp>0</stp>
        <stp>BND</stp>
        <stp>KR6004945E90</stp>
        <stp>만기일</stp>
        <stp>46198</stp>
        <stp/>
        <tr r="DC137" s="1"/>
      </tp>
      <tp>
        <v>20300731</v>
        <stp/>
        <stp>P</stp>
        <stp>0</stp>
        <stp>BND</stp>
        <stp>KR2077012F71</stp>
        <stp>만기일</stp>
        <stp>46198</stp>
        <stp/>
        <tr r="K356" s="1"/>
      </tp>
      <tp>
        <v>20270430</v>
        <stp/>
        <stp>P</stp>
        <stp>0</stp>
        <stp>BND</stp>
        <stp>KR6176942G30</stp>
        <stp>만기일</stp>
        <stp>46198</stp>
        <stp/>
        <tr r="EA21" s="1"/>
      </tp>
      <tp>
        <v>20280704</v>
        <stp/>
        <stp>P</stp>
        <stp>0</stp>
        <stp>BND</stp>
        <stp>KR6047811F73</stp>
        <stp>만기일</stp>
        <stp>46198</stp>
        <stp/>
        <tr r="BS79" s="1"/>
        <tr r="DO16" s="1"/>
      </tp>
      <tp t="s">
        <v/>
        <stp/>
        <stp>P</stp>
        <stp>0</stp>
        <stp>BND</stp>
        <stp>KRZF10334AF7</stp>
        <stp>만기일</stp>
        <stp>46198</stp>
        <stp/>
        <tr r="EA85" s="1"/>
      </tp>
      <tp>
        <v>20270902</v>
        <stp/>
        <stp>P</stp>
        <stp>0</stp>
        <stp>BND</stp>
        <stp>KR6176942FC6</stp>
        <stp>만기일</stp>
        <stp>46198</stp>
        <stp/>
        <tr r="DC96" s="1"/>
      </tp>
      <tp>
        <v>20280504</v>
        <stp/>
        <stp>P</stp>
        <stp>0</stp>
        <stp>BND</stp>
        <stp>KR6176942F98</stp>
        <stp>만기일</stp>
        <stp>46198</stp>
        <stp/>
        <tr r="CQ29" s="1"/>
      </tp>
      <tp>
        <v>20270709</v>
        <stp/>
        <stp>P</stp>
        <stp>0</stp>
        <stp>BND</stp>
        <stp>KR6375502E73</stp>
        <stp>만기일</stp>
        <stp>46198</stp>
        <stp/>
        <tr r="CQ12" s="1"/>
      </tp>
      <tp>
        <v>20271126</v>
        <stp/>
        <stp>P</stp>
        <stp>0</stp>
        <stp>BND</stp>
        <stp>KR6021967F62</stp>
        <stp>만기일</stp>
        <stp>46198</stp>
        <stp/>
        <tr r="K153" s="1"/>
      </tp>
      <tp>
        <v>20270617</v>
        <stp/>
        <stp>P</stp>
        <stp>0</stp>
        <stp>BND</stp>
        <stp>KR6063623E61</stp>
        <stp>만기일</stp>
        <stp>46198</stp>
        <stp/>
        <tr r="DC86" s="1"/>
      </tp>
      <tp>
        <v>20270222</v>
        <stp/>
        <stp>P</stp>
        <stp>0</stp>
        <stp>BND</stp>
        <stp>KR6145991C21</stp>
        <stp>만기일</stp>
        <stp>46198</stp>
        <stp/>
        <tr r="BS184" s="1"/>
      </tp>
      <tp>
        <v>20300508</v>
        <stp/>
        <stp>P</stp>
        <stp>0</stp>
        <stp>BND</stp>
        <stp>KR6023787F58</stp>
        <stp>만기일</stp>
        <stp>46198</stp>
        <stp/>
        <tr r="EA64" s="1"/>
      </tp>
      <tp>
        <v>20280822</v>
        <stp/>
        <stp>P</stp>
        <stp>0</stp>
        <stp>BND</stp>
        <stp>KR6032716F89</stp>
        <stp>만기일</stp>
        <stp>46198</stp>
        <stp/>
        <tr r="K197" s="1"/>
      </tp>
      <tp>
        <v>20270428</v>
        <stp/>
        <stp>P</stp>
        <stp>0</stp>
        <stp>BND</stp>
        <stp>KR6068173741</stp>
        <stp>만기일</stp>
        <stp>46198</stp>
        <stp/>
        <tr r="K145" s="1"/>
      </tp>
      <tp t="s">
        <v/>
        <stp/>
        <stp>P</stp>
        <stp>0</stp>
        <stp>BND</stp>
        <stp>KRZF103343G5</stp>
        <stp>만기일</stp>
        <stp>46198</stp>
        <stp/>
        <tr r="CQ51" s="1"/>
      </tp>
      <tp>
        <v>20320320</v>
        <stp/>
        <stp>P</stp>
        <stp>0</stp>
        <stp>BND</stp>
        <stp>KR6063323234</stp>
        <stp>만기일</stp>
        <stp>46198</stp>
        <stp/>
        <tr r="K112" s="1"/>
      </tp>
      <tp>
        <v>20320525</v>
        <stp/>
        <stp>P</stp>
        <stp>0</stp>
        <stp>BND</stp>
        <stp>KR6066563752</stp>
        <stp>만기일</stp>
        <stp>46198</stp>
        <stp/>
        <tr r="K53" s="1"/>
      </tp>
      <tp>
        <v>20320426</v>
        <stp/>
        <stp>P</stp>
        <stp>0</stp>
        <stp>BND</stp>
        <stp>KR6063323242</stp>
        <stp>만기일</stp>
        <stp>46198</stp>
        <stp/>
        <tr r="K124" s="1"/>
      </tp>
      <tp t="s">
        <v/>
        <stp/>
        <stp>P</stp>
        <stp>0</stp>
        <stp>BND</stp>
        <stp>KRZF071056FQ</stp>
        <stp>만기일</stp>
        <stp>46198</stp>
        <stp/>
        <tr r="DC232" s="1"/>
      </tp>
      <tp t="s">
        <v/>
        <stp/>
        <stp>P</stp>
        <stp>0</stp>
        <stp>BND</stp>
        <stp>KRZS0017506V</stp>
        <stp>만기일</stp>
        <stp>46198</stp>
        <stp/>
        <tr r="CE26" s="1"/>
      </tp>
      <tp t="s">
        <v/>
        <stp/>
        <stp>P</stp>
        <stp>0</stp>
        <stp>BND</stp>
        <stp>KRZF071057FQ</stp>
        <stp>만기일</stp>
        <stp>46198</stp>
        <stp/>
        <tr r="DC231" s="1"/>
      </tp>
      <tp t="s">
        <v/>
        <stp/>
        <stp>P</stp>
        <stp>0</stp>
        <stp>BND</stp>
        <stp>KRZS10334748</stp>
        <stp>만기일</stp>
        <stp>46198</stp>
        <stp/>
        <tr r="CE18" s="1"/>
      </tp>
      <tp>
        <v>20270910</v>
        <stp/>
        <stp>P</stp>
        <stp>0</stp>
        <stp>BND</stp>
        <stp>KR6064313291</stp>
        <stp>만기일</stp>
        <stp>46198</stp>
        <stp/>
        <tr r="K144" s="1"/>
      </tp>
      <tp>
        <v>20310929</v>
        <stp/>
        <stp>P</stp>
        <stp>0</stp>
        <stp>BND</stp>
        <stp>KR3527017197</stp>
        <stp>만기일</stp>
        <stp>46198</stp>
        <stp/>
        <tr r="K78" s="1"/>
      </tp>
      <tp t="s">
        <v/>
        <stp/>
        <stp>P</stp>
        <stp>0</stp>
        <stp>BND</stp>
        <stp>KRZF103346G5</stp>
        <stp>만기일</stp>
        <stp>46198</stp>
        <stp/>
        <tr r="CE120" s="1"/>
      </tp>
      <tp t="s">
        <v/>
        <stp/>
        <stp>P</stp>
        <stp>0</stp>
        <stp>BND</stp>
        <stp>KRZF071051FA</stp>
        <stp>만기일</stp>
        <stp>46198</stp>
        <stp/>
        <tr r="DC180" s="1"/>
      </tp>
      <tp t="s">
        <v/>
        <stp/>
        <stp>P</stp>
        <stp>0</stp>
        <stp>BND</stp>
        <stp>KRZF103345G5</stp>
        <stp>만기일</stp>
        <stp>46198</stp>
        <stp/>
        <tr r="CE119" s="1"/>
      </tp>
      <tp t="s">
        <v/>
        <stp/>
        <stp>P</stp>
        <stp>0</stp>
        <stp>BND</stp>
        <stp>KRZF071052FA</stp>
        <stp>만기일</stp>
        <stp>46198</stp>
        <stp/>
        <tr r="DC181" s="1"/>
      </tp>
      <tp t="s">
        <v/>
        <stp/>
        <stp>P</stp>
        <stp>0</stp>
        <stp>BND</stp>
        <stp>KRZF103344G5</stp>
        <stp>만기일</stp>
        <stp>46198</stp>
        <stp/>
        <tr r="CE162" s="1"/>
      </tp>
      <tp>
        <v>20280310</v>
        <stp/>
        <stp>P</stp>
        <stp>0</stp>
        <stp>BND</stp>
        <stp>KR1035027V32</stp>
        <stp>만기일</stp>
        <stp>46198</stp>
        <stp/>
        <tr r="K75" s="1"/>
        <tr r="BS282" s="1"/>
      </tp>
      <tp>
        <v>20291210</v>
        <stp/>
        <stp>P</stp>
        <stp>0</stp>
        <stp>BND</stp>
        <stp>KR1035027WC3</stp>
        <stp>만기일</stp>
        <stp>46198</stp>
        <stp/>
        <tr r="BS24" s="1"/>
        <tr r="DC49" s="1"/>
      </tp>
      <tp t="s">
        <v/>
        <stp/>
        <stp>P</stp>
        <stp>0</stp>
        <stp>BND</stp>
        <stp>KRZF00354RGJ</stp>
        <stp>만기일</stp>
        <stp>46198</stp>
        <stp/>
        <tr r="DC198" s="1"/>
      </tp>
      <tp>
        <v>20270310</v>
        <stp/>
        <stp>P</stp>
        <stp>0</stp>
        <stp>BND</stp>
        <stp>KR1035037T34</stp>
        <stp>만기일</stp>
        <stp>46198</stp>
        <stp/>
        <tr r="K342" s="1"/>
        <tr r="BS270" s="1"/>
      </tp>
      <tp t="s">
        <v/>
        <stp/>
        <stp>P</stp>
        <stp>0</stp>
        <stp>BND</stp>
        <stp>KRZF00354QGJ</stp>
        <stp>만기일</stp>
        <stp>46198</stp>
        <stp/>
        <tr r="DC199" s="1"/>
      </tp>
      <tp t="s">
        <v/>
        <stp/>
        <stp>P</stp>
        <stp>0</stp>
        <stp>BND</stp>
        <stp>KRZF00354PGJ</stp>
        <stp>만기일</stp>
        <stp>46198</stp>
        <stp/>
        <tr r="DC200" s="1"/>
      </tp>
      <tp t="s">
        <v/>
        <stp/>
        <stp>P</stp>
        <stp>0</stp>
        <stp>BND</stp>
        <stp>KRZF00354KGJ</stp>
        <stp>만기일</stp>
        <stp>46198</stp>
        <stp/>
        <tr r="DC203" s="1"/>
      </tp>
      <tp t="s">
        <v/>
        <stp/>
        <stp>P</stp>
        <stp>0</stp>
        <stp>BND</stp>
        <stp>KRZF00354JGJ</stp>
        <stp>만기일</stp>
        <stp>46198</stp>
        <stp/>
        <tr r="DC201" s="1"/>
      </tp>
      <tp>
        <v>20270205</v>
        <stp/>
        <stp>P</stp>
        <stp>0</stp>
        <stp>BND</stp>
        <stp>KR6169372F19</stp>
        <stp>만기일</stp>
        <stp>46198</stp>
        <stp/>
        <tr r="DC56" s="1"/>
      </tp>
      <tp>
        <v>20270129</v>
        <stp/>
        <stp>P</stp>
        <stp>0</stp>
        <stp>BND</stp>
        <stp>KR6169372F76</stp>
        <stp>만기일</stp>
        <stp>46198</stp>
        <stp/>
        <tr r="DC73" s="1"/>
      </tp>
      <tp>
        <v>20290511</v>
        <stp/>
        <stp>P</stp>
        <stp>0</stp>
        <stp>BND</stp>
        <stp>KR6008274G58</stp>
        <stp>만기일</stp>
        <stp>46198</stp>
        <stp/>
        <tr r="BS43" s="1"/>
      </tp>
      <tp>
        <v>20270111</v>
        <stp/>
        <stp>P</stp>
        <stp>0</stp>
        <stp>BND</stp>
        <stp>KR6169372F43</stp>
        <stp>만기일</stp>
        <stp>46198</stp>
        <stp/>
        <tr r="EA22" s="1"/>
      </tp>
      <tp>
        <v>20270709</v>
        <stp/>
        <stp>P</stp>
        <stp>0</stp>
        <stp>BND</stp>
        <stp>KR6019805F13</stp>
        <stp>만기일</stp>
        <stp>46198</stp>
        <stp/>
        <tr r="BS102" s="1"/>
      </tp>
      <tp>
        <v>20270519</v>
        <stp/>
        <stp>P</stp>
        <stp>0</stp>
        <stp>BND</stp>
        <stp>KR6019455G31</stp>
        <stp>만기일</stp>
        <stp>46198</stp>
        <stp/>
        <tr r="CQ18" s="1"/>
      </tp>
      <tp>
        <v>20271022</v>
        <stp/>
        <stp>P</stp>
        <stp>0</stp>
        <stp>BND</stp>
        <stp>KR6019805G46</stp>
        <stp>만기일</stp>
        <stp>46198</stp>
        <stp/>
        <tr r="DC74" s="1"/>
      </tp>
      <tp t="s">
        <v/>
        <stp/>
        <stp>P</stp>
        <stp>0</stp>
        <stp>BND</stp>
        <stp>KRZF00354NGJ</stp>
        <stp>만기일</stp>
        <stp>46198</stp>
        <stp/>
        <tr r="DC204" s="1"/>
      </tp>
      <tp>
        <v>20271108</v>
        <stp/>
        <stp>P</stp>
        <stp>0</stp>
        <stp>BND</stp>
        <stp>KR6068402EB7</stp>
        <stp>만기일</stp>
        <stp>46198</stp>
        <stp/>
        <tr r="CQ40" s="1"/>
      </tp>
      <tp>
        <v>20261127</v>
        <stp/>
        <stp>P</stp>
        <stp>0</stp>
        <stp>BND</stp>
        <stp>KR6008564EB7</stp>
        <stp>만기일</stp>
        <stp>46198</stp>
        <stp/>
        <tr r="CE58" s="1"/>
      </tp>
      <tp t="s">
        <v/>
        <stp/>
        <stp>P</stp>
        <stp>0</stp>
        <stp>BND</stp>
        <stp>KRZF00354MGJ</stp>
        <stp>만기일</stp>
        <stp>46198</stp>
        <stp/>
        <tr r="DC205" s="1"/>
      </tp>
      <tp>
        <v>20271015</v>
        <stp/>
        <stp>P</stp>
        <stp>0</stp>
        <stp>BND</stp>
        <stp>KR6079313EA5</stp>
        <stp>만기일</stp>
        <stp>46198</stp>
        <stp/>
        <tr r="DC84" s="1"/>
      </tp>
      <tp>
        <v>20271125</v>
        <stp/>
        <stp>P</stp>
        <stp>0</stp>
        <stp>BND</stp>
        <stp>KR6019455EB5</stp>
        <stp>만기일</stp>
        <stp>46198</stp>
        <stp/>
        <tr r="BS230" s="1"/>
      </tp>
      <tp>
        <v>20261002</v>
        <stp/>
        <stp>P</stp>
        <stp>0</stp>
        <stp>BND</stp>
        <stp>KR6029696E49</stp>
        <stp>만기일</stp>
        <stp>46198</stp>
        <stp/>
        <tr r="CE82" s="1"/>
      </tp>
      <tp t="s">
        <v/>
        <stp/>
        <stp>P</stp>
        <stp>0</stp>
        <stp>BND</stp>
        <stp>KRZF00354LGJ</stp>
        <stp>만기일</stp>
        <stp>46198</stp>
        <stp/>
        <tr r="DC202" s="1"/>
      </tp>
      <tp>
        <v>20280609</v>
        <stp/>
        <stp>P</stp>
        <stp>0</stp>
        <stp>BND</stp>
        <stp>KR6205494F63</stp>
        <stp>만기일</stp>
        <stp>46198</stp>
        <stp/>
        <tr r="K192" s="1"/>
      </tp>
      <tp>
        <v>20280630</v>
        <stp/>
        <stp>P</stp>
        <stp>0</stp>
        <stp>BND</stp>
        <stp>KR2001034B61</stp>
        <stp>만기일</stp>
        <stp>46198</stp>
        <stp/>
        <tr r="DC275" s="1"/>
      </tp>
      <tp>
        <v>20290131</v>
        <stp/>
        <stp>P</stp>
        <stp>0</stp>
        <stp>BND</stp>
        <stp>KR2066022E16</stp>
        <stp>만기일</stp>
        <stp>46198</stp>
        <stp/>
        <tr r="K345" s="1"/>
      </tp>
      <tp>
        <v>20280229</v>
        <stp/>
        <stp>P</stp>
        <stp>0</stp>
        <stp>BND</stp>
        <stp>KR2001124B21</stp>
        <stp>만기일</stp>
        <stp>46198</stp>
        <stp/>
        <tr r="K351" s="1"/>
        <tr r="DC272" s="1"/>
      </tp>
      <tp>
        <v>20290119</v>
        <stp/>
        <stp>P</stp>
        <stp>0</stp>
        <stp>BND</stp>
        <stp>KR6064982G13</stp>
        <stp>만기일</stp>
        <stp>46198</stp>
        <stp/>
        <tr r="K163" s="1"/>
      </tp>
      <tp>
        <v>20260710</v>
        <stp/>
        <stp>P</stp>
        <stp>0</stp>
        <stp>BND</stp>
        <stp>KR6176943E15</stp>
        <stp>만기일</stp>
        <stp>46198</stp>
        <stp/>
        <tr r="CE21" s="1"/>
      </tp>
      <tp>
        <v>20270826</v>
        <stp/>
        <stp>P</stp>
        <stp>0</stp>
        <stp>BND</stp>
        <stp>KR6166262E84</stp>
        <stp>만기일</stp>
        <stp>46198</stp>
        <stp/>
        <tr r="K135" s="1"/>
      </tp>
      <tp>
        <v>20290212</v>
        <stp/>
        <stp>P</stp>
        <stp>0</stp>
        <stp>BND</stp>
        <stp>KR6004944G24</stp>
        <stp>만기일</stp>
        <stp>46198</stp>
        <stp/>
        <tr r="DC155" s="1"/>
      </tp>
      <tp>
        <v>20270416</v>
        <stp/>
        <stp>P</stp>
        <stp>0</stp>
        <stp>BND</stp>
        <stp>KR6176943E49</stp>
        <stp>만기일</stp>
        <stp>46198</stp>
        <stp/>
        <tr r="DC52" s="1"/>
      </tp>
      <tp t="s">
        <v/>
        <stp/>
        <stp>P</stp>
        <stp>0</stp>
        <stp>BND</stp>
        <stp>KRZF00594CF8</stp>
        <stp>만기일</stp>
        <stp>46198</stp>
        <stp/>
        <tr r="BS106" s="1"/>
      </tp>
      <tp>
        <v>20281112</v>
        <stp/>
        <stp>P</stp>
        <stp>0</stp>
        <stp>BND</stp>
        <stp>KR6004944FB2</stp>
        <stp>만기일</stp>
        <stp>46198</stp>
        <stp/>
        <tr r="DC129" s="1"/>
      </tp>
      <tp>
        <v>20260811</v>
        <stp/>
        <stp>P</stp>
        <stp>0</stp>
        <stp>BND</stp>
        <stp>KR6176943D81</stp>
        <stp>만기일</stp>
        <stp>46198</stp>
        <stp/>
        <tr r="CE147" s="1"/>
      </tp>
      <tp>
        <v>20290316</v>
        <stp/>
        <stp>P</stp>
        <stp>0</stp>
        <stp>BND</stp>
        <stp>KR6055551G38</stp>
        <stp>만기일</stp>
        <stp>46198</stp>
        <stp/>
        <tr r="K159" s="1"/>
      </tp>
      <tp>
        <v>20280317</v>
        <stp/>
        <stp>P</stp>
        <stp>0</stp>
        <stp>BND</stp>
        <stp>KR6004944F33</stp>
        <stp>만기일</stp>
        <stp>46198</stp>
        <stp/>
        <tr r="K47" s="1"/>
      </tp>
      <tp>
        <v>20280223</v>
        <stp/>
        <stp>P</stp>
        <stp>0</stp>
        <stp>BND</stp>
        <stp>KR6076953D23</stp>
        <stp>만기일</stp>
        <stp>46198</stp>
        <stp/>
        <tr r="K94" s="1"/>
      </tp>
      <tp t="s">
        <v/>
        <stp/>
        <stp>P</stp>
        <stp>0</stp>
        <stp>BND</stp>
        <stp>KRZF00594BF8</stp>
        <stp>만기일</stp>
        <stp>46198</stp>
        <stp/>
        <tr r="BS105" s="1"/>
      </tp>
      <tp>
        <v>20261012</v>
        <stp/>
        <stp>P</stp>
        <stp>0</stp>
        <stp>BND</stp>
        <stp>KR6174143EA0</stp>
        <stp>만기일</stp>
        <stp>46198</stp>
        <stp/>
        <tr r="BS168" s="1"/>
      </tp>
      <tp>
        <v>20280524</v>
        <stp/>
        <stp>P</stp>
        <stp>0</stp>
        <stp>BND</stp>
        <stp>KR6176943G47</stp>
        <stp>만기일</stp>
        <stp>46198</stp>
        <stp/>
        <tr r="K123" s="1"/>
        <tr r="BS45" s="1"/>
        <tr r="DC34" s="1"/>
      </tp>
      <tp t="s">
        <v/>
        <stp/>
        <stp>P</stp>
        <stp>0</stp>
        <stp>BND</stp>
        <stp>KRZF00354AFQ</stp>
        <stp>만기일</stp>
        <stp>46198</stp>
        <stp/>
        <tr r="DC229" s="1"/>
      </tp>
      <tp t="s">
        <v/>
        <stp/>
        <stp>P</stp>
        <stp>0</stp>
        <stp>BND</stp>
        <stp>KRZF00594AFA</stp>
        <stp>만기일</stp>
        <stp>46198</stp>
        <stp/>
        <tr r="BS117" s="1"/>
      </tp>
      <tp>
        <v>20271130</v>
        <stp/>
        <stp>P</stp>
        <stp>0</stp>
        <stp>BND</stp>
        <stp>KR2001284AB6</stp>
        <stp>만기일</stp>
        <stp>46198</stp>
        <stp/>
        <tr r="DC159" s="1"/>
      </tp>
      <tp>
        <v>20271031</v>
        <stp/>
        <stp>P</stp>
        <stp>0</stp>
        <stp>BND</stp>
        <stp>KR2001274AA9</stp>
        <stp>만기일</stp>
        <stp>46198</stp>
        <stp/>
        <tr r="DC239" s="1"/>
      </tp>
      <tp>
        <v>20261023</v>
        <stp/>
        <stp>P</stp>
        <stp>0</stp>
        <stp>BND</stp>
        <stp>KR6205494E49</stp>
        <stp>만기일</stp>
        <stp>46198</stp>
        <stp/>
        <tr r="BS165" s="1"/>
      </tp>
      <tp>
        <v>20270430</v>
        <stp/>
        <stp>P</stp>
        <stp>0</stp>
        <stp>BND</stp>
        <stp>KR2001264A48</stp>
        <stp>만기일</stp>
        <stp>46198</stp>
        <stp/>
        <tr r="K382" s="1"/>
        <tr r="DC290" s="1"/>
      </tp>
      <tp>
        <v>20270722</v>
        <stp/>
        <stp>P</stp>
        <stp>0</stp>
        <stp>BND</stp>
        <stp>KR6055551E71</stp>
        <stp>만기일</stp>
        <stp>46198</stp>
        <stp/>
        <tr r="K113" s="1"/>
      </tp>
      <tp>
        <v>20270331</v>
        <stp/>
        <stp>P</stp>
        <stp>0</stp>
        <stp>BND</stp>
        <stp>KR2001294A34</stp>
        <stp>만기일</stp>
        <stp>46198</stp>
        <stp/>
        <tr r="K374" s="1"/>
      </tp>
      <tp>
        <v>20271004</v>
        <stp/>
        <stp>P</stp>
        <stp>0</stp>
        <stp>BND</stp>
        <stp>KR6152251EA7</stp>
        <stp>만기일</stp>
        <stp>46198</stp>
        <stp/>
        <tr r="BS224" s="1"/>
      </tp>
      <tp>
        <v>20280719</v>
        <stp/>
        <stp>P</stp>
        <stp>0</stp>
        <stp>BND</stp>
        <stp>KR6032717E71</stp>
        <stp>만기일</stp>
        <stp>46198</stp>
        <stp/>
        <tr r="K46" s="1"/>
      </tp>
      <tp>
        <v>20310204</v>
        <stp/>
        <stp>P</stp>
        <stp>0</stp>
        <stp>BND</stp>
        <stp>KR6000124G24</stp>
        <stp>만기일</stp>
        <stp>46198</stp>
        <stp/>
        <tr r="K167" s="1"/>
      </tp>
      <tp>
        <v>20260911</v>
        <stp/>
        <stp>P</stp>
        <stp>0</stp>
        <stp>BND</stp>
        <stp>KR6051501F39</stp>
        <stp>만기일</stp>
        <stp>46198</stp>
        <stp/>
        <tr r="CE67" s="1"/>
        <tr r="CQ60" s="1"/>
      </tp>
      <tp>
        <v>20280124</v>
        <stp/>
        <stp>P</stp>
        <stp>0</stp>
        <stp>BND</stp>
        <stp>KR6051911F17</stp>
        <stp>만기일</stp>
        <stp>46198</stp>
        <stp/>
        <tr r="K288" s="1"/>
      </tp>
      <tp>
        <v>20290216</v>
        <stp/>
        <stp>P</stp>
        <stp>0</stp>
        <stp>BND</stp>
        <stp>KR6373223E27</stp>
        <stp>만기일</stp>
        <stp>46198</stp>
        <stp/>
        <tr r="BS49" s="1"/>
      </tp>
      <tp>
        <v>20280609</v>
        <stp/>
        <stp>P</stp>
        <stp>0</stp>
        <stp>BND</stp>
        <stp>KR6160722F64</stp>
        <stp>만기일</stp>
        <stp>46198</stp>
        <stp/>
        <tr r="CQ31" s="1"/>
      </tp>
      <tp>
        <v>20280328</v>
        <stp/>
        <stp>P</stp>
        <stp>0</stp>
        <stp>BND</stp>
        <stp>KR6032717D31</stp>
        <stp>만기일</stp>
        <stp>46198</stp>
        <stp/>
        <tr r="K253" s="1"/>
      </tp>
      <tp>
        <v>20351031</v>
        <stp/>
        <stp>P</stp>
        <stp>0</stp>
        <stp>BND</stp>
        <stp>KR6063622FA4</stp>
        <stp>만기일</stp>
        <stp>46198</stp>
        <stp/>
        <tr r="EA74" s="1"/>
      </tp>
      <tp>
        <v>20300630</v>
        <stp/>
        <stp>P</stp>
        <stp>0</stp>
        <stp>BND</stp>
        <stp>KR2001024D61</stp>
        <stp>만기일</stp>
        <stp>46198</stp>
        <stp/>
        <tr r="BS96" s="1"/>
      </tp>
      <tp>
        <v>20300731</v>
        <stp/>
        <stp>P</stp>
        <stp>0</stp>
        <stp>BND</stp>
        <stp>KR2001024D79</stp>
        <stp>만기일</stp>
        <stp>46198</stp>
        <stp/>
        <tr r="BS212" s="1"/>
      </tp>
      <tp>
        <v>20280211</v>
        <stp/>
        <stp>P</stp>
        <stp>0</stp>
        <stp>BND</stp>
        <stp>KR6063622F20</stp>
        <stp>만기일</stp>
        <stp>46198</stp>
        <stp/>
        <tr r="K164" s="1"/>
      </tp>
      <tp>
        <v>20350831</v>
        <stp/>
        <stp>P</stp>
        <stp>0</stp>
        <stp>BND</stp>
        <stp>KR6063622F95</stp>
        <stp>만기일</stp>
        <stp>46198</stp>
        <stp/>
        <tr r="K54" s="1"/>
      </tp>
      <tp>
        <v>20270923</v>
        <stp/>
        <stp>P</stp>
        <stp>0</stp>
        <stp>BND</stp>
        <stp>KR6030627E90</stp>
        <stp>만기일</stp>
        <stp>46198</stp>
        <stp/>
        <tr r="BS101" s="1"/>
        <tr r="CQ47" s="1"/>
      </tp>
      <tp t="s">
        <v/>
        <stp/>
        <stp>P</stp>
        <stp>0</stp>
        <stp>BND</stp>
        <stp>KRZF00594EF8</stp>
        <stp>만기일</stp>
        <stp>46198</stp>
        <stp/>
        <tr r="BS107" s="1"/>
      </tp>
      <tp>
        <v>20300514</v>
        <stp/>
        <stp>P</stp>
        <stp>0</stp>
        <stp>BND</stp>
        <stp>KR6032717F54</stp>
        <stp>만기일</stp>
        <stp>46198</stp>
        <stp/>
        <tr r="K226" s="1"/>
      </tp>
      <tp>
        <v>20271130</v>
        <stp/>
        <stp>P</stp>
        <stp>0</stp>
        <stp>BND</stp>
        <stp>KR6033667G44</stp>
        <stp>만기일</stp>
        <stp>46198</stp>
        <stp/>
        <tr r="DC72" s="1"/>
      </tp>
      <tp>
        <v>20360528</v>
        <stp/>
        <stp>P</stp>
        <stp>0</stp>
        <stp>BND</stp>
        <stp>KR6063622G52</stp>
        <stp>만기일</stp>
        <stp>46198</stp>
        <stp/>
        <tr r="DC171" s="1"/>
      </tp>
      <tp>
        <v>20330214</v>
        <stp/>
        <stp>P</stp>
        <stp>0</stp>
        <stp>BND</stp>
        <stp>KR6000664D23</stp>
        <stp>만기일</stp>
        <stp>46198</stp>
        <stp/>
        <tr r="K76" s="1"/>
      </tp>
      <tp t="s">
        <v/>
        <stp/>
        <stp>P</stp>
        <stp>0</stp>
        <stp>BND</stp>
        <stp>KRZF00594DF8</stp>
        <stp>만기일</stp>
        <stp>46198</stp>
        <stp/>
        <tr r="BS104" s="1"/>
      </tp>
      <tp>
        <v>20290509</v>
        <stp/>
        <stp>P</stp>
        <stp>0</stp>
        <stp>BND</stp>
        <stp>KR6000664955</stp>
        <stp>만기일</stp>
        <stp>46198</stp>
        <stp/>
        <tr r="CQ38" s="1"/>
      </tp>
      <tp t="s">
        <v/>
        <stp/>
        <stp>P</stp>
        <stp>0</stp>
        <stp>BND</stp>
        <stp>KRZF003549FQ</stp>
        <stp>만기일</stp>
        <stp>46198</stp>
        <stp/>
        <tr r="DC230" s="1"/>
      </tp>
      <tp t="s">
        <v/>
        <stp/>
        <stp>P</stp>
        <stp>0</stp>
        <stp>BND</stp>
        <stp>KRZF005949FA</stp>
        <stp>만기일</stp>
        <stp>46198</stp>
        <stp/>
        <tr r="BS116" s="1"/>
      </tp>
      <tp>
        <v>20260930</v>
        <stp/>
        <stp>P</stp>
        <stp>0</stp>
        <stp>BND</stp>
        <stp>KR2001024992</stp>
        <stp>만기일</stp>
        <stp>46198</stp>
        <stp/>
        <tr r="K381" s="1"/>
      </tp>
      <tp>
        <v>20380709</v>
        <stp/>
        <stp>P</stp>
        <stp>0</stp>
        <stp>BND</stp>
        <stp>KR6066562879</stp>
        <stp>만기일</stp>
        <stp>46198</stp>
        <stp/>
        <tr r="EA81" s="1"/>
      </tp>
      <tp>
        <v>20330615</v>
        <stp/>
        <stp>P</stp>
        <stp>0</stp>
        <stp>BND</stp>
        <stp>KR6066562861</stp>
        <stp>만기일</stp>
        <stp>46198</stp>
        <stp/>
        <tr r="K242" s="1"/>
      </tp>
      <tp t="s">
        <v/>
        <stp/>
        <stp>P</stp>
        <stp>0</stp>
        <stp>BND</stp>
        <stp>KRZF005943FM</stp>
        <stp>만기일</stp>
        <stp>46198</stp>
        <stp/>
        <tr r="DC176" s="1"/>
      </tp>
      <tp>
        <v>20270524</v>
        <stp/>
        <stp>P</stp>
        <stp>0</stp>
        <stp>BND</stp>
        <stp>KR6105564753</stp>
        <stp>만기일</stp>
        <stp>46198</stp>
        <stp/>
        <tr r="K147" s="1"/>
      </tp>
      <tp>
        <v>20270525</v>
        <stp/>
        <stp>P</stp>
        <stp>0</stp>
        <stp>BND</stp>
        <stp>KR6066562754</stp>
        <stp>만기일</stp>
        <stp>46198</stp>
        <stp/>
        <tr r="DC276" s="1"/>
      </tp>
      <tp>
        <v>20311109</v>
        <stp/>
        <stp>P</stp>
        <stp>0</stp>
        <stp>BND</stp>
        <stp>KR60665626B0</stp>
        <stp>만기일</stp>
        <stp>46198</stp>
        <stp/>
        <tr r="K248" s="1"/>
      </tp>
      <tp t="s">
        <v/>
        <stp/>
        <stp>P</stp>
        <stp>0</stp>
        <stp>BND</stp>
        <stp>KRZS47670013</stp>
        <stp>만기일</stp>
        <stp>46198</stp>
        <stp/>
        <tr r="CE13" s="1"/>
      </tp>
      <tp>
        <v>20421210</v>
        <stp/>
        <stp>P</stp>
        <stp>0</stp>
        <stp>BND</stp>
        <stp>KR10350172C8</stp>
        <stp>만기일</stp>
        <stp>46198</stp>
        <stp/>
        <tr r="K22" s="1"/>
        <tr r="DC42" s="1"/>
      </tp>
      <tp>
        <v>20280722</v>
        <stp/>
        <stp>P</stp>
        <stp>0</stp>
        <stp>BND</stp>
        <stp>KR6250291673</stp>
        <stp>만기일</stp>
        <stp>46198</stp>
        <stp/>
        <tr r="DC244" s="1"/>
      </tp>
      <tp>
        <v>20311210</v>
        <stp/>
        <stp>P</stp>
        <stp>0</stp>
        <stp>BND</stp>
        <stp>KR10350271C8</stp>
        <stp>만기일</stp>
        <stp>46198</stp>
        <stp/>
        <tr r="DC45" s="1"/>
        <tr r="K37" s="1"/>
        <tr r="BS226" s="1"/>
      </tp>
      <tp t="s">
        <v/>
        <stp/>
        <stp>P</stp>
        <stp>0</stp>
        <stp>BND</stp>
        <stp>KRZF07893PG4</stp>
        <stp>만기일</stp>
        <stp>46198</stp>
        <stp/>
        <tr r="CE129" s="1"/>
      </tp>
      <tp t="s">
        <v/>
        <stp/>
        <stp>P</stp>
        <stp>0</stp>
        <stp>BND</stp>
        <stp>KRZF11752VF9</stp>
        <stp>만기일</stp>
        <stp>46198</stp>
        <stp/>
        <tr r="CQ53" s="1"/>
      </tp>
      <tp t="s">
        <v/>
        <stp/>
        <stp>P</stp>
        <stp>0</stp>
        <stp>BND</stp>
        <stp>KRZF07893QG4</stp>
        <stp>만기일</stp>
        <stp>46198</stp>
        <stp/>
        <tr r="CE133" s="1"/>
      </tp>
      <tp t="s">
        <v/>
        <stp/>
        <stp>P</stp>
        <stp>0</stp>
        <stp>BND</stp>
        <stp>KRZF31010WG4</stp>
        <stp>만기일</stp>
        <stp>46198</stp>
        <stp/>
        <tr r="CE76" s="1"/>
      </tp>
      <tp t="s">
        <v/>
        <stp/>
        <stp>P</stp>
        <stp>0</stp>
        <stp>BND</stp>
        <stp>KRZF11752TF9</stp>
        <stp>만기일</stp>
        <stp>46198</stp>
        <stp/>
        <tr r="CQ52" s="1"/>
      </tp>
      <tp t="s">
        <v/>
        <stp/>
        <stp>P</stp>
        <stp>0</stp>
        <stp>BND</stp>
        <stp>KRZF07893LG4</stp>
        <stp>만기일</stp>
        <stp>46198</stp>
        <stp/>
        <tr r="CE130" s="1"/>
      </tp>
      <tp t="s">
        <v/>
        <stp/>
        <stp>P</stp>
        <stp>0</stp>
        <stp>BND</stp>
        <stp>KRZF07893MG4</stp>
        <stp>만기일</stp>
        <stp>46198</stp>
        <stp/>
        <tr r="CE135" s="1"/>
      </tp>
      <tp t="s">
        <v/>
        <stp/>
        <stp>P</stp>
        <stp>0</stp>
        <stp>BND</stp>
        <stp>KRZF07893NG4</stp>
        <stp>만기일</stp>
        <stp>46198</stp>
        <stp/>
        <tr r="CE131" s="1"/>
      </tp>
      <tp>
        <v>20270910</v>
        <stp/>
        <stp>P</stp>
        <stp>0</stp>
        <stp>BND</stp>
        <stp>KR6019452FC7</stp>
        <stp>만기일</stp>
        <stp>46198</stp>
        <stp/>
        <tr r="DC102" s="1"/>
      </tp>
      <tp>
        <v>20271006</v>
        <stp/>
        <stp>P</stp>
        <stp>0</stp>
        <stp>BND</stp>
        <stp>KR6079314F37</stp>
        <stp>만기일</stp>
        <stp>46198</stp>
        <stp/>
        <tr r="DC118" s="1"/>
      </tp>
      <tp>
        <v>20270810</v>
        <stp/>
        <stp>P</stp>
        <stp>0</stp>
        <stp>BND</stp>
        <stp>KR6169375F24</stp>
        <stp>만기일</stp>
        <stp>46198</stp>
        <stp/>
        <tr r="EA26" s="1"/>
      </tp>
      <tp>
        <v>20270709</v>
        <stp/>
        <stp>P</stp>
        <stp>0</stp>
        <stp>BND</stp>
        <stp>KR6079314F11</stp>
        <stp>만기일</stp>
        <stp>46198</stp>
        <stp/>
        <tr r="DC81" s="1"/>
      </tp>
      <tp>
        <v>20280619</v>
        <stp/>
        <stp>P</stp>
        <stp>0</stp>
        <stp>BND</stp>
        <stp>KR6079314F60</stp>
        <stp>만기일</stp>
        <stp>46198</stp>
        <stp/>
        <tr r="CQ34" s="1"/>
      </tp>
      <tp>
        <v>20271210</v>
        <stp/>
        <stp>P</stp>
        <stp>0</stp>
        <stp>BND</stp>
        <stp>KR6019802F65</stp>
        <stp>만기일</stp>
        <stp>46198</stp>
        <stp/>
        <tr r="BS244" s="1"/>
      </tp>
      <tp>
        <v>20270701</v>
        <stp/>
        <stp>P</stp>
        <stp>0</stp>
        <stp>BND</stp>
        <stp>KR6029881F76</stp>
        <stp>만기일</stp>
        <stp>46198</stp>
        <stp/>
        <tr r="DC95" s="1"/>
      </tp>
      <tp t="s">
        <v/>
        <stp/>
        <stp>P</stp>
        <stp>0</stp>
        <stp>BND</stp>
        <stp>KRZF07893HG4</stp>
        <stp>만기일</stp>
        <stp>46198</stp>
        <stp/>
        <tr r="CE136" s="1"/>
      </tp>
      <tp>
        <v>20280225</v>
        <stp/>
        <stp>P</stp>
        <stp>0</stp>
        <stp>BND</stp>
        <stp>KR6018602F28</stp>
        <stp>만기일</stp>
        <stp>46198</stp>
        <stp/>
        <tr r="CQ55" s="1"/>
      </tp>
      <tp>
        <v>20300123</v>
        <stp/>
        <stp>P</stp>
        <stp>0</stp>
        <stp>BND</stp>
        <stp>KR6018672F15</stp>
        <stp>만기일</stp>
        <stp>46198</stp>
        <stp/>
        <tr r="K66" s="1"/>
      </tp>
      <tp>
        <v>20261030</v>
        <stp/>
        <stp>P</stp>
        <stp>0</stp>
        <stp>BND</stp>
        <stp>KR6028671EA8</stp>
        <stp>만기일</stp>
        <stp>46198</stp>
        <stp/>
        <tr r="CQ10" s="1"/>
      </tp>
      <tp>
        <v>20270205</v>
        <stp/>
        <stp>P</stp>
        <stp>0</stp>
        <stp>BND</stp>
        <stp>KR6018882E20</stp>
        <stp>만기일</stp>
        <stp>46198</stp>
        <stp/>
        <tr r="EA18" s="1"/>
      </tp>
      <tp t="s">
        <v/>
        <stp/>
        <stp>P</stp>
        <stp>0</stp>
        <stp>BND</stp>
        <stp>KRZF07893JG4</stp>
        <stp>만기일</stp>
        <stp>46198</stp>
        <stp/>
        <tr r="CE127" s="1"/>
      </tp>
      <tp>
        <v>20261023</v>
        <stp/>
        <stp>P</stp>
        <stp>0</stp>
        <stp>BND</stp>
        <stp>KR6029271EA6</stp>
        <stp>만기일</stp>
        <stp>46198</stp>
        <stp/>
        <tr r="CE49" s="1"/>
      </tp>
      <tp>
        <v>20261123</v>
        <stp/>
        <stp>P</stp>
        <stp>0</stp>
        <stp>BND</stp>
        <stp>KR6008563DB1</stp>
        <stp>만기일</stp>
        <stp>46198</stp>
        <stp/>
        <tr r="DC25" s="1"/>
      </tp>
      <tp>
        <v>20260702</v>
        <stp/>
        <stp>P</stp>
        <stp>0</stp>
        <stp>BND</stp>
        <stp>KR6019802E25</stp>
        <stp>만기일</stp>
        <stp>46198</stp>
        <stp/>
        <tr r="CE48" s="1"/>
      </tp>
      <tp t="s">
        <v/>
        <stp/>
        <stp>P</stp>
        <stp>0</stp>
        <stp>BND</stp>
        <stp>KRZF07893KG4</stp>
        <stp>만기일</stp>
        <stp>46198</stp>
        <stp/>
        <tr r="CE128" s="1"/>
      </tp>
      <tp>
        <v>20281020</v>
        <stp/>
        <stp>P</stp>
        <stp>0</stp>
        <stp>BND</stp>
        <stp>KR6065905FA1</stp>
        <stp>만기일</stp>
        <stp>46198</stp>
        <stp/>
        <tr r="K194" s="1"/>
      </tp>
      <tp>
        <v>20280508</v>
        <stp/>
        <stp>P</stp>
        <stp>0</stp>
        <stp>BND</stp>
        <stp>KR6205493F56</stp>
        <stp>만기일</stp>
        <stp>46198</stp>
        <stp/>
        <tr r="K184" s="1"/>
      </tp>
      <tp>
        <v>20310121</v>
        <stp/>
        <stp>P</stp>
        <stp>0</stp>
        <stp>BND</stp>
        <stp>KR6004023G10</stp>
        <stp>만기일</stp>
        <stp>46198</stp>
        <stp/>
        <tr r="K49" s="1"/>
      </tp>
      <tp>
        <v>20260911</v>
        <stp/>
        <stp>P</stp>
        <stp>0</stp>
        <stp>BND</stp>
        <stp>KR6025081F31</stp>
        <stp>만기일</stp>
        <stp>46198</stp>
        <stp/>
        <tr r="CE89" s="1"/>
      </tp>
      <tp>
        <v>20300314</v>
        <stp/>
        <stp>P</stp>
        <stp>0</stp>
        <stp>BND</stp>
        <stp>KR6215592F30</stp>
        <stp>만기일</stp>
        <stp>46198</stp>
        <stp/>
        <tr r="EA58" s="1"/>
      </tp>
      <tp>
        <v>20270511</v>
        <stp/>
        <stp>P</stp>
        <stp>0</stp>
        <stp>BND</stp>
        <stp>KR6176944E55</stp>
        <stp>만기일</stp>
        <stp>46198</stp>
        <stp/>
        <tr r="EA84" s="1"/>
      </tp>
      <tp t="s">
        <v/>
        <stp/>
        <stp>P</stp>
        <stp>0</stp>
        <stp>BND</stp>
        <stp>KRZF02353AG1</stp>
        <stp>만기일</stp>
        <stp>46198</stp>
        <stp/>
        <tr r="CE91" s="1"/>
      </tp>
      <tp t="s">
        <v/>
        <stp/>
        <stp>P</stp>
        <stp>0</stp>
        <stp>BND</stp>
        <stp>KRZF00353CFA</stp>
        <stp>만기일</stp>
        <stp>46198</stp>
        <stp/>
        <tr r="DC186" s="1"/>
      </tp>
      <tp t="s">
        <v/>
        <stp/>
        <stp>P</stp>
        <stp>0</stp>
        <stp>BND</stp>
        <stp>KRZF09523JG2</stp>
        <stp>만기일</stp>
        <stp>46198</stp>
        <stp/>
        <tr r="CE115" s="1"/>
      </tp>
      <tp>
        <v>20281208</v>
        <stp/>
        <stp>P</stp>
        <stp>0</stp>
        <stp>BND</stp>
        <stp>KR6214342FC3</stp>
        <stp>만기일</stp>
        <stp>46198</stp>
        <stp/>
        <tr r="DC133" s="1"/>
      </tp>
      <tp>
        <v>20281020</v>
        <stp/>
        <stp>P</stp>
        <stp>0</stp>
        <stp>BND</stp>
        <stp>KR6214342FA7</stp>
        <stp>만기일</stp>
        <stp>46198</stp>
        <stp/>
        <tr r="EA50" s="1"/>
      </tp>
      <tp>
        <v>20260907</v>
        <stp/>
        <stp>P</stp>
        <stp>0</stp>
        <stp>BND</stp>
        <stp>KR6176944D98</stp>
        <stp>만기일</stp>
        <stp>46198</stp>
        <stp/>
        <tr r="CE145" s="1"/>
      </tp>
      <tp>
        <v>20290510</v>
        <stp/>
        <stp>P</stp>
        <stp>0</stp>
        <stp>BND</stp>
        <stp>KR6205493G55</stp>
        <stp>만기일</stp>
        <stp>46198</stp>
        <stp/>
        <tr r="K129" s="1"/>
      </tp>
      <tp>
        <v>20320122</v>
        <stp/>
        <stp>P</stp>
        <stp>0</stp>
        <stp>BND</stp>
        <stp>KR6004023F11</stp>
        <stp>만기일</stp>
        <stp>46198</stp>
        <stp/>
        <tr r="DC251" s="1"/>
      </tp>
      <tp>
        <v>20270910</v>
        <stp/>
        <stp>P</stp>
        <stp>0</stp>
        <stp>BND</stp>
        <stp>KR6025081G30</stp>
        <stp>만기일</stp>
        <stp>46198</stp>
        <stp/>
        <tr r="DC90" s="1"/>
      </tp>
      <tp>
        <v>20280522</v>
        <stp/>
        <stp>P</stp>
        <stp>0</stp>
        <stp>BND</stp>
        <stp>KR6174144F57</stp>
        <stp>만기일</stp>
        <stp>46198</stp>
        <stp/>
        <tr r="K188" s="1"/>
      </tp>
      <tp>
        <v>20270617</v>
        <stp/>
        <stp>P</stp>
        <stp>0</stp>
        <stp>BND</stp>
        <stp>KR6214342F69</stp>
        <stp>만기일</stp>
        <stp>46198</stp>
        <stp/>
        <tr r="DC97" s="1"/>
      </tp>
      <tp>
        <v>20320910</v>
        <stp/>
        <stp>P</stp>
        <stp>0</stp>
        <stp>BND</stp>
        <stp>KR6004023F94</stp>
        <stp>만기일</stp>
        <stp>46198</stp>
        <stp/>
        <tr r="DC143" s="1"/>
      </tp>
      <tp>
        <v>20310616</v>
        <stp/>
        <stp>P</stp>
        <stp>0</stp>
        <stp>BND</stp>
        <stp>KR6005943G63</stp>
        <stp>만기일</stp>
        <stp>46198</stp>
        <stp/>
        <tr r="DC87" s="1"/>
      </tp>
      <tp t="s">
        <v/>
        <stp/>
        <stp>P</stp>
        <stp>0</stp>
        <stp>BND</stp>
        <stp>KRZF00353BFA</stp>
        <stp>만기일</stp>
        <stp>46198</stp>
        <stp/>
        <tr r="DC185" s="1"/>
      </tp>
      <tp t="s">
        <v/>
        <stp/>
        <stp>P</stp>
        <stp>0</stp>
        <stp>BND</stp>
        <stp>KRZF09523KG2</stp>
        <stp>만기일</stp>
        <stp>46198</stp>
        <stp/>
        <tr r="CE118" s="1"/>
      </tp>
      <tp>
        <v>20290117</v>
        <stp/>
        <stp>P</stp>
        <stp>0</stp>
        <stp>BND</stp>
        <stp>KR6204323E15</stp>
        <stp>만기일</stp>
        <stp>46198</stp>
        <stp/>
        <tr r="K109" s="1"/>
        <tr r="DC274" s="1"/>
      </tp>
      <tp>
        <v>20300319</v>
        <stp/>
        <stp>P</stp>
        <stp>0</stp>
        <stp>BND</stp>
        <stp>KR6060005A36</stp>
        <stp>만기일</stp>
        <stp>46198</stp>
        <stp/>
        <tr r="EA73" s="1"/>
      </tp>
      <tp>
        <v>20300221</v>
        <stp/>
        <stp>P</stp>
        <stp>0</stp>
        <stp>BND</stp>
        <stp>KR6017672F25</stp>
        <stp>만기일</stp>
        <stp>46198</stp>
        <stp/>
        <tr r="K297" s="1"/>
      </tp>
      <tp>
        <v>20300828</v>
        <stp/>
        <stp>P</stp>
        <stp>0</stp>
        <stp>BND</stp>
        <stp>KR6060005A85</stp>
        <stp>만기일</stp>
        <stp>46198</stp>
        <stp/>
        <tr r="EA77" s="1"/>
      </tp>
      <tp>
        <v>20260807</v>
        <stp/>
        <stp>P</stp>
        <stp>0</stp>
        <stp>BND</stp>
        <stp>KR6214342E86</stp>
        <stp>만기일</stp>
        <stp>46198</stp>
        <stp/>
        <tr r="CE83" s="1"/>
      </tp>
      <tp t="s">
        <v/>
        <stp/>
        <stp>P</stp>
        <stp>0</stp>
        <stp>BND</stp>
        <stp>KRZF07893FG4</stp>
        <stp>만기일</stp>
        <stp>46198</stp>
        <stp/>
        <tr r="CE132" s="1"/>
      </tp>
      <tp t="s">
        <v/>
        <stp/>
        <stp>P</stp>
        <stp>0</stp>
        <stp>BND</stp>
        <stp>KRZF02353CG1</stp>
        <stp>만기일</stp>
        <stp>46198</stp>
        <stp/>
        <tr r="CE90" s="1"/>
      </tp>
      <tp t="s">
        <v/>
        <stp/>
        <stp>P</stp>
        <stp>0</stp>
        <stp>BND</stp>
        <stp>KRZF09523HG2</stp>
        <stp>만기일</stp>
        <stp>46198</stp>
        <stp/>
        <tr r="CE117" s="1"/>
      </tp>
      <tp>
        <v>20280629</v>
        <stp/>
        <stp>P</stp>
        <stp>0</stp>
        <stp>BND</stp>
        <stp>KR6004173D60</stp>
        <stp>만기일</stp>
        <stp>46198</stp>
        <stp/>
        <tr r="K81" s="1"/>
      </tp>
      <tp>
        <v>20270219</v>
        <stp/>
        <stp>P</stp>
        <stp>0</stp>
        <stp>BND</stp>
        <stp>KR6176944F70</stp>
        <stp>만기일</stp>
        <stp>46198</stp>
        <stp/>
        <tr r="DC31" s="1"/>
      </tp>
      <tp>
        <v>20261126</v>
        <stp/>
        <stp>P</stp>
        <stp>0</stp>
        <stp>BND</stp>
        <stp>KR6176944F62</stp>
        <stp>만기일</stp>
        <stp>46198</stp>
        <stp/>
        <tr r="BS173" s="1"/>
      </tp>
      <tp t="s">
        <v/>
        <stp/>
        <stp>P</stp>
        <stp>0</stp>
        <stp>BND</stp>
        <stp>KRZF07893GG4</stp>
        <stp>만기일</stp>
        <stp>46198</stp>
        <stp/>
        <tr r="CE134" s="1"/>
      </tp>
      <tp t="s">
        <v/>
        <stp/>
        <stp>P</stp>
        <stp>0</stp>
        <stp>BND</stp>
        <stp>KRZF02353BG1</stp>
        <stp>만기일</stp>
        <stp>46198</stp>
        <stp/>
        <tr r="CE92" s="1"/>
      </tp>
      <tp>
        <v>20280123</v>
        <stp/>
        <stp>P</stp>
        <stp>0</stp>
        <stp>BND</stp>
        <stp>KR6021241F11</stp>
        <stp>만기일</stp>
        <stp>46198</stp>
        <stp/>
        <tr r="BS234" s="1"/>
      </tp>
      <tp>
        <v>20300417</v>
        <stp/>
        <stp>P</stp>
        <stp>0</stp>
        <stp>BND</stp>
        <stp>KR6001743F40</stp>
        <stp>만기일</stp>
        <stp>46198</stp>
        <stp/>
        <tr r="K221" s="1"/>
      </tp>
      <tp t="s">
        <v/>
        <stp/>
        <stp>P</stp>
        <stp>0</stp>
        <stp>BND</stp>
        <stp>KRZF11752FFM</stp>
        <stp>만기일</stp>
        <stp>46198</stp>
        <stp/>
        <tr r="CQ48" s="1"/>
      </tp>
      <tp>
        <v>20280209</v>
        <stp/>
        <stp>P</stp>
        <stp>0</stp>
        <stp>BND</stp>
        <stp>KR6140177FC2</stp>
        <stp>만기일</stp>
        <stp>46198</stp>
        <stp/>
        <tr r="BS236" s="1"/>
      </tp>
      <tp>
        <v>20310216</v>
        <stp/>
        <stp>P</stp>
        <stp>0</stp>
        <stp>BND</stp>
        <stp>KR6373224E26</stp>
        <stp>만기일</stp>
        <stp>46198</stp>
        <stp/>
        <tr r="K27" s="1"/>
      </tp>
      <tp>
        <v>20280225</v>
        <stp/>
        <stp>P</stp>
        <stp>0</stp>
        <stp>BND</stp>
        <stp>KR6000723F20</stp>
        <stp>만기일</stp>
        <stp>46198</stp>
        <stp/>
        <tr r="EA40" s="1"/>
      </tp>
      <tp t="s">
        <v/>
        <stp/>
        <stp>P</stp>
        <stp>0</stp>
        <stp>BND</stp>
        <stp>KRZF02353DG1</stp>
        <stp>만기일</stp>
        <stp>46198</stp>
        <stp/>
        <tr r="CE155" s="1"/>
      </tp>
      <tp>
        <v>20270218</v>
        <stp/>
        <stp>P</stp>
        <stp>0</stp>
        <stp>BND</stp>
        <stp>KR6003343F24</stp>
        <stp>만기일</stp>
        <stp>46198</stp>
        <stp/>
        <tr r="CQ42" s="1"/>
      </tp>
      <tp>
        <v>20310408</v>
        <stp/>
        <stp>P</stp>
        <stp>0</stp>
        <stp>BND</stp>
        <stp>KR6000663E49</stp>
        <stp>만기일</stp>
        <stp>46198</stp>
        <stp/>
        <tr r="K155" s="1"/>
      </tp>
      <tp>
        <v>20271008</v>
        <stp/>
        <stp>P</stp>
        <stp>0</stp>
        <stp>BND</stp>
        <stp>KR6023781F47</stp>
        <stp>만기일</stp>
        <stp>46198</stp>
        <stp/>
        <tr r="DC107" s="1"/>
      </tp>
      <tp>
        <v>20280114</v>
        <stp/>
        <stp>P</stp>
        <stp>0</stp>
        <stp>BND</stp>
        <stp>KR6012452G13</stp>
        <stp>만기일</stp>
        <stp>46198</stp>
        <stp/>
        <tr r="CQ22" s="1"/>
      </tp>
      <tp>
        <v>20270917</v>
        <stp/>
        <stp>P</stp>
        <stp>0</stp>
        <stp>BND</stp>
        <stp>KR6023531F99</stp>
        <stp>만기일</stp>
        <stp>46198</stp>
        <stp/>
        <tr r="BS239" s="1"/>
      </tp>
      <tp>
        <v>20320930</v>
        <stp/>
        <stp>P</stp>
        <stp>0</stp>
        <stp>BND</stp>
        <stp>KR6003493F97</stp>
        <stp>만기일</stp>
        <stp>46198</stp>
        <stp/>
        <tr r="EA16" s="1"/>
      </tp>
      <tp t="s">
        <v/>
        <stp/>
        <stp>P</stp>
        <stp>0</stp>
        <stp>BND</stp>
        <stp>KRZF09523LG2</stp>
        <stp>만기일</stp>
        <stp>46198</stp>
        <stp/>
        <tr r="CE116" s="1"/>
      </tp>
      <tp>
        <v>20290207</v>
        <stp/>
        <stp>P</stp>
        <stp>0</stp>
        <stp>BND</stp>
        <stp>KR6011072E25</stp>
        <stp>만기일</stp>
        <stp>46198</stp>
        <stp/>
        <tr r="K132" s="1"/>
      </tp>
      <tp>
        <v>20270409</v>
        <stp/>
        <stp>P</stp>
        <stp>0</stp>
        <stp>BND</stp>
        <stp>KR6023781G46</stp>
        <stp>만기일</stp>
        <stp>46198</stp>
        <stp/>
        <tr r="K39" s="1"/>
      </tp>
      <tp>
        <v>20280609</v>
        <stp/>
        <stp>P</stp>
        <stp>0</stp>
        <stp>BND</stp>
        <stp>KR6023531G64</stp>
        <stp>만기일</stp>
        <stp>46198</stp>
        <stp/>
        <tr r="CQ15" s="1"/>
      </tp>
      <tp>
        <v>20270305</v>
        <stp/>
        <stp>P</stp>
        <stp>0</stp>
        <stp>BND</stp>
        <stp>KR6011762E38</stp>
        <stp>만기일</stp>
        <stp>46198</stp>
        <stp/>
        <tr r="CQ57" s="1"/>
      </tp>
      <tp t="s">
        <v/>
        <stp/>
        <stp>P</stp>
        <stp>0</stp>
        <stp>BND</stp>
        <stp>KRZF11752EFM</stp>
        <stp>만기일</stp>
        <stp>46198</stp>
        <stp/>
        <tr r="CQ49" s="1"/>
      </tp>
      <tp t="s">
        <v/>
        <stp/>
        <stp>P</stp>
        <stp>0</stp>
        <stp>BND</stp>
        <stp>KRZF023539G1</stp>
        <stp>만기일</stp>
        <stp>46198</stp>
        <stp/>
        <tr r="BS97" s="1"/>
      </tp>
      <tp t="s">
        <v/>
        <stp/>
        <stp>P</stp>
        <stp>0</stp>
        <stp>BND</stp>
        <stp>KRZF023538G1</stp>
        <stp>만기일</stp>
        <stp>46198</stp>
        <stp/>
        <tr r="BS100" s="1"/>
      </tp>
      <tp>
        <v>20260921</v>
        <stp/>
        <stp>P</stp>
        <stp>0</stp>
        <stp>BND</stp>
        <stp>KR6079314698</stp>
        <stp>만기일</stp>
        <stp>46198</stp>
        <stp/>
        <tr r="CE72" s="1"/>
      </tp>
      <tp t="s">
        <v/>
        <stp/>
        <stp>P</stp>
        <stp>0</stp>
        <stp>BND</stp>
        <stp>KRZF095236G3</stp>
        <stp>만기일</stp>
        <stp>46198</stp>
        <stp/>
        <tr r="CE122" s="1"/>
      </tp>
      <tp t="s">
        <v/>
        <stp/>
        <stp>P</stp>
        <stp>0</stp>
        <stp>BND</stp>
        <stp>KRZF095236G2</stp>
        <stp>만기일</stp>
        <stp>46198</stp>
        <stp/>
        <tr r="CE109" s="1"/>
      </tp>
      <tp t="s">
        <v/>
        <stp/>
        <stp>P</stp>
        <stp>0</stp>
        <stp>BND</stp>
        <stp>KRZF095237G2</stp>
        <stp>만기일</stp>
        <stp>46198</stp>
        <stp/>
        <tr r="CE161" s="1"/>
      </tp>
      <tp>
        <v>20291014</v>
        <stp/>
        <stp>P</stp>
        <stp>0</stp>
        <stp>BND</stp>
        <stp>KR60040539A3</stp>
        <stp>만기일</stp>
        <stp>46198</stp>
        <stp/>
        <tr r="K233" s="1"/>
      </tp>
      <tp t="s">
        <v/>
        <stp/>
        <stp>P</stp>
        <stp>0</stp>
        <stp>BND</stp>
        <stp>KRZF095235G3</stp>
        <stp>만기일</stp>
        <stp>46198</stp>
        <stp/>
        <tr r="CE121" s="1"/>
      </tp>
      <tp t="s">
        <v/>
        <stp/>
        <stp>P</stp>
        <stp>0</stp>
        <stp>BND</stp>
        <stp>KRZF095235G2</stp>
        <stp>만기일</stp>
        <stp>46198</stp>
        <stp/>
        <tr r="CE108" s="1"/>
      </tp>
      <tp t="s">
        <v/>
        <stp/>
        <stp>P</stp>
        <stp>0</stp>
        <stp>BND</stp>
        <stp>KRZS43647151</stp>
        <stp>만기일</stp>
        <stp>46198</stp>
        <stp/>
        <tr r="CE11" s="1"/>
      </tp>
      <tp t="s">
        <v/>
        <stp/>
        <stp>P</stp>
        <stp>0</stp>
        <stp>BND</stp>
        <stp>KRZF095238G2</stp>
        <stp>만기일</stp>
        <stp>46198</stp>
        <stp/>
        <tr r="CE159" s="1"/>
      </tp>
      <tp t="s">
        <v/>
        <stp/>
        <stp>P</stp>
        <stp>0</stp>
        <stp>BND</stp>
        <stp>KRZF023537G1</stp>
        <stp>만기일</stp>
        <stp>46198</stp>
        <stp/>
        <tr r="BS99" s="1"/>
      </tp>
      <tp>
        <v>20270319</v>
        <stp/>
        <stp>P</stp>
        <stp>0</stp>
        <stp>BND</stp>
        <stp>KR3546017236</stp>
        <stp>만기일</stp>
        <stp>46198</stp>
        <stp/>
        <tr r="K283" s="1"/>
      </tp>
      <tp t="s">
        <v/>
        <stp/>
        <stp>P</stp>
        <stp>0</stp>
        <stp>BND</stp>
        <stp>KRZF023536G1</stp>
        <stp>만기일</stp>
        <stp>46198</stp>
        <stp/>
        <tr r="BS98" s="1"/>
      </tp>
      <tp>
        <v>20260929</v>
        <stp/>
        <stp>P</stp>
        <stp>0</stp>
        <stp>BND</stp>
        <stp>KR6108672B91</stp>
        <stp>만기일</stp>
        <stp>46198</stp>
        <stp/>
        <tr r="CE53" s="1"/>
      </tp>
      <tp>
        <v>20270909</v>
        <stp/>
        <stp>P</stp>
        <stp>0</stp>
        <stp>BND</stp>
        <stp>KR6018883A98</stp>
        <stp>만기일</stp>
        <stp>46198</stp>
        <stp/>
        <tr r="EA43" s="1"/>
      </tp>
      <tp>
        <v>20270310</v>
        <stp/>
        <stp>P</stp>
        <stp>0</stp>
        <stp>BND</stp>
        <stp>KR6169374F25</stp>
        <stp>만기일</stp>
        <stp>46198</stp>
        <stp/>
        <tr r="EA24" s="1"/>
      </tp>
      <tp>
        <v>20270219</v>
        <stp/>
        <stp>P</stp>
        <stp>0</stp>
        <stp>BND</stp>
        <stp>KR6039091F22</stp>
        <stp>만기일</stp>
        <stp>46198</stp>
        <stp/>
        <tr r="BS186" s="1"/>
      </tp>
      <tp>
        <v>20280303</v>
        <stp/>
        <stp>P</stp>
        <stp>0</stp>
        <stp>BND</stp>
        <stp>KR6138101G37</stp>
        <stp>만기일</stp>
        <stp>46198</stp>
        <stp/>
        <tr r="DC91" s="1"/>
      </tp>
      <tp>
        <v>20270226</v>
        <stp/>
        <stp>P</stp>
        <stp>0</stp>
        <stp>BND</stp>
        <stp>KR6139481F28</stp>
        <stp>만기일</stp>
        <stp>46198</stp>
        <stp/>
        <tr r="CQ45" s="1"/>
      </tp>
      <tp>
        <v>20310129</v>
        <stp/>
        <stp>P</stp>
        <stp>0</stp>
        <stp>BND</stp>
        <stp>KR6018673G13</stp>
        <stp>만기일</stp>
        <stp>46198</stp>
        <stp/>
        <tr r="K183" s="1"/>
      </tp>
      <tp>
        <v>20280512</v>
        <stp/>
        <stp>P</stp>
        <stp>0</stp>
        <stp>BND</stp>
        <stp>KR6019803F56</stp>
        <stp>만기일</stp>
        <stp>46198</stp>
        <stp/>
        <tr r="K180" s="1"/>
        <tr r="BS64" s="1"/>
      </tp>
      <tp>
        <v>20260724</v>
        <stp/>
        <stp>P</stp>
        <stp>0</stp>
        <stp>BND</stp>
        <stp>KR6079315G35</stp>
        <stp>만기일</stp>
        <stp>46198</stp>
        <stp/>
        <tr r="CE149" s="1"/>
      </tp>
      <tp>
        <v>20290126</v>
        <stp/>
        <stp>P</stp>
        <stp>0</stp>
        <stp>BND</stp>
        <stp>KR6039491G19</stp>
        <stp>만기일</stp>
        <stp>46198</stp>
        <stp/>
        <tr r="BS61" s="1"/>
      </tp>
      <tp>
        <v>20270428</v>
        <stp/>
        <stp>P</stp>
        <stp>0</stp>
        <stp>BND</stp>
        <stp>KR6068174F47</stp>
        <stp>만기일</stp>
        <stp>46198</stp>
        <stp/>
        <tr r="K140" s="1"/>
      </tp>
      <tp>
        <v>20270426</v>
        <stp/>
        <stp>P</stp>
        <stp>0</stp>
        <stp>BND</stp>
        <stp>KR6019803G30</stp>
        <stp>만기일</stp>
        <stp>46198</stp>
        <stp/>
        <tr r="DC60" s="1"/>
      </tp>
      <tp>
        <v>20280124</v>
        <stp/>
        <stp>P</stp>
        <stp>0</stp>
        <stp>BND</stp>
        <stp>KR6138931F75</stp>
        <stp>만기일</stp>
        <stp>46198</stp>
        <stp/>
        <tr r="K168" s="1"/>
      </tp>
      <tp t="s">
        <v/>
        <stp/>
        <stp>P</stp>
        <stp>0</stp>
        <stp>BND</stp>
        <stp>KRZE08402FAF</stp>
        <stp>만기일</stp>
        <stp>46198</stp>
        <stp/>
        <tr r="BS188" s="1"/>
      </tp>
      <tp>
        <v>20261006</v>
        <stp/>
        <stp>P</stp>
        <stp>0</stp>
        <stp>BND</stp>
        <stp>KR6019453DA4</stp>
        <stp>만기일</stp>
        <stp>46198</stp>
        <stp/>
        <tr r="CE20" s="1"/>
      </tp>
      <tp>
        <v>20270129</v>
        <stp/>
        <stp>P</stp>
        <stp>0</stp>
        <stp>BND</stp>
        <stp>KR6138101E13</stp>
        <stp>만기일</stp>
        <stp>46198</stp>
        <stp/>
        <tr r="K285" s="1"/>
      </tp>
      <tp>
        <v>20261113</v>
        <stp/>
        <stp>P</stp>
        <stp>0</stp>
        <stp>BND</stp>
        <stp>KR6008272E52</stp>
        <stp>만기일</stp>
        <stp>46198</stp>
        <stp/>
        <tr r="BS171" s="1"/>
      </tp>
      <tp>
        <v>20270207</v>
        <stp/>
        <stp>P</stp>
        <stp>0</stp>
        <stp>BND</stp>
        <stp>KR6139481E29</stp>
        <stp>만기일</stp>
        <stp>46198</stp>
        <stp/>
        <tr r="BS34" s="1"/>
      </tp>
      <tp>
        <v>20260912</v>
        <stp/>
        <stp>P</stp>
        <stp>0</stp>
        <stp>BND</stp>
        <stp>KR6039091E98</stp>
        <stp>만기일</stp>
        <stp>46198</stp>
        <stp/>
        <tr r="CE66" s="1"/>
      </tp>
      <tp>
        <v>20270812</v>
        <stp/>
        <stp>P</stp>
        <stp>0</stp>
        <stp>BND</stp>
        <stp>KR6079315E86</stp>
        <stp>만기일</stp>
        <stp>46198</stp>
        <stp/>
        <tr r="EA28" s="1"/>
      </tp>
      <tp>
        <v>20281027</v>
        <stp/>
        <stp>P</stp>
        <stp>0</stp>
        <stp>BND</stp>
        <stp>KR6145766FA1</stp>
        <stp>만기일</stp>
        <stp>46198</stp>
        <stp/>
        <tr r="CQ33" s="1"/>
      </tp>
      <tp>
        <v>20301018</v>
        <stp/>
        <stp>P</stp>
        <stp>0</stp>
        <stp>BND</stp>
        <stp>KR6017673DA9</stp>
        <stp>만기일</stp>
        <stp>46198</stp>
        <stp/>
        <tr r="BS32" s="1"/>
      </tp>
      <tp>
        <v>20280526</v>
        <stp/>
        <stp>P</stp>
        <stp>0</stp>
        <stp>BND</stp>
        <stp>KR6105562F54</stp>
        <stp>만기일</stp>
        <stp>46198</stp>
        <stp/>
        <tr r="K190" s="1"/>
      </tp>
      <tp>
        <v>20290122</v>
        <stp/>
        <stp>P</stp>
        <stp>0</stp>
        <stp>BND</stp>
        <stp>KR6004022G11</stp>
        <stp>만기일</stp>
        <stp>46198</stp>
        <stp/>
        <tr r="K266" s="1"/>
        <tr r="DC119" s="1"/>
      </tp>
      <tp>
        <v>20300412</v>
        <stp/>
        <stp>P</stp>
        <stp>0</stp>
        <stp>BND</stp>
        <stp>KR6017673D42</stp>
        <stp>만기일</stp>
        <stp>46198</stp>
        <stp/>
        <tr r="BS46" s="1"/>
      </tp>
      <tp>
        <v>20280714</v>
        <stp/>
        <stp>P</stp>
        <stp>0</stp>
        <stp>BND</stp>
        <stp>KR6205492F73</stp>
        <stp>만기일</stp>
        <stp>46198</stp>
        <stp/>
        <tr r="K185" s="1"/>
      </tp>
      <tp>
        <v>20290331</v>
        <stp/>
        <stp>P</stp>
        <stp>0</stp>
        <stp>BND</stp>
        <stp>KR6034731G36</stp>
        <stp>만기일</stp>
        <stp>46198</stp>
        <stp/>
        <tr r="DC61" s="1"/>
      </tp>
      <tp>
        <v>20270122</v>
        <stp/>
        <stp>P</stp>
        <stp>0</stp>
        <stp>BND</stp>
        <stp>KR6105562F13</stp>
        <stp>만기일</stp>
        <stp>46198</stp>
        <stp/>
        <tr r="K105" s="1"/>
      </tp>
      <tp>
        <v>20270621</v>
        <stp/>
        <stp>P</stp>
        <stp>0</stp>
        <stp>BND</stp>
        <stp>KR6136301E64</stp>
        <stp>만기일</stp>
        <stp>46198</stp>
        <stp/>
        <tr r="DC150" s="1"/>
      </tp>
      <tp>
        <v>20270427</v>
        <stp/>
        <stp>P</stp>
        <stp>0</stp>
        <stp>BND</stp>
        <stp>KR6000122C46</stp>
        <stp>만기일</stp>
        <stp>46198</stp>
        <stp/>
        <tr r="DC57" s="1"/>
      </tp>
      <tp>
        <v>20270528</v>
        <stp/>
        <stp>P</stp>
        <stp>0</stp>
        <stp>BND</stp>
        <stp>KR6136301E56</stp>
        <stp>만기일</stp>
        <stp>46198</stp>
        <stp/>
        <tr r="DC27" s="1"/>
      </tp>
      <tp>
        <v>20280125</v>
        <stp/>
        <stp>P</stp>
        <stp>0</stp>
        <stp>BND</stp>
        <stp>KR6064984G11</stp>
        <stp>만기일</stp>
        <stp>46198</stp>
        <stp/>
        <tr r="K148" s="1"/>
      </tp>
      <tp>
        <v>20270115</v>
        <stp/>
        <stp>P</stp>
        <stp>0</stp>
        <stp>BND</stp>
        <stp>KR6006802E14</stp>
        <stp>만기일</stp>
        <stp>46198</stp>
        <stp/>
        <tr r="CE86" s="1"/>
      </tp>
      <tp>
        <v>20300221</v>
        <stp/>
        <stp>P</stp>
        <stp>0</stp>
        <stp>BND</stp>
        <stp>KR6005942F24</stp>
        <stp>만기일</stp>
        <stp>46198</stp>
        <stp/>
        <tr r="K212" s="1"/>
      </tp>
      <tp>
        <v>20271021</v>
        <stp/>
        <stp>P</stp>
        <stp>0</stp>
        <stp>BND</stp>
        <stp>KR6034231FA0</stp>
        <stp>만기일</stp>
        <stp>46198</stp>
        <stp/>
        <tr r="CQ50" s="1"/>
      </tp>
      <tp>
        <v>20341211</v>
        <stp/>
        <stp>P</stp>
        <stp>0</stp>
        <stp>BND</stp>
        <stp>KR6017673EC3</stp>
        <stp>만기일</stp>
        <stp>46198</stp>
        <stp/>
        <tr r="DC280" s="1"/>
      </tp>
      <tp>
        <v>20290526</v>
        <stp/>
        <stp>P</stp>
        <stp>0</stp>
        <stp>BND</stp>
        <stp>KR6105562G53</stp>
        <stp>만기일</stp>
        <stp>46198</stp>
        <stp/>
        <tr r="BS19" s="1"/>
      </tp>
      <tp>
        <v>20260626</v>
        <stp/>
        <stp>P</stp>
        <stp>0</stp>
        <stp>BND</stp>
        <stp>KR6037711E68</stp>
        <stp>만기일</stp>
        <stp>46198</stp>
        <stp/>
        <tr r="CE41" s="1"/>
      </tp>
      <tp>
        <v>20260914</v>
        <stp/>
        <stp>P</stp>
        <stp>0</stp>
        <stp>BND</stp>
        <stp>KR6006802D98</stp>
        <stp>만기일</stp>
        <stp>46198</stp>
        <stp/>
        <tr r="K322" s="1"/>
      </tp>
      <tp>
        <v>20260629</v>
        <stp/>
        <stp>P</stp>
        <stp>0</stp>
        <stp>BND</stp>
        <stp>KR6000722B66</stp>
        <stp>만기일</stp>
        <stp>46198</stp>
        <stp/>
        <tr r="BS172" s="1"/>
      </tp>
      <tp>
        <v>20290423</v>
        <stp/>
        <stp>P</stp>
        <stp>0</stp>
        <stp>BND</stp>
        <stp>KR6105562G46</stp>
        <stp>만기일</stp>
        <stp>46198</stp>
        <stp/>
        <tr r="BS55" s="1"/>
      </tp>
      <tp>
        <v>20300122</v>
        <stp/>
        <stp>P</stp>
        <stp>0</stp>
        <stp>BND</stp>
        <stp>KR6004022F12</stp>
        <stp>만기일</stp>
        <stp>46198</stp>
        <stp/>
        <tr r="BS198" s="1"/>
      </tp>
      <tp>
        <v>20270830</v>
        <stp/>
        <stp>P</stp>
        <stp>0</stp>
        <stp>BND</stp>
        <stp>KR6011173C82</stp>
        <stp>만기일</stp>
        <stp>46198</stp>
        <stp/>
        <tr r="DC254" s="1"/>
      </tp>
      <tp>
        <v>20290615</v>
        <stp/>
        <stp>P</stp>
        <stp>0</stp>
        <stp>BND</stp>
        <stp>KR6005942G64</stp>
        <stp>만기일</stp>
        <stp>46198</stp>
        <stp/>
        <tr r="DC80" s="1"/>
      </tp>
      <tp>
        <v>20270115</v>
        <stp/>
        <stp>P</stp>
        <stp>0</stp>
        <stp>BND</stp>
        <stp>KR6204322E16</stp>
        <stp>만기일</stp>
        <stp>46198</stp>
        <stp/>
        <tr r="BS30" s="1"/>
      </tp>
      <tp>
        <v>20270409</v>
        <stp/>
        <stp>P</stp>
        <stp>0</stp>
        <stp>BND</stp>
        <stp>KR6037641F47</stp>
        <stp>만기일</stp>
        <stp>46198</stp>
        <stp/>
        <tr r="EA83" s="1"/>
      </tp>
      <tp>
        <v>20270528</v>
        <stp/>
        <stp>P</stp>
        <stp>0</stp>
        <stp>BND</stp>
        <stp>KR6034731E53</stp>
        <stp>만기일</stp>
        <stp>46198</stp>
        <stp/>
        <tr r="K331" s="1"/>
        <tr r="BS192" s="1"/>
      </tp>
      <tp>
        <v>20280117</v>
        <stp/>
        <stp>P</stp>
        <stp>0</stp>
        <stp>BND</stp>
        <stp>KR6037561F19</stp>
        <stp>만기일</stp>
        <stp>46198</stp>
        <stp/>
        <tr r="K379" s="1"/>
      </tp>
      <tp>
        <v>20290209</v>
        <stp/>
        <stp>P</stp>
        <stp>0</stp>
        <stp>BND</stp>
        <stp>KR6006802G20</stp>
        <stp>만기일</stp>
        <stp>46198</stp>
        <stp/>
        <tr r="DC106" s="1"/>
      </tp>
      <tp>
        <v>20261023</v>
        <stp/>
        <stp>P</stp>
        <stp>0</stp>
        <stp>BND</stp>
        <stp>KR6104232DA8</stp>
        <stp>만기일</stp>
        <stp>46198</stp>
        <stp/>
        <tr r="CE33" s="1"/>
      </tp>
      <tp>
        <v>20260714</v>
        <stp/>
        <stp>P</stp>
        <stp>0</stp>
        <stp>BND</stp>
        <stp>KR6136301F71</stp>
        <stp>만기일</stp>
        <stp>46198</stp>
        <stp/>
        <tr r="CE152" s="1"/>
      </tp>
      <tp>
        <v>20270124</v>
        <stp/>
        <stp>P</stp>
        <stp>0</stp>
        <stp>BND</stp>
        <stp>KR6035421E14</stp>
        <stp>만기일</stp>
        <stp>46198</stp>
        <stp/>
        <tr r="K87" s="1"/>
      </tp>
      <tp>
        <v>20260811</v>
        <stp/>
        <stp>P</stp>
        <stp>0</stp>
        <stp>BND</stp>
        <stp>KR6136301F89</stp>
        <stp>만기일</stp>
        <stp>46198</stp>
        <stp/>
        <tr r="CE60" s="1"/>
      </tp>
      <tp t="s">
        <v/>
        <stp/>
        <stp>P</stp>
        <stp>0</stp>
        <stp>BND</stp>
        <stp>KRZE00602G6K</stp>
        <stp>만기일</stp>
        <stp>46198</stp>
        <stp/>
        <tr r="BS58" s="1"/>
      </tp>
      <tp>
        <v>20270612</v>
        <stp/>
        <stp>P</stp>
        <stp>0</stp>
        <stp>BND</stp>
        <stp>KR6032641E64</stp>
        <stp>만기일</stp>
        <stp>46198</stp>
        <stp/>
        <tr r="BS223" s="1"/>
      </tp>
      <tp>
        <v>20260626</v>
        <stp/>
        <stp>P</stp>
        <stp>0</stp>
        <stp>BND</stp>
        <stp>KR6003452D64</stp>
        <stp>만기일</stp>
        <stp>46198</stp>
        <stp/>
        <tr r="BS159" s="1"/>
      </tp>
      <tp>
        <v>20270212</v>
        <stp/>
        <stp>P</stp>
        <stp>0</stp>
        <stp>BND</stp>
        <stp>KR6131791F20</stp>
        <stp>만기일</stp>
        <stp>46198</stp>
        <stp/>
        <tr r="BS185" s="1"/>
      </tp>
      <tp>
        <v>20270930</v>
        <stp/>
        <stp>P</stp>
        <stp>0</stp>
        <stp>BND</stp>
        <stp>KR2004012C94</stp>
        <stp>만기일</stp>
        <stp>46198</stp>
        <stp/>
        <tr r="K369" s="1"/>
      </tp>
      <tp>
        <v>20340616</v>
        <stp/>
        <stp>P</stp>
        <stp>0</stp>
        <stp>BND</stp>
        <stp>KR6063624E60</stp>
        <stp>만기일</stp>
        <stp>46198</stp>
        <stp/>
        <tr r="W30" s="1"/>
      </tp>
      <tp>
        <v>20280522</v>
        <stp/>
        <stp>P</stp>
        <stp>0</stp>
        <stp>BND</stp>
        <stp>KR6000032F59</stp>
        <stp>만기일</stp>
        <stp>46198</stp>
        <stp/>
        <tr r="BS66" s="1"/>
      </tp>
      <tp>
        <v>20270226</v>
        <stp/>
        <stp>P</stp>
        <stp>0</stp>
        <stp>BND</stp>
        <stp>KR6003492E24</stp>
        <stp>만기일</stp>
        <stp>46198</stp>
        <stp/>
        <tr r="CQ58" s="1"/>
      </tp>
      <tp>
        <v>20270212</v>
        <stp/>
        <stp>P</stp>
        <stp>0</stp>
        <stp>BND</stp>
        <stp>KR6030621EB7</stp>
        <stp>만기일</stp>
        <stp>46198</stp>
        <stp/>
        <tr r="BS180" s="1"/>
      </tp>
      <tp>
        <v>20281128</v>
        <stp/>
        <stp>P</stp>
        <stp>0</stp>
        <stp>BND</stp>
        <stp>KR6033661FB7</stp>
        <stp>만기일</stp>
        <stp>46198</stp>
        <stp/>
        <tr r="DC132" s="1"/>
      </tp>
      <tp>
        <v>20280526</v>
        <stp/>
        <stp>P</stp>
        <stp>0</stp>
        <stp>BND</stp>
        <stp>KR6003492F56</stp>
        <stp>만기일</stp>
        <stp>46198</stp>
        <stp/>
        <tr r="CQ9" s="1"/>
      </tp>
      <tp>
        <v>20300813</v>
        <stp/>
        <stp>P</stp>
        <stp>0</stp>
        <stp>BND</stp>
        <stp>KR6004942A89</stp>
        <stp>만기일</stp>
        <stp>46198</stp>
        <stp/>
        <tr r="EA76" s="1"/>
      </tp>
      <tp>
        <v>20300725</v>
        <stp/>
        <stp>P</stp>
        <stp>0</stp>
        <stp>BND</stp>
        <stp>KR6063624F77</stp>
        <stp>만기일</stp>
        <stp>46198</stp>
        <stp/>
        <tr r="EA59" s="1"/>
      </tp>
      <tp>
        <v>20280107</v>
        <stp/>
        <stp>P</stp>
        <stp>0</stp>
        <stp>BND</stp>
        <stp>KR6033661F74</stp>
        <stp>만기일</stp>
        <stp>46198</stp>
        <stp/>
        <tr r="DC127" s="1"/>
      </tp>
      <tp>
        <v>20290408</v>
        <stp/>
        <stp>P</stp>
        <stp>0</stp>
        <stp>BND</stp>
        <stp>KR6000662E40</stp>
        <stp>만기일</stp>
        <stp>46198</stp>
        <stp/>
        <tr r="K141" s="1"/>
      </tp>
      <tp>
        <v>20280218</v>
        <stp/>
        <stp>P</stp>
        <stp>0</stp>
        <stp>BND</stp>
        <stp>KR6003452F21</stp>
        <stp>만기일</stp>
        <stp>46198</stp>
        <stp/>
        <tr r="K158" s="1"/>
      </tp>
      <tp>
        <v>20290128</v>
        <stp/>
        <stp>P</stp>
        <stp>0</stp>
        <stp>BND</stp>
        <stp>KR6032641G13</stp>
        <stp>만기일</stp>
        <stp>46198</stp>
        <stp/>
        <tr r="DC125" s="1"/>
      </tp>
      <tp>
        <v>20280811</v>
        <stp/>
        <stp>P</stp>
        <stp>0</stp>
        <stp>BND</stp>
        <stp>KR6103342F80</stp>
        <stp>만기일</stp>
        <stp>46198</stp>
        <stp/>
        <tr r="CQ32" s="1"/>
      </tp>
      <tp>
        <v>20280908</v>
        <stp/>
        <stp>P</stp>
        <stp>0</stp>
        <stp>BND</stp>
        <stp>KR6003452F96</stp>
        <stp>만기일</stp>
        <stp>46198</stp>
        <stp/>
        <tr r="BS68" s="1"/>
      </tp>
      <tp>
        <v>20271029</v>
        <stp/>
        <stp>P</stp>
        <stp>0</stp>
        <stp>BND</stp>
        <stp>KR6131791EA8</stp>
        <stp>만기일</stp>
        <stp>46198</stp>
        <stp/>
        <tr r="K303" s="1"/>
      </tp>
      <tp>
        <v>20260724</v>
        <stp/>
        <stp>P</stp>
        <stp>0</stp>
        <stp>BND</stp>
        <stp>KR6031441E76</stp>
        <stp>만기일</stp>
        <stp>46198</stp>
        <stp/>
        <tr r="CQ11" s="1"/>
      </tp>
      <tp>
        <v>20280601</v>
        <stp/>
        <stp>P</stp>
        <stp>0</stp>
        <stp>BND</stp>
        <stp>KR6032711F43</stp>
        <stp>만기일</stp>
        <stp>46198</stp>
        <stp/>
        <tr r="K166" s="1"/>
      </tp>
      <tp>
        <v>20280214</v>
        <stp/>
        <stp>P</stp>
        <stp>0</stp>
        <stp>BND</stp>
        <stp>KR6000662D25</stp>
        <stp>만기일</stp>
        <stp>46198</stp>
        <stp/>
        <tr r="K90" s="1"/>
        <tr r="BS221" s="1"/>
      </tp>
      <tp>
        <v>20260904</v>
        <stp/>
        <stp>P</stp>
        <stp>0</stp>
        <stp>BND</stp>
        <stp>KR6000722D98</stp>
        <stp>만기일</stp>
        <stp>46198</stp>
        <stp/>
        <tr r="CE52" s="1"/>
      </tp>
      <tp t="s">
        <v/>
        <stp/>
        <stp>P</stp>
        <stp>0</stp>
        <stp>BND</stp>
        <stp>KRZF198033G4</stp>
        <stp>만기일</stp>
        <stp>46198</stp>
        <stp/>
        <tr r="CE140" s="1"/>
      </tp>
      <tp>
        <v>20330529</v>
        <stp/>
        <stp>P</stp>
        <stp>0</stp>
        <stp>BND</stp>
        <stp>KR6000032856</stp>
        <stp>만기일</stp>
        <stp>46198</stp>
        <stp/>
        <tr r="EA69" s="1"/>
      </tp>
      <tp>
        <v>20280220</v>
        <stp/>
        <stp>P</stp>
        <stp>0</stp>
        <stp>BND</stp>
        <stp>KR6017673825</stp>
        <stp>만기일</stp>
        <stp>46198</stp>
        <stp/>
        <tr r="K337" s="1"/>
      </tp>
      <tp t="s">
        <v/>
        <stp/>
        <stp>P</stp>
        <stp>0</stp>
        <stp>BND</stp>
        <stp>KRZF198036G1</stp>
        <stp>만기일</stp>
        <stp>46198</stp>
        <stp/>
        <tr r="CE94" s="1"/>
      </tp>
      <tp t="s">
        <v/>
        <stp/>
        <stp>P</stp>
        <stp>0</stp>
        <stp>BND</stp>
        <stp>KRZF198036G3</stp>
        <stp>만기일</stp>
        <stp>46198</stp>
        <stp/>
        <tr r="CE124" s="1"/>
      </tp>
      <tp t="s">
        <v/>
        <stp/>
        <stp>P</stp>
        <stp>0</stp>
        <stp>BND</stp>
        <stp>KRZF198037G3</stp>
        <stp>만기일</stp>
        <stp>46198</stp>
        <stp/>
        <tr r="CE123" s="1"/>
      </tp>
      <tp t="s">
        <v/>
        <stp/>
        <stp>P</stp>
        <stp>0</stp>
        <stp>BND</stp>
        <stp>KRZF198034G4</stp>
        <stp>만기일</stp>
        <stp>46198</stp>
        <stp/>
        <tr r="CE141" s="1"/>
      </tp>
      <tp t="s">
        <v/>
        <stp/>
        <stp>P</stp>
        <stp>0</stp>
        <stp>BND</stp>
        <stp>KRZF198035G1</stp>
        <stp>만기일</stp>
        <stp>46198</stp>
        <stp/>
        <tr r="CE93" s="1"/>
      </tp>
      <tp t="s">
        <v/>
        <stp/>
        <stp>P</stp>
        <stp>0</stp>
        <stp>BND</stp>
        <stp>KRZF198035G3</stp>
        <stp>만기일</stp>
        <stp>46198</stp>
        <stp/>
        <tr r="CE163" s="1"/>
      </tp>
      <tp t="s">
        <v/>
        <stp/>
        <stp>P</stp>
        <stp>0</stp>
        <stp>BND</stp>
        <stp>KRZS07802577</stp>
        <stp>만기일</stp>
        <stp>46198</stp>
        <stp/>
        <tr r="CE9" s="1"/>
      </tp>
      <tp>
        <v>20271110</v>
        <stp/>
        <stp>P</stp>
        <stp>0</stp>
        <stp>BND</stp>
        <stp>KR60176737B7</stp>
        <stp>만기일</stp>
        <stp>46198</stp>
        <stp/>
        <tr r="BS233" s="1"/>
      </tp>
      <tp>
        <v>20270425</v>
        <stp/>
        <stp>P</stp>
        <stp>0</stp>
        <stp>BND</stp>
        <stp>KR6017673742</stp>
        <stp>만기일</stp>
        <stp>46198</stp>
        <stp/>
        <tr r="K278" s="1"/>
      </tp>
      <tp>
        <v>20260906</v>
        <stp/>
        <stp>P</stp>
        <stp>0</stp>
        <stp>BND</stp>
        <stp>KR6066574692</stp>
        <stp>만기일</stp>
        <stp>46198</stp>
        <stp/>
        <tr r="CQ44" s="1"/>
      </tp>
      <tp>
        <v>20270723</v>
        <stp/>
        <stp>P</stp>
        <stp>0</stp>
        <stp>BND</stp>
        <stp>KR6138042C74</stp>
        <stp>만기일</stp>
        <stp>46198</stp>
        <stp/>
        <tr r="DC51" s="1"/>
      </tp>
      <tp>
        <v>20260811</v>
        <stp/>
        <stp>P</stp>
        <stp>0</stp>
        <stp>BND</stp>
        <stp>KR6139482B88</stp>
        <stp>만기일</stp>
        <stp>46198</stp>
        <stp/>
        <tr r="CE23" s="1"/>
        <tr r="BS183" s="1"/>
      </tp>
      <tp>
        <v>20270330</v>
        <stp/>
        <stp>P</stp>
        <stp>0</stp>
        <stp>BND</stp>
        <stp>KR6139132C32</stp>
        <stp>만기일</stp>
        <stp>46198</stp>
        <stp/>
        <tr r="EA20" s="1"/>
      </tp>
      <tp t="s">
        <v/>
        <stp/>
        <stp>P</stp>
        <stp>0</stp>
        <stp>BND</stp>
        <stp>KRZE08101G5D</stp>
        <stp>만기일</stp>
        <stp>46198</stp>
        <stp/>
        <tr r="BS257" s="1"/>
      </tp>
      <tp t="s">
        <v/>
        <stp/>
        <stp>P</stp>
        <stp>0</stp>
        <stp>BND</stp>
        <stp>KRZE08401G4G</stp>
        <stp>만기일</stp>
        <stp>46198</stp>
        <stp/>
        <tr r="EA27" s="1"/>
      </tp>
      <tp>
        <v>20271126</v>
        <stp/>
        <stp>P</stp>
        <stp>0</stp>
        <stp>BND</stp>
        <stp>KR6008561G50</stp>
        <stp>만기일</stp>
        <stp>46198</stp>
        <stp/>
        <tr r="DC32" s="1"/>
      </tp>
      <tp>
        <v>20300829</v>
        <stp/>
        <stp>P</stp>
        <stp>0</stp>
        <stp>BND</stp>
        <stp>KR6139132F88</stp>
        <stp>만기일</stp>
        <stp>46198</stp>
        <stp/>
        <tr r="DO13" s="1"/>
        <tr r="BS109" s="1"/>
      </tp>
      <tp>
        <v>20280828</v>
        <stp/>
        <stp>P</stp>
        <stp>0</stp>
        <stp>BND</stp>
        <stp>KR6029693F82</stp>
        <stp>만기일</stp>
        <stp>46198</stp>
        <stp/>
        <tr r="CQ30" s="1"/>
      </tp>
      <tp t="s">
        <v/>
        <stp/>
        <stp>P</stp>
        <stp>0</stp>
        <stp>BND</stp>
        <stp>KRZF03271LBN</stp>
        <stp>만기일</stp>
        <stp>46198</stp>
        <stp/>
        <tr r="DC197" s="1"/>
      </tp>
      <tp t="s">
        <v/>
        <stp/>
        <stp>P</stp>
        <stp>0</stp>
        <stp>BND</stp>
        <stp>KRZE08101F8V</stp>
        <stp>만기일</stp>
        <stp>46198</stp>
        <stp/>
        <tr r="DC93" s="1"/>
      </tp>
      <tp t="s">
        <v/>
        <stp/>
        <stp>P</stp>
        <stp>0</stp>
        <stp>BND</stp>
        <stp>KRZE08101F7H</stp>
        <stp>만기일</stp>
        <stp>46198</stp>
        <stp/>
        <tr r="CE75" s="1"/>
      </tp>
      <tp t="s">
        <v/>
        <stp/>
        <stp>P</stp>
        <stp>0</stp>
        <stp>BND</stp>
        <stp>KRZE08801F99</stp>
        <stp>만기일</stp>
        <stp>46198</stp>
        <stp/>
        <tr r="DC175" s="1"/>
      </tp>
      <tp>
        <v>20280204</v>
        <stp/>
        <stp>P</stp>
        <stp>0</stp>
        <stp>BND</stp>
        <stp>KR6138102F29</stp>
        <stp>만기일</stp>
        <stp>46198</stp>
        <stp/>
        <tr r="DC265" s="1"/>
      </tp>
      <tp>
        <v>20270730</v>
        <stp/>
        <stp>P</stp>
        <stp>0</stp>
        <stp>BND</stp>
        <stp>KR6008561F85</stp>
        <stp>만기일</stp>
        <stp>46198</stp>
        <stp/>
        <tr r="BS229" s="1"/>
      </tp>
      <tp t="s">
        <v/>
        <stp/>
        <stp>P</stp>
        <stp>0</stp>
        <stp>BND</stp>
        <stp>KRZE08801FAA</stp>
        <stp>만기일</stp>
        <stp>46198</stp>
        <stp/>
        <tr r="DC101" s="1"/>
      </tp>
      <tp t="s">
        <v/>
        <stp/>
        <stp>P</stp>
        <stp>0</stp>
        <stp>BND</stp>
        <stp>KRZE08801FBM</stp>
        <stp>만기일</stp>
        <stp>46198</stp>
        <stp/>
        <tr r="DC115" s="1"/>
      </tp>
      <tp t="s">
        <v/>
        <stp/>
        <stp>P</stp>
        <stp>0</stp>
        <stp>BND</stp>
        <stp>KRZE08801FCX</stp>
        <stp>만기일</stp>
        <stp>46198</stp>
        <stp/>
        <tr r="DC76" s="1"/>
      </tp>
      <tp t="s">
        <v/>
        <stp/>
        <stp>P</stp>
        <stp>0</stp>
        <stp>BND</stp>
        <stp>KRZE08401FAW</stp>
        <stp>만기일</stp>
        <stp>46198</stp>
        <stp/>
        <tr r="DC109" s="1"/>
      </tp>
      <tp t="s">
        <v/>
        <stp/>
        <stp>P</stp>
        <stp>0</stp>
        <stp>BND</stp>
        <stp>KRZE08101FCP</stp>
        <stp>만기일</stp>
        <stp>46198</stp>
        <stp/>
        <tr r="DC182" s="1"/>
      </tp>
      <tp t="s">
        <v/>
        <stp/>
        <stp>P</stp>
        <stp>0</stp>
        <stp>BND</stp>
        <stp>KRZE08101FCG</stp>
        <stp>만기일</stp>
        <stp>46198</stp>
        <stp/>
        <tr r="DC123" s="1"/>
      </tp>
      <tp t="s">
        <v/>
        <stp/>
        <stp>P</stp>
        <stp>0</stp>
        <stp>BND</stp>
        <stp>KRZE08101FC2</stp>
        <stp>만기일</stp>
        <stp>46198</stp>
        <stp/>
        <tr r="BS121" s="1"/>
      </tp>
      <tp t="s">
        <v/>
        <stp/>
        <stp>P</stp>
        <stp>0</stp>
        <stp>BND</stp>
        <stp>KRZE08101FBV</stp>
        <stp>만기일</stp>
        <stp>46198</stp>
        <stp/>
        <tr r="DC184" s="1"/>
      </tp>
      <tp t="s">
        <v/>
        <stp/>
        <stp>P</stp>
        <stp>0</stp>
        <stp>BND</stp>
        <stp>KRZE08101FBK</stp>
        <stp>만기일</stp>
        <stp>46198</stp>
        <stp/>
        <tr r="DC114" s="1"/>
      </tp>
      <tp t="s">
        <v/>
        <stp/>
        <stp>P</stp>
        <stp>0</stp>
        <stp>BND</stp>
        <stp>KRZE08101FB4</stp>
        <stp>만기일</stp>
        <stp>46198</stp>
        <stp/>
        <tr r="BS205" s="1"/>
      </tp>
      <tp>
        <v>20261022</v>
        <stp/>
        <stp>P</stp>
        <stp>0</stp>
        <stp>BND</stp>
        <stp>KR6008561EA5</stp>
        <stp>만기일</stp>
        <stp>46198</stp>
        <stp/>
        <tr r="BS169" s="1"/>
      </tp>
      <tp>
        <v>20260807</v>
        <stp/>
        <stp>P</stp>
        <stp>0</stp>
        <stp>BND</stp>
        <stp>KR6008271E87</stp>
        <stp>만기일</stp>
        <stp>46198</stp>
        <stp/>
        <tr r="CE56" s="1"/>
      </tp>
      <tp>
        <v>20261120</v>
        <stp/>
        <stp>P</stp>
        <stp>0</stp>
        <stp>BND</stp>
        <stp>KR6008671DB2</stp>
        <stp>만기일</stp>
        <stp>46198</stp>
        <stp/>
        <tr r="DC291" s="1"/>
      </tp>
      <tp>
        <v>20271112</v>
        <stp/>
        <stp>P</stp>
        <stp>0</stp>
        <stp>BND</stp>
        <stp>KR6029883EB6</stp>
        <stp>만기일</stp>
        <stp>46198</stp>
        <stp/>
        <tr r="BS83" s="1"/>
      </tp>
      <tp>
        <v>20270423</v>
        <stp/>
        <stp>P</stp>
        <stp>0</stp>
        <stp>BND</stp>
        <stp>KR6039492E44</stp>
        <stp>만기일</stp>
        <stp>46198</stp>
        <stp/>
        <tr r="BS33" s="1"/>
      </tp>
      <tp>
        <v>20261119</v>
        <stp/>
        <stp>P</stp>
        <stp>0</stp>
        <stp>BND</stp>
        <stp>KR2001011BB1</stp>
        <stp>만기일</stp>
        <stp>46198</stp>
        <stp/>
        <tr r="K116" s="1"/>
      </tp>
      <tp>
        <v>20281201</v>
        <stp/>
        <stp>P</stp>
        <stp>0</stp>
        <stp>BND</stp>
        <stp>KR2001011BC9</stp>
        <stp>만기일</stp>
        <stp>46198</stp>
        <stp/>
        <tr r="DC268" s="1"/>
      </tp>
      <tp>
        <v>20281207</v>
        <stp/>
        <stp>P</stp>
        <stp>0</stp>
        <stp>BND</stp>
        <stp>KR2001051BC5</stp>
        <stp>만기일</stp>
        <stp>46198</stp>
        <stp/>
        <tr r="K247" s="1"/>
      </tp>
      <tp>
        <v>20260827</v>
        <stp/>
        <stp>P</stp>
        <stp>0</stp>
        <stp>BND</stp>
        <stp>KR6095238F28</stp>
        <stp>만기일</stp>
        <stp>46198</stp>
        <stp/>
        <tr r="CE81" s="1"/>
      </tp>
      <tp>
        <v>20270827</v>
        <stp/>
        <stp>P</stp>
        <stp>0</stp>
        <stp>BND</stp>
        <stp>KR6145765F71</stp>
        <stp>만기일</stp>
        <stp>46198</stp>
        <stp/>
        <tr r="DC110" s="1"/>
      </tp>
      <tp>
        <v>20280110</v>
        <stp/>
        <stp>P</stp>
        <stp>0</stp>
        <stp>BND</stp>
        <stp>KR6205491F66</stp>
        <stp>만기일</stp>
        <stp>46198</stp>
        <stp/>
        <tr r="DC21" s="1"/>
      </tp>
      <tp>
        <v>20280310</v>
        <stp/>
        <stp>P</stp>
        <stp>0</stp>
        <stp>BND</stp>
        <stp>KR6025083F39</stp>
        <stp>만기일</stp>
        <stp>46198</stp>
        <stp/>
        <tr r="EA41" s="1"/>
      </tp>
      <tp>
        <v>20290427</v>
        <stp/>
        <stp>P</stp>
        <stp>0</stp>
        <stp>BND</stp>
        <stp>KR6204321G49</stp>
        <stp>만기일</stp>
        <stp>46198</stp>
        <stp/>
        <tr r="BS47" s="1"/>
      </tp>
      <tp>
        <v>20310219</v>
        <stp/>
        <stp>P</stp>
        <stp>0</stp>
        <stp>BND</stp>
        <stp>KR6051914B26</stp>
        <stp>만기일</stp>
        <stp>46198</stp>
        <stp/>
        <tr r="DC249" s="1"/>
      </tp>
      <tp>
        <v>20280221</v>
        <stp/>
        <stp>P</stp>
        <stp>0</stp>
        <stp>BND</stp>
        <stp>KR6005941F25</stp>
        <stp>만기일</stp>
        <stp>46198</stp>
        <stp/>
        <tr r="K161" s="1"/>
      </tp>
      <tp>
        <v>20280907</v>
        <stp/>
        <stp>P</stp>
        <stp>0</stp>
        <stp>BND</stp>
        <stp>KR6205491F90</stp>
        <stp>만기일</stp>
        <stp>46198</stp>
        <stp/>
        <tr r="K204" s="1"/>
      </tp>
      <tp>
        <v>20290413</v>
        <stp/>
        <stp>P</stp>
        <stp>0</stp>
        <stp>BND</stp>
        <stp>KR6174146FA0</stp>
        <stp>만기일</stp>
        <stp>46198</stp>
        <stp/>
        <tr r="BS70" s="1"/>
        <tr r="K206" s="1"/>
      </tp>
      <tp>
        <v>20261129</v>
        <stp/>
        <stp>P</stp>
        <stp>0</stp>
        <stp>BND</stp>
        <stp>KR6007071EB4</stp>
        <stp>만기일</stp>
        <stp>46198</stp>
        <stp/>
        <tr r="BS181" s="1"/>
      </tp>
      <tp>
        <v>20261015</v>
        <stp/>
        <stp>P</stp>
        <stp>0</stp>
        <stp>BND</stp>
        <stp>KR6030492BA1</stp>
        <stp>만기일</stp>
        <stp>46198</stp>
        <stp/>
        <tr r="DC163" s="1"/>
      </tp>
      <tp>
        <v>20260824</v>
        <stp/>
        <stp>P</stp>
        <stp>0</stp>
        <stp>BND</stp>
        <stp>KR6176946D88</stp>
        <stp>만기일</stp>
        <stp>46198</stp>
        <stp/>
        <tr r="CE39" s="1"/>
      </tp>
      <tp>
        <v>20290326</v>
        <stp/>
        <stp>P</stp>
        <stp>0</stp>
        <stp>BND</stp>
        <stp>KR6105561G39</stp>
        <stp>만기일</stp>
        <stp>46198</stp>
        <stp/>
        <tr r="K40" s="1"/>
      </tp>
      <tp>
        <v>20260923</v>
        <stp/>
        <stp>P</stp>
        <stp>0</stp>
        <stp>BND</stp>
        <stp>KR6097248E98</stp>
        <stp>만기일</stp>
        <stp>46198</stp>
        <stp/>
        <tr r="CE43" s="1"/>
      </tp>
      <tp>
        <v>20261007</v>
        <stp/>
        <stp>P</stp>
        <stp>0</stp>
        <stp>BND</stp>
        <stp>KR6004171EA7</stp>
        <stp>만기일</stp>
        <stp>46198</stp>
        <stp/>
        <tr r="K238" s="1"/>
      </tp>
      <tp>
        <v>20261106</v>
        <stp/>
        <stp>P</stp>
        <stp>0</stp>
        <stp>BND</stp>
        <stp>KR6025083DB9</stp>
        <stp>만기일</stp>
        <stp>46198</stp>
        <stp/>
        <tr r="CE17" s="1"/>
      </tp>
      <tp>
        <v>20291128</v>
        <stp/>
        <stp>P</stp>
        <stp>0</stp>
        <stp>BND</stp>
        <stp>KR6034732EB8</stp>
        <stp>만기일</stp>
        <stp>46198</stp>
        <stp/>
        <tr r="K267" s="1"/>
      </tp>
      <tp>
        <v>20280310</v>
        <stp/>
        <stp>P</stp>
        <stp>0</stp>
        <stp>BND</stp>
        <stp>KR6006281G38</stp>
        <stp>만기일</stp>
        <stp>46198</stp>
        <stp/>
        <tr r="DC105" s="1"/>
      </tp>
      <tp>
        <v>20290530</v>
        <stp/>
        <stp>P</stp>
        <stp>0</stp>
        <stp>BND</stp>
        <stp>KR6034732E52</stp>
        <stp>만기일</stp>
        <stp>46198</stp>
        <stp/>
        <tr r="K306" s="1"/>
      </tp>
      <tp>
        <v>20270226</v>
        <stp/>
        <stp>P</stp>
        <stp>0</stp>
        <stp>BND</stp>
        <stp>KR6034732E29</stp>
        <stp>만기일</stp>
        <stp>46198</stp>
        <stp/>
        <tr r="K329" s="1"/>
      </tp>
      <tp>
        <v>20270827</v>
        <stp/>
        <stp>P</stp>
        <stp>0</stp>
        <stp>BND</stp>
        <stp>KR6034122E84</stp>
        <stp>만기일</stp>
        <stp>46198</stp>
        <stp/>
        <tr r="K128" s="1"/>
      </tp>
      <tp>
        <v>20270912</v>
        <stp/>
        <stp>P</stp>
        <stp>0</stp>
        <stp>BND</stp>
        <stp>KR6004021E97</stp>
        <stp>만기일</stp>
        <stp>46198</stp>
        <stp/>
        <tr r="BS202" s="1"/>
      </tp>
      <tp>
        <v>20290511</v>
        <stp/>
        <stp>P</stp>
        <stp>0</stp>
        <stp>BND</stp>
        <stp>KR6006801G54</stp>
        <stp>만기일</stp>
        <stp>46198</stp>
        <stp/>
        <tr r="K122" s="1"/>
      </tp>
      <tp>
        <v>20300909</v>
        <stp/>
        <stp>P</stp>
        <stp>0</stp>
        <stp>BND</stp>
        <stp>KR6006801F97</stp>
        <stp>만기일</stp>
        <stp>46198</stp>
        <stp/>
        <tr r="K229" s="1"/>
      </tp>
      <tp>
        <v>20270215</v>
        <stp/>
        <stp>P</stp>
        <stp>0</stp>
        <stp>BND</stp>
        <stp>KR6025083E22</stp>
        <stp>만기일</stp>
        <stp>46198</stp>
        <stp/>
        <tr r="DC54" s="1"/>
      </tp>
      <tp>
        <v>20270604</v>
        <stp/>
        <stp>P</stp>
        <stp>0</stp>
        <stp>BND</stp>
        <stp>KR2005011E66</stp>
        <stp>만기일</stp>
        <stp>46198</stp>
        <stp/>
        <tr r="BS18" s="1"/>
      </tp>
      <tp>
        <v>20280225</v>
        <stp/>
        <stp>P</stp>
        <stp>0</stp>
        <stp>BND</stp>
        <stp>KR6006801F22</stp>
        <stp>만기일</stp>
        <stp>46198</stp>
        <stp/>
        <tr r="BS240" s="1"/>
      </tp>
      <tp>
        <v>20300219</v>
        <stp/>
        <stp>P</stp>
        <stp>0</stp>
        <stp>BND</stp>
        <stp>KR6051914A27</stp>
        <stp>만기일</stp>
        <stp>46198</stp>
        <stp/>
        <tr r="BS89" s="1"/>
      </tp>
      <tp>
        <v>20280428</v>
        <stp/>
        <stp>P</stp>
        <stp>0</stp>
        <stp>BND</stp>
        <stp>KR6006801F48</stp>
        <stp>만기일</stp>
        <stp>46198</stp>
        <stp/>
        <tr r="K176" s="1"/>
      </tp>
      <tp>
        <v>20280613</v>
        <stp/>
        <stp>P</stp>
        <stp>0</stp>
        <stp>BND</stp>
        <stp>KR6006801F63</stp>
        <stp>만기일</stp>
        <stp>46198</stp>
        <stp/>
        <tr r="BS67" s="1"/>
      </tp>
      <tp t="s">
        <v/>
        <stp/>
        <stp>P</stp>
        <stp>0</stp>
        <stp>BND</stp>
        <stp>KRZE00301G3K</stp>
        <stp>만기일</stp>
        <stp>46198</stp>
        <stp/>
        <tr r="DC213" s="1"/>
      </tp>
      <tp t="s">
        <v/>
        <stp/>
        <stp>P</stp>
        <stp>0</stp>
        <stp>BND</stp>
        <stp>KRZE00301G18</stp>
        <stp>만기일</stp>
        <stp>46198</stp>
        <stp/>
        <tr r="CE80" s="1"/>
      </tp>
      <tp>
        <v>20290327</v>
        <stp/>
        <stp>P</stp>
        <stp>0</stp>
        <stp>BND</stp>
        <stp>KR6030612G38</stp>
        <stp>만기일</stp>
        <stp>46198</stp>
        <stp/>
        <tr r="K111" s="1"/>
      </tp>
      <tp>
        <v>20280211</v>
        <stp/>
        <stp>P</stp>
        <stp>0</stp>
        <stp>BND</stp>
        <stp>KR6131792F29</stp>
        <stp>만기일</stp>
        <stp>46198</stp>
        <stp/>
        <tr r="K307" s="1"/>
      </tp>
      <tp>
        <v>20270115</v>
        <stp/>
        <stp>P</stp>
        <stp>0</stp>
        <stp>BND</stp>
        <stp>KR6032642E14</stp>
        <stp>만기일</stp>
        <stp>46198</stp>
        <stp/>
        <tr r="K86" s="1"/>
        <tr r="BS191" s="1"/>
      </tp>
      <tp>
        <v>20290910</v>
        <stp/>
        <stp>P</stp>
        <stp>0</stp>
        <stp>BND</stp>
        <stp>KR6032712E92</stp>
        <stp>만기일</stp>
        <stp>46198</stp>
        <stp/>
        <tr r="K195" s="1"/>
      </tp>
      <tp t="s">
        <v/>
        <stp/>
        <stp>P</stp>
        <stp>0</stp>
        <stp>BND</stp>
        <stp>KRZE00601F9H</stp>
        <stp>만기일</stp>
        <stp>46198</stp>
        <stp/>
        <tr r="BS29" s="1"/>
      </tp>
      <tp t="s">
        <v/>
        <stp/>
        <stp>P</stp>
        <stp>0</stp>
        <stp>BND</stp>
        <stp>KRZE00601F7A</stp>
        <stp>만기일</stp>
        <stp>46198</stp>
        <stp/>
        <tr r="CE73" s="1"/>
      </tp>
      <tp>
        <v>20261113</v>
        <stp/>
        <stp>P</stp>
        <stp>0</stp>
        <stp>BND</stp>
        <stp>KR6032642DB3</stp>
        <stp>만기일</stp>
        <stp>46198</stp>
        <stp/>
        <tr r="K84" s="1"/>
      </tp>
      <tp>
        <v>20271015</v>
        <stp/>
        <stp>P</stp>
        <stp>0</stp>
        <stp>BND</stp>
        <stp>KR6023783EA6</stp>
        <stp>만기일</stp>
        <stp>46198</stp>
        <stp/>
        <tr r="K131" s="1"/>
      </tp>
      <tp>
        <v>20271008</v>
        <stp/>
        <stp>P</stp>
        <stp>0</stp>
        <stp>BND</stp>
        <stp>KR6033782EA6</stp>
        <stp>만기일</stp>
        <stp>46198</stp>
        <stp/>
        <tr r="K114" s="1"/>
      </tp>
      <tp>
        <v>20261008</v>
        <stp/>
        <stp>P</stp>
        <stp>0</stp>
        <stp>BND</stp>
        <stp>KR6033662EA0</stp>
        <stp>만기일</stp>
        <stp>46198</stp>
        <stp/>
        <tr r="BS166" s="1"/>
      </tp>
      <tp>
        <v>20270804</v>
        <stp/>
        <stp>P</stp>
        <stp>0</stp>
        <stp>BND</stp>
        <stp>KR6030622F60</stp>
        <stp>만기일</stp>
        <stp>46198</stp>
        <stp/>
        <tr r="BS237" s="1"/>
      </tp>
      <tp>
        <v>20260910</v>
        <stp/>
        <stp>P</stp>
        <stp>0</stp>
        <stp>BND</stp>
        <stp>KR6033662E33</stp>
        <stp>만기일</stp>
        <stp>46198</stp>
        <stp/>
        <tr r="CE59" s="1"/>
      </tp>
      <tp>
        <v>20290202</v>
        <stp/>
        <stp>P</stp>
        <stp>0</stp>
        <stp>BND</stp>
        <stp>KR6131792G28</stp>
        <stp>만기일</stp>
        <stp>46198</stp>
        <stp/>
        <tr r="DC116" s="1"/>
      </tp>
      <tp>
        <v>20280214</v>
        <stp/>
        <stp>P</stp>
        <stp>0</stp>
        <stp>BND</stp>
        <stp>KR6030492F26</stp>
        <stp>만기일</stp>
        <stp>46198</stp>
        <stp/>
        <tr r="K308" s="1"/>
      </tp>
      <tp>
        <v>20330323</v>
        <stp/>
        <stp>P</stp>
        <stp>0</stp>
        <stp>BND</stp>
        <stp>KR2001021G38</stp>
        <stp>만기일</stp>
        <stp>46198</stp>
        <stp/>
        <tr r="DC103" s="1"/>
      </tp>
      <tp>
        <v>20260914</v>
        <stp/>
        <stp>P</stp>
        <stp>0</stp>
        <stp>BND</stp>
        <stp>KR6034222B94</stp>
        <stp>만기일</stp>
        <stp>46198</stp>
        <stp/>
        <tr r="CE24" s="1"/>
      </tp>
      <tp>
        <v>20280410</v>
        <stp/>
        <stp>P</stp>
        <stp>0</stp>
        <stp>BND</stp>
        <stp>KR6021963G40</stp>
        <stp>만기일</stp>
        <stp>46198</stp>
        <stp/>
        <tr r="CQ14" s="1"/>
      </tp>
      <tp>
        <v>20310614</v>
        <stp/>
        <stp>P</stp>
        <stp>0</stp>
        <stp>BND</stp>
        <stp>KR6004941B63</stp>
        <stp>만기일</stp>
        <stp>46198</stp>
        <stp/>
        <tr r="EA75" s="1"/>
      </tp>
      <tp>
        <v>20280901</v>
        <stp/>
        <stp>P</stp>
        <stp>0</stp>
        <stp>BND</stp>
        <stp>KR6030622F94</stp>
        <stp>만기일</stp>
        <stp>46198</stp>
        <stp/>
        <tr r="BS131" s="1"/>
      </tp>
      <tp t="s">
        <v/>
        <stp/>
        <stp>P</stp>
        <stp>0</stp>
        <stp>BND</stp>
        <stp>KRZE00701FAF</stp>
        <stp>만기일</stp>
        <stp>46198</stp>
        <stp/>
        <tr r="DC104" s="1"/>
      </tp>
      <tp t="s">
        <v/>
        <stp/>
        <stp>P</stp>
        <stp>0</stp>
        <stp>BND</stp>
        <stp>KRZE03201F94</stp>
        <stp>만기일</stp>
        <stp>46198</stp>
        <stp/>
        <tr r="BS256" s="1"/>
      </tp>
      <tp t="s">
        <v/>
        <stp/>
        <stp>P</stp>
        <stp>0</stp>
        <stp>BND</stp>
        <stp>KRZE03901F88</stp>
        <stp>만기일</stp>
        <stp>46198</stp>
        <stp/>
        <tr r="EA31" s="1"/>
      </tp>
      <tp t="s">
        <v/>
        <stp/>
        <stp>P</stp>
        <stp>0</stp>
        <stp>BND</stp>
        <stp>KRZE03901F87</stp>
        <stp>만기일</stp>
        <stp>46198</stp>
        <stp/>
        <tr r="BS204" s="1"/>
      </tp>
      <tp>
        <v>20270625</v>
        <stp/>
        <stp>P</stp>
        <stp>0</stp>
        <stp>BND</stp>
        <stp>KR6023763FC1</stp>
        <stp>만기일</stp>
        <stp>46198</stp>
        <stp/>
        <tr r="EA25" s="1"/>
      </tp>
      <tp>
        <v>20271025</v>
        <stp/>
        <stp>P</stp>
        <stp>0</stp>
        <stp>BND</stp>
        <stp>KR6030492EA5</stp>
        <stp>만기일</stp>
        <stp>46198</stp>
        <stp/>
        <tr r="K126" s="1"/>
      </tp>
      <tp>
        <v>20280112</v>
        <stp/>
        <stp>P</stp>
        <stp>0</stp>
        <stp>BND</stp>
        <stp>KR6421093D14</stp>
        <stp>만기일</stp>
        <stp>46198</stp>
        <stp/>
        <tr r="K65" s="1"/>
      </tp>
      <tp>
        <v>20270409</v>
        <stp/>
        <stp>P</stp>
        <stp>0</stp>
        <stp>BND</stp>
        <stp>KR6023763F49</stp>
        <stp>만기일</stp>
        <stp>46198</stp>
        <stp/>
        <tr r="CQ13" s="1"/>
      </tp>
      <tp>
        <v>20280131</v>
        <stp/>
        <stp>P</stp>
        <stp>0</stp>
        <stp>BND</stp>
        <stp>KR6003491F16</stp>
        <stp>만기일</stp>
        <stp>46198</stp>
        <stp/>
        <tr r="CQ41" s="1"/>
      </tp>
      <tp>
        <v>20270219</v>
        <stp/>
        <stp>P</stp>
        <stp>0</stp>
        <stp>BND</stp>
        <stp>KR6003451F22</stp>
        <stp>만기일</stp>
        <stp>46198</stp>
        <stp/>
        <tr r="K117" s="1"/>
      </tp>
      <tp>
        <v>20270813</v>
        <stp/>
        <stp>P</stp>
        <stp>0</stp>
        <stp>BND</stp>
        <stp>KR6032712G17</stp>
        <stp>만기일</stp>
        <stp>46198</stp>
        <stp/>
        <tr r="K143" s="1"/>
      </tp>
      <tp>
        <v>20300324</v>
        <stp/>
        <stp>P</stp>
        <stp>0</stp>
        <stp>BND</stp>
        <stp>KR6004941A31</stp>
        <stp>만기일</stp>
        <stp>46198</stp>
        <stp/>
        <tr r="EA68" s="1"/>
      </tp>
      <tp>
        <v>20270903</v>
        <stp/>
        <stp>P</stp>
        <stp>0</stp>
        <stp>BND</stp>
        <stp>KR6033662F99</stp>
        <stp>만기일</stp>
        <stp>46198</stp>
        <stp/>
        <tr r="DC124" s="1"/>
      </tp>
      <tp t="s">
        <v/>
        <stp/>
        <stp>P</stp>
        <stp>0</stp>
        <stp>BND</stp>
        <stp>KRZE03901FAG</stp>
        <stp>만기일</stp>
        <stp>46198</stp>
        <stp/>
        <tr r="DC179" s="1"/>
      </tp>
      <tp t="s">
        <v/>
        <stp/>
        <stp>P</stp>
        <stp>0</stp>
        <stp>BND</stp>
        <stp>KRZE03901FC2</stp>
        <stp>만기일</stp>
        <stp>46198</stp>
        <stp/>
        <tr r="DC122" s="1"/>
      </tp>
      <tp t="s">
        <v/>
        <stp/>
        <stp>P</stp>
        <stp>0</stp>
        <stp>BND</stp>
        <stp>KRZE03901G3K</stp>
        <stp>만기일</stp>
        <stp>46198</stp>
        <stp/>
        <tr r="DC168" s="1"/>
      </tp>
      <tp>
        <v>20260701</v>
        <stp/>
        <stp>P</stp>
        <stp>0</stp>
        <stp>BND</stp>
        <stp>KR6001631E79</stp>
        <stp>만기일</stp>
        <stp>46198</stp>
        <stp/>
        <tr r="CE87" s="1"/>
      </tp>
      <tp>
        <v>20350312</v>
        <stp/>
        <stp>P</stp>
        <stp>0</stp>
        <stp>BND</stp>
        <stp>KR6002551F31</stp>
        <stp>만기일</stp>
        <stp>46198</stp>
        <stp/>
        <tr r="EA44" s="1"/>
      </tp>
      <tp>
        <v>20261002</v>
        <stp/>
        <stp>P</stp>
        <stp>0</stp>
        <stp>BND</stp>
        <stp>KR6021963E42</stp>
        <stp>만기일</stp>
        <stp>46198</stp>
        <stp/>
        <tr r="CE37" s="1"/>
      </tp>
      <tp>
        <v>20290130</v>
        <stp/>
        <stp>P</stp>
        <stp>0</stp>
        <stp>BND</stp>
        <stp>KR6023533914</stp>
        <stp>만기일</stp>
        <stp>46198</stp>
        <stp/>
        <tr r="BS73" s="1"/>
      </tp>
      <tp t="s">
        <v/>
        <stp/>
        <stp>P</stp>
        <stp>0</stp>
        <stp>BND</stp>
        <stp>KR70192Z0001</stp>
        <stp>만기일</stp>
        <stp>46198</stp>
        <stp/>
        <tr r="EA13" s="1"/>
      </tp>
      <tp>
        <v>20280220</v>
        <stp/>
        <stp>P</stp>
        <stp>0</stp>
        <stp>BND</stp>
        <stp>KR6051914820</stp>
        <stp>만기일</stp>
        <stp>46198</stp>
        <stp/>
        <tr r="K59" s="1"/>
      </tp>
      <tp>
        <v>20280310</v>
        <stp/>
        <stp>P</stp>
        <stp>0</stp>
        <stp>BND</stp>
        <stp>KRC0350C2835</stp>
        <stp>만기일</stp>
        <stp>46198</stp>
        <stp/>
        <tr r="W47" s="1"/>
        <tr r="K272" s="1"/>
        <tr r="DC39" s="1"/>
      </tp>
      <tp>
        <v>20280910</v>
        <stp/>
        <stp>P</stp>
        <stp>0</stp>
        <stp>BND</stp>
        <stp>KRC0350C2892</stp>
        <stp>만기일</stp>
        <stp>46198</stp>
        <stp/>
        <tr r="K325" s="1"/>
        <tr r="DC262" s="1"/>
      </tp>
      <tp t="s">
        <v/>
        <stp/>
        <stp>P</stp>
        <stp>0</stp>
        <stp>BND</stp>
        <stp>KRZF047819GH</stp>
        <stp>만기일</stp>
        <stp>46198</stp>
        <stp/>
        <tr r="CE156" s="1"/>
      </tp>
      <tp>
        <v>20290310</v>
        <stp/>
        <stp>P</stp>
        <stp>0</stp>
        <stp>BND</stp>
        <stp>KRC0350C2934</stp>
        <stp>만기일</stp>
        <stp>46198</stp>
        <stp/>
        <tr r="K311" s="1"/>
      </tp>
      <tp>
        <v>20290910</v>
        <stp/>
        <stp>P</stp>
        <stp>0</stp>
        <stp>BND</stp>
        <stp>KRC0350C2991</stp>
        <stp>만기일</stp>
        <stp>46198</stp>
        <stp/>
        <tr r="DC238" s="1"/>
      </tp>
      <tp t="s">
        <v/>
        <stp/>
        <stp>P</stp>
        <stp>0</stp>
        <stp>BND</stp>
        <stp>KRZF047818GH</stp>
        <stp>만기일</stp>
        <stp>46198</stp>
        <stp/>
        <tr r="CE157" s="1"/>
      </tp>
      <tp>
        <v>20320403</v>
        <stp/>
        <stp>P</stp>
        <stp>0</stp>
        <stp>BND</stp>
        <stp>KR3561027243</stp>
        <stp>만기일</stp>
        <stp>46198</stp>
        <stp/>
        <tr r="K384" s="1"/>
        <tr r="BS255" s="1"/>
      </tp>
      <tp>
        <v>20320724</v>
        <stp/>
        <stp>P</stp>
        <stp>0</stp>
        <stp>BND</stp>
        <stp>KR3561057273</stp>
        <stp>만기일</stp>
        <stp>46198</stp>
        <stp/>
        <tr r="DC303" s="1"/>
      </tp>
      <tp>
        <v>20320126</v>
        <stp/>
        <stp>P</stp>
        <stp>0</stp>
        <stp>BND</stp>
        <stp>KR3561097212</stp>
        <stp>만기일</stp>
        <stp>46198</stp>
        <stp/>
        <tr r="BS208" s="1"/>
      </tp>
      <tp>
        <v>20320116</v>
        <stp/>
        <stp>P</stp>
        <stp>0</stp>
        <stp>BND</stp>
        <stp>KR3561057216</stp>
        <stp>만기일</stp>
        <stp>46198</stp>
        <stp/>
        <tr r="DC308" s="1"/>
      </tp>
      <tp>
        <v>20320313</v>
        <stp/>
        <stp>P</stp>
        <stp>0</stp>
        <stp>BND</stp>
        <stp>KR3561027235</stp>
        <stp>만기일</stp>
        <stp>46198</stp>
        <stp/>
        <tr r="DC305" s="1"/>
      </tp>
      <tp>
        <v>20320222</v>
        <stp/>
        <stp>P</stp>
        <stp>0</stp>
        <stp>BND</stp>
        <stp>KR3561127225</stp>
        <stp>만기일</stp>
        <stp>46198</stp>
        <stp/>
        <tr r="K100" s="1"/>
        <tr r="BS269" s="1"/>
        <tr r="DC259" s="1"/>
      </tp>
      <tp>
        <v>20261210</v>
        <stp/>
        <stp>P</stp>
        <stp>0</stp>
        <stp>BND</stp>
        <stp>KRC0350C26C0</stp>
        <stp>만기일</stp>
        <stp>46198</stp>
        <stp/>
        <tr r="K157" s="1"/>
      </tp>
      <tp>
        <v>20320213</v>
        <stp/>
        <stp>P</stp>
        <stp>0</stp>
        <stp>BND</stp>
        <stp>KR3561087221</stp>
        <stp>만기일</stp>
        <stp>46198</stp>
        <stp/>
        <tr r="K91" s="1"/>
      </tp>
      <tp>
        <v>20320215</v>
        <stp/>
        <stp>P</stp>
        <stp>0</stp>
        <stp>BND</stp>
        <stp>KR3561097220</stp>
        <stp>만기일</stp>
        <stp>46198</stp>
        <stp/>
        <tr r="K352" s="1"/>
      </tp>
      <tp>
        <v>20320207</v>
        <stp/>
        <stp>P</stp>
        <stp>0</stp>
        <stp>BND</stp>
        <stp>KR3561027227</stp>
        <stp>만기일</stp>
        <stp>46198</stp>
        <stp/>
        <tr r="K98" s="1"/>
        <tr r="DC260" s="1"/>
      </tp>
      <tp>
        <v>20320924</v>
        <stp/>
        <stp>P</stp>
        <stp>0</stp>
        <stp>BND</stp>
        <stp>KR3561037291</stp>
        <stp>만기일</stp>
        <stp>46198</stp>
        <stp/>
        <tr r="DC289" s="1"/>
      </tp>
      <tp>
        <v>20320926</v>
        <stp/>
        <stp>P</stp>
        <stp>0</stp>
        <stp>BND</stp>
        <stp>KR3561047290</stp>
        <stp>만기일</stp>
        <stp>46198</stp>
        <stp/>
        <tr r="K335" s="1"/>
        <tr r="BS137" s="1"/>
      </tp>
      <tp>
        <v>20320824</v>
        <stp/>
        <stp>P</stp>
        <stp>0</stp>
        <stp>BND</stp>
        <stp>KR3561037283</stp>
        <stp>만기일</stp>
        <stp>46198</stp>
        <stp/>
        <tr r="K372" s="1"/>
        <tr r="BS267" s="1"/>
        <tr r="DC277" s="1"/>
      </tp>
      <tp>
        <v>20320810</v>
        <stp/>
        <stp>P</stp>
        <stp>0</stp>
        <stp>BND</stp>
        <stp>KR3561027284</stp>
        <stp>만기일</stp>
        <stp>46198</stp>
        <stp/>
        <tr r="DC266" s="1"/>
      </tp>
      <tp t="s">
        <v/>
        <stp/>
        <stp>P</stp>
        <stp>0</stp>
        <stp>BND</stp>
        <stp>KRZF047817GH</stp>
        <stp>만기일</stp>
        <stp>46198</stp>
        <stp/>
        <tr r="CE100" s="1"/>
      </tp>
      <tp>
        <v>20270310</v>
        <stp/>
        <stp>P</stp>
        <stp>0</stp>
        <stp>BND</stp>
        <stp>KRC0350C2736</stp>
        <stp>만기일</stp>
        <stp>46198</stp>
        <stp/>
        <tr r="K264" s="1"/>
      </tp>
      <tp>
        <v>20270910</v>
        <stp/>
        <stp>P</stp>
        <stp>0</stp>
        <stp>BND</stp>
        <stp>KRC0350C2793</stp>
        <stp>만기일</stp>
        <stp>46198</stp>
        <stp/>
        <tr r="K217" s="1"/>
      </tp>
      <tp>
        <v>20330117</v>
        <stp/>
        <stp>P</stp>
        <stp>0</stp>
        <stp>BND</stp>
        <stp>KR3561067314</stp>
        <stp>만기일</stp>
        <stp>46198</stp>
        <stp/>
        <tr r="BS281" s="1"/>
        <tr r="DC299" s="1"/>
      </tp>
      <tp>
        <v>20271210</v>
        <stp/>
        <stp>P</stp>
        <stp>0</stp>
        <stp>BND</stp>
        <stp>KRC0350C27C8</stp>
        <stp>만기일</stp>
        <stp>46198</stp>
        <stp/>
        <tr r="K225" s="1"/>
      </tp>
      <tp t="s">
        <v/>
        <stp/>
        <stp>P</stp>
        <stp>0</stp>
        <stp>BND</stp>
        <stp>KRZF047816GH</stp>
        <stp>만기일</stp>
        <stp>46198</stp>
        <stp/>
        <tr r="CE99" s="1"/>
      </tp>
      <tp>
        <v>20270309</v>
        <stp/>
        <stp>P</stp>
        <stp>0</stp>
        <stp>BND</stp>
        <stp>KR2004131539</stp>
        <stp>만기일</stp>
        <stp>46198</stp>
        <stp/>
        <tr r="K72" s="1"/>
      </tp>
      <tp t="s">
        <v/>
        <stp/>
        <stp>P</stp>
        <stp>0</stp>
        <stp>BND</stp>
        <stp>KRZF047815GH</stp>
        <stp>만기일</stp>
        <stp>46198</stp>
        <stp/>
        <tr r="CE101" s="1"/>
      </tp>
      <tp>
        <v>20300625</v>
        <stp/>
        <stp>P</stp>
        <stp>0</stp>
        <stp>BND</stp>
        <stp>KR2005041562</stp>
        <stp>만기일</stp>
        <stp>46198</stp>
        <stp/>
        <tr r="K305" s="1"/>
      </tp>
      <tp t="s">
        <v/>
        <stp/>
        <stp>P</stp>
        <stp>0</stp>
        <stp>BND</stp>
        <stp>KRZF047814GH</stp>
        <stp>만기일</stp>
        <stp>46198</stp>
        <stp/>
        <tr r="CE104" s="1"/>
      </tp>
      <tp t="s">
        <v/>
        <stp/>
        <stp>P</stp>
        <stp>0</stp>
        <stp>BND</stp>
        <stp>KRZF047813GH</stp>
        <stp>만기일</stp>
        <stp>46198</stp>
        <stp/>
        <tr r="CE103" s="1"/>
      </tp>
      <tp t="s">
        <v/>
        <stp/>
        <stp>P</stp>
        <stp>0</stp>
        <stp>BND</stp>
        <stp>KRZF047812GH</stp>
        <stp>만기일</stp>
        <stp>46198</stp>
        <stp/>
        <tr r="CE102" s="1"/>
      </tp>
      <tp t="s">
        <v/>
        <stp/>
        <stp>P</stp>
        <stp>0</stp>
        <stp>BND</stp>
        <stp>KRZS00680J7H</stp>
        <stp>만기일</stp>
        <stp>46198</stp>
        <stp/>
        <tr r="CE10" s="1"/>
      </tp>
      <tp>
        <v>20260812</v>
        <stp/>
        <stp>P</stp>
        <stp>0</stp>
        <stp>BND</stp>
        <stp>KR6029882F83</stp>
        <stp>만기일</stp>
        <stp>46198</stp>
        <stp/>
        <tr r="DC16" s="1"/>
      </tp>
      <tp>
        <v>20280221</v>
        <stp/>
        <stp>P</stp>
        <stp>0</stp>
        <stp>BND</stp>
        <stp>KR6029272F24</stp>
        <stp>만기일</stp>
        <stp>46198</stp>
        <stp/>
        <tr r="EA14" s="1"/>
      </tp>
      <tp>
        <v>20280414</v>
        <stp/>
        <stp>P</stp>
        <stp>0</stp>
        <stp>BND</stp>
        <stp>KR6129552F49</stp>
        <stp>만기일</stp>
        <stp>46198</stp>
        <stp/>
        <tr r="CQ26" s="1"/>
      </tp>
      <tp>
        <v>20280526</v>
        <stp/>
        <stp>P</stp>
        <stp>0</stp>
        <stp>BND</stp>
        <stp>KR6029692F59</stp>
        <stp>만기일</stp>
        <stp>46198</stp>
        <stp/>
        <tr r="CQ27" s="1"/>
      </tp>
      <tp>
        <v>20260707</v>
        <stp/>
        <stp>P</stp>
        <stp>0</stp>
        <stp>BND</stp>
        <stp>KR6029692F18</stp>
        <stp>만기일</stp>
        <stp>46198</stp>
        <stp/>
        <tr r="CE148" s="1"/>
      </tp>
      <tp>
        <v>20290115</v>
        <stp/>
        <stp>P</stp>
        <stp>0</stp>
        <stp>BND</stp>
        <stp>KR6029882F18</stp>
        <stp>만기일</stp>
        <stp>46198</stp>
        <stp/>
        <tr r="K376" s="1"/>
      </tp>
      <tp>
        <v>20280915</v>
        <stp/>
        <stp>P</stp>
        <stp>0</stp>
        <stp>BND</stp>
        <stp>KR6029692F91</stp>
        <stp>만기일</stp>
        <stp>46198</stp>
        <stp/>
        <tr r="CQ37" s="1"/>
      </tp>
      <tp>
        <v>20280407</v>
        <stp/>
        <stp>P</stp>
        <stp>0</stp>
        <stp>BND</stp>
        <stp>KR6019801G40</stp>
        <stp>만기일</stp>
        <stp>46198</stp>
        <stp/>
        <tr r="K108" s="1"/>
      </tp>
      <tp>
        <v>20270115</v>
        <stp/>
        <stp>P</stp>
        <stp>0</stp>
        <stp>BND</stp>
        <stp>KR6169376E73</stp>
        <stp>만기일</stp>
        <stp>46198</stp>
        <stp/>
        <tr r="DC53" s="1"/>
      </tp>
      <tp>
        <v>20261028</v>
        <stp/>
        <stp>P</stp>
        <stp>0</stp>
        <stp>BND</stp>
        <stp>KR6095239F35</stp>
        <stp>만기일</stp>
        <stp>46198</stp>
        <stp/>
        <tr r="CE35" s="1"/>
      </tp>
      <tp>
        <v>20270910</v>
        <stp/>
        <stp>P</stp>
        <stp>0</stp>
        <stp>BND</stp>
        <stp>KR6016361E99</stp>
        <stp>만기일</stp>
        <stp>46198</stp>
        <stp/>
        <tr r="DC94" s="1"/>
      </tp>
      <tp>
        <v>20270825</v>
        <stp/>
        <stp>P</stp>
        <stp>0</stp>
        <stp>BND</stp>
        <stp>KR6145764F80</stp>
        <stp>만기일</stp>
        <stp>46198</stp>
        <stp/>
        <tr r="BS235" s="1"/>
      </tp>
      <tp>
        <v>20281207</v>
        <stp/>
        <stp>P</stp>
        <stp>0</stp>
        <stp>BND</stp>
        <stp>KR6214341FC5</stp>
        <stp>만기일</stp>
        <stp>46198</stp>
        <stp/>
        <tr r="BS65" s="1"/>
      </tp>
      <tp>
        <v>20290309</v>
        <stp/>
        <stp>P</stp>
        <stp>0</stp>
        <stp>BND</stp>
        <stp>KR6145764G30</stp>
        <stp>만기일</stp>
        <stp>46198</stp>
        <stp/>
        <tr r="DC112" s="1"/>
      </tp>
      <tp>
        <v>20280410</v>
        <stp/>
        <stp>P</stp>
        <stp>0</stp>
        <stp>BND</stp>
        <stp>KR6174147F47</stp>
        <stp>만기일</stp>
        <stp>46198</stp>
        <stp/>
        <tr r="K171" s="1"/>
      </tp>
      <tp>
        <v>20260918</v>
        <stp/>
        <stp>P</stp>
        <stp>0</stp>
        <stp>BND</stp>
        <stp>KR6065906D99</stp>
        <stp>만기일</stp>
        <stp>46198</stp>
        <stp/>
        <tr r="CE153" s="1"/>
      </tp>
      <tp>
        <v>20270512</v>
        <stp/>
        <stp>P</stp>
        <stp>0</stp>
        <stp>BND</stp>
        <stp>KR6316141G56</stp>
        <stp>만기일</stp>
        <stp>46198</stp>
        <stp/>
        <tr r="K41" s="1"/>
      </tp>
      <tp>
        <v>20271119</v>
        <stp/>
        <stp>P</stp>
        <stp>0</stp>
        <stp>BND</stp>
        <stp>KR6046294FB2</stp>
        <stp>만기일</stp>
        <stp>46198</stp>
        <stp/>
        <tr r="CQ20" s="1"/>
      </tp>
      <tp>
        <v>20261007</v>
        <stp/>
        <stp>P</stp>
        <stp>0</stp>
        <stp>BND</stp>
        <stp>KR6145764EA9</stp>
        <stp>만기일</stp>
        <stp>46198</stp>
        <stp/>
        <tr r="BS167" s="1"/>
      </tp>
      <tp>
        <v>20291018</v>
        <stp/>
        <stp>P</stp>
        <stp>0</stp>
        <stp>BND</stp>
        <stp>KR6095929EA8</stp>
        <stp>만기일</stp>
        <stp>46198</stp>
        <stp/>
        <tr r="K173" s="1"/>
      </tp>
      <tp>
        <v>20290323</v>
        <stp/>
        <stp>P</stp>
        <stp>0</stp>
        <stp>BND</stp>
        <stp>KR6097249G38</stp>
        <stp>만기일</stp>
        <stp>46198</stp>
        <stp/>
        <tr r="DC165" s="1"/>
      </tp>
      <tp>
        <v>20280728</v>
        <stp/>
        <stp>P</stp>
        <stp>0</stp>
        <stp>BND</stp>
        <stp>KR6046294F71</stp>
        <stp>만기일</stp>
        <stp>46198</stp>
        <stp/>
        <tr r="CQ56" s="1"/>
      </tp>
      <tp>
        <v>20300910</v>
        <stp/>
        <stp>P</stp>
        <stp>0</stp>
        <stp>BND</stp>
        <stp>KR6034733D94</stp>
        <stp>만기일</stp>
        <stp>46198</stp>
        <stp/>
        <tr r="K280" s="1"/>
      </tp>
      <tp>
        <v>20260902</v>
        <stp/>
        <stp>P</stp>
        <stp>0</stp>
        <stp>BND</stp>
        <stp>KR6145764E81</stp>
        <stp>만기일</stp>
        <stp>46198</stp>
        <stp/>
        <tr r="CE50" s="1"/>
      </tp>
      <tp>
        <v>20270709</v>
        <stp/>
        <stp>P</stp>
        <stp>0</stp>
        <stp>BND</stp>
        <stp>KR6032713E75</stp>
        <stp>만기일</stp>
        <stp>46198</stp>
        <stp/>
        <tr r="K103" s="1"/>
      </tp>
      <tp>
        <v>20280114</v>
        <stp/>
        <stp>P</stp>
        <stp>0</stp>
        <stp>BND</stp>
        <stp>KR6421092F13</stp>
        <stp>만기일</stp>
        <stp>46198</stp>
        <stp/>
        <tr r="K149" s="1"/>
      </tp>
      <tp>
        <v>20260626</v>
        <stp/>
        <stp>P</stp>
        <stp>0</stp>
        <stp>BND</stp>
        <stp>KR6012451E65</stp>
        <stp>만기일</stp>
        <stp>46198</stp>
        <stp/>
        <tr r="CE40" s="1"/>
      </tp>
      <tp>
        <v>20290402</v>
        <stp/>
        <stp>P</stp>
        <stp>0</stp>
        <stp>BND</stp>
        <stp>KR6032713E42</stp>
        <stp>만기일</stp>
        <stp>46198</stp>
        <stp/>
        <tr r="K265" s="1"/>
      </tp>
      <tp>
        <v>20280407</v>
        <stp/>
        <stp>P</stp>
        <stp>0</stp>
        <stp>BND</stp>
        <stp>KR6030753G45</stp>
        <stp>만기일</stp>
        <stp>46198</stp>
        <stp/>
        <tr r="DC70" s="1"/>
      </tp>
      <tp>
        <v>20270430</v>
        <stp/>
        <stp>P</stp>
        <stp>0</stp>
        <stp>BND</stp>
        <stp>KR6011911F45</stp>
        <stp>만기일</stp>
        <stp>46198</stp>
        <stp/>
        <tr r="BS50" s="1"/>
      </tp>
      <tp>
        <v>20271105</v>
        <stp/>
        <stp>P</stp>
        <stp>0</stp>
        <stp>BND</stp>
        <stp>KR6023782EB6</stp>
        <stp>만기일</stp>
        <stp>46198</stp>
        <stp/>
        <tr r="K137" s="1"/>
      </tp>
      <tp>
        <v>20271209</v>
        <stp/>
        <stp>P</stp>
        <stp>0</stp>
        <stp>BND</stp>
        <stp>KR6033663EC4</stp>
        <stp>만기일</stp>
        <stp>46198</stp>
        <stp/>
        <tr r="DC121" s="1"/>
      </tp>
      <tp>
        <v>20280605</v>
        <stp/>
        <stp>P</stp>
        <stp>0</stp>
        <stp>BND</stp>
        <stp>KR6032713D68</stp>
        <stp>만기일</stp>
        <stp>46198</stp>
        <stp/>
        <tr r="K106" s="1"/>
      </tp>
      <tp>
        <v>20260911</v>
        <stp/>
        <stp>P</stp>
        <stp>0</stp>
        <stp>BND</stp>
        <stp>KR6033663E32</stp>
        <stp>만기일</stp>
        <stp>46198</stp>
        <stp/>
        <tr r="BS179" s="1"/>
      </tp>
      <tp>
        <v>20280925</v>
        <stp/>
        <stp>P</stp>
        <stp>0</stp>
        <stp>BND</stp>
        <stp>KR6140174F85</stp>
        <stp>만기일</stp>
        <stp>46198</stp>
        <stp/>
        <tr r="K202" s="1"/>
      </tp>
      <tp>
        <v>20271008</v>
        <stp/>
        <stp>P</stp>
        <stp>0</stp>
        <stp>BND</stp>
        <stp>KR6021962G41</stp>
        <stp>만기일</stp>
        <stp>46198</stp>
        <stp/>
        <tr r="K102" s="1"/>
      </tp>
      <tp>
        <v>20281027</v>
        <stp/>
        <stp>P</stp>
        <stp>0</stp>
        <stp>BND</stp>
        <stp>KR6131793DA6</stp>
        <stp>만기일</stp>
        <stp>46198</stp>
        <stp/>
        <tr r="K279" s="1"/>
      </tp>
      <tp>
        <v>20290903</v>
        <stp/>
        <stp>P</stp>
        <stp>0</stp>
        <stp>BND</stp>
        <stp>KR6010951E98</stp>
        <stp>만기일</stp>
        <stp>46198</stp>
        <stp/>
        <tr r="K186" s="1"/>
      </tp>
      <tp>
        <v>20290227</v>
        <stp/>
        <stp>P</stp>
        <stp>0</stp>
        <stp>BND</stp>
        <stp>KR6030203E27</stp>
        <stp>만기일</stp>
        <stp>46198</stp>
        <stp/>
        <tr r="K16" s="1"/>
      </tp>
      <tp>
        <v>20280113</v>
        <stp/>
        <stp>P</stp>
        <stp>0</stp>
        <stp>BND</stp>
        <stp>KR6033663F56</stp>
        <stp>만기일</stp>
        <stp>46198</stp>
        <stp/>
        <tr r="BS242" s="1"/>
      </tp>
      <tp>
        <v>20280328</v>
        <stp/>
        <stp>P</stp>
        <stp>0</stp>
        <stp>BND</stp>
        <stp>KR6140174D38</stp>
        <stp>만기일</stp>
        <stp>46198</stp>
        <stp/>
        <tr r="K317" s="1"/>
      </tp>
      <tp>
        <v>20280130</v>
        <stp/>
        <stp>P</stp>
        <stp>0</stp>
        <stp>BND</stp>
        <stp>KR6030203816</stp>
        <stp>만기일</stp>
        <stp>46198</stp>
        <stp/>
        <tr r="K69" s="1"/>
      </tp>
      <tp>
        <v>20291204</v>
        <stp/>
        <stp>P</stp>
        <stp>0</stp>
        <stp>BND</stp>
        <stp>KR63161419C1</stp>
        <stp>만기일</stp>
        <stp>46198</stp>
        <stp/>
        <tr r="EA66" s="1"/>
      </tp>
      <tp>
        <v>20270906</v>
        <stp/>
        <stp>P</stp>
        <stp>0</stp>
        <stp>BND</stp>
        <stp>KR6316141995</stp>
        <stp>만기일</stp>
        <stp>46198</stp>
        <stp/>
        <tr r="EA46" s="1"/>
      </tp>
      <tp>
        <v>20280608</v>
        <stp/>
        <stp>P</stp>
        <stp>0</stp>
        <stp>BND</stp>
        <stp>KR6034733867</stp>
        <stp>만기일</stp>
        <stp>46198</stp>
        <stp/>
        <tr r="K174" s="1"/>
      </tp>
      <tp>
        <v>20280906</v>
        <stp/>
        <stp>P</stp>
        <stp>0</stp>
        <stp>BND</stp>
        <stp>KR6034733891</stp>
        <stp>만기일</stp>
        <stp>46198</stp>
        <stp/>
        <tr r="W42" s="1"/>
        <tr r="K257" s="1"/>
      </tp>
      <tp>
        <v>20360910</v>
        <stp/>
        <stp>P</stp>
        <stp>0</stp>
        <stp>BND</stp>
        <stp>KRC0350C3692</stp>
        <stp>만기일</stp>
        <stp>46198</stp>
        <stp/>
        <tr r="K269" s="1"/>
      </tp>
      <tp>
        <v>20370310</v>
        <stp/>
        <stp>P</stp>
        <stp>0</stp>
        <stp>BND</stp>
        <stp>KRC0350C3734</stp>
        <stp>만기일</stp>
        <stp>46198</stp>
        <stp/>
        <tr r="K271" s="1"/>
      </tp>
      <tp>
        <v>20340310</v>
        <stp/>
        <stp>P</stp>
        <stp>0</stp>
        <stp>BND</stp>
        <stp>KRC0350C3437</stp>
        <stp>만기일</stp>
        <stp>46198</stp>
        <stp/>
        <tr r="K263" s="1"/>
        <tr r="BS152" s="1"/>
      </tp>
      <tp>
        <v>20340910</v>
        <stp/>
        <stp>P</stp>
        <stp>0</stp>
        <stp>BND</stp>
        <stp>KRC0350C3494</stp>
        <stp>만기일</stp>
        <stp>46198</stp>
        <stp/>
        <tr r="K262" s="1"/>
      </tp>
      <tp>
        <v>20281030</v>
        <stp/>
        <stp>P</stp>
        <stp>0</stp>
        <stp>BND</stp>
        <stp>KR61380938A3</stp>
        <stp>만기일</stp>
        <stp>46198</stp>
        <stp/>
        <tr r="K210" s="1"/>
      </tp>
      <tp>
        <v>20350910</v>
        <stp/>
        <stp>P</stp>
        <stp>0</stp>
        <stp>BND</stp>
        <stp>KRC0350C3593</stp>
        <stp>만기일</stp>
        <stp>46198</stp>
        <stp/>
        <tr r="DC287" s="1"/>
      </tp>
      <tp t="s">
        <v/>
        <stp/>
        <stp>P</stp>
        <stp>0</stp>
        <stp>BND</stp>
        <stp>KR70000Y0004</stp>
        <stp>만기일</stp>
        <stp>46198</stp>
        <stp/>
        <tr r="EA11" s="1"/>
      </tp>
      <tp>
        <v>20260807</v>
        <stp/>
        <stp>P</stp>
        <stp>0</stp>
        <stp>BND</stp>
        <stp>KR6029692987</stp>
        <stp>만기일</stp>
        <stp>46198</stp>
        <stp/>
        <tr r="CE70" s="1"/>
      </tp>
      <tp t="s">
        <v/>
        <stp/>
        <stp>P</stp>
        <stp>0</stp>
        <stp>BND</stp>
        <stp>KRZS45714298</stp>
        <stp>만기일</stp>
        <stp>46198</stp>
        <stp/>
        <tr r="CE12" s="1"/>
      </tp>
      <tp t="s">
        <v/>
        <stp/>
        <stp>P</stp>
        <stp>0</stp>
        <stp>BND</stp>
        <stp>KRZS45714280</stp>
        <stp>만기일</stp>
        <stp>46198</stp>
        <stp/>
        <tr r="CE85" s="1"/>
      </tp>
      <tp>
        <v>20320910</v>
        <stp/>
        <stp>P</stp>
        <stp>0</stp>
        <stp>BND</stp>
        <stp>KRC0350C3296</stp>
        <stp>만기일</stp>
        <stp>46198</stp>
        <stp/>
        <tr r="BS155" s="1"/>
      </tp>
      <tp>
        <v>20330310</v>
        <stp/>
        <stp>P</stp>
        <stp>0</stp>
        <stp>BND</stp>
        <stp>KRC0350C3338</stp>
        <stp>만기일</stp>
        <stp>46198</stp>
        <stp/>
        <tr r="K259" s="1"/>
      </tp>
      <tp>
        <v>20330910</v>
        <stp/>
        <stp>P</stp>
        <stp>0</stp>
        <stp>BND</stp>
        <stp>KRC0350C3395</stp>
        <stp>만기일</stp>
        <stp>46198</stp>
        <stp/>
        <tr r="BS280" s="1"/>
      </tp>
      <tp>
        <v>20301210</v>
        <stp/>
        <stp>P</stp>
        <stp>0</stp>
        <stp>BND</stp>
        <stp>KRC035FP30C4</stp>
        <stp>만기일</stp>
        <stp>46198</stp>
        <stp/>
        <tr r="W32" s="1"/>
      </tp>
      <tp>
        <v>20300610</v>
        <stp/>
        <stp>P</stp>
        <stp>0</stp>
        <stp>BND</stp>
        <stp>KRC0350C3064</stp>
        <stp>만기일</stp>
        <stp>46198</stp>
        <stp/>
        <tr r="K292" s="1"/>
      </tp>
      <tp>
        <v>20300310</v>
        <stp/>
        <stp>P</stp>
        <stp>0</stp>
        <stp>BND</stp>
        <stp>KRC0350C3031</stp>
        <stp>만기일</stp>
        <stp>46198</stp>
        <stp/>
        <tr r="K70" s="1"/>
      </tp>
      <tp>
        <v>20300910</v>
        <stp/>
        <stp>P</stp>
        <stp>0</stp>
        <stp>BND</stp>
        <stp>KRC0350C3098</stp>
        <stp>만기일</stp>
        <stp>46198</stp>
        <stp/>
        <tr r="BS268" s="1"/>
        <tr r="W31" s="1"/>
        <tr r="K34" s="1"/>
        <tr r="DC243" s="1"/>
      </tp>
      <tp>
        <v>20310610</v>
        <stp/>
        <stp>P</stp>
        <stp>0</stp>
        <stp>BND</stp>
        <stp>KRC0350C3163</stp>
        <stp>만기일</stp>
        <stp>46198</stp>
        <stp/>
        <tr r="K251" s="1"/>
      </tp>
      <tp>
        <v>20310310</v>
        <stp/>
        <stp>P</stp>
        <stp>0</stp>
        <stp>BND</stp>
        <stp>KRC0350C3130</stp>
        <stp>만기일</stp>
        <stp>46198</stp>
        <stp/>
        <tr r="K250" s="1"/>
      </tp>
      <tp>
        <v>20310910</v>
        <stp/>
        <stp>P</stp>
        <stp>0</stp>
        <stp>BND</stp>
        <stp>KRC0350C3197</stp>
        <stp>만기일</stp>
        <stp>46198</stp>
        <stp/>
        <tr r="BS274" s="1"/>
        <tr r="DC267" s="1"/>
      </tp>
      <tp>
        <v>20311210</v>
        <stp/>
        <stp>P</stp>
        <stp>0</stp>
        <stp>BND</stp>
        <stp>KRC0350C31C0</stp>
        <stp>만기일</stp>
        <stp>46198</stp>
        <stp/>
        <tr r="DC284" s="1"/>
      </tp>
      <tp>
        <v>20271223</v>
        <stp/>
        <stp>P</stp>
        <stp>0</stp>
        <stp>BND</stp>
        <stp>KR6079318F41</stp>
        <stp>만기일</stp>
        <stp>46198</stp>
        <stp/>
        <tr r="BS238" s="1"/>
      </tp>
      <tp>
        <v>20270423</v>
        <stp/>
        <stp>P</stp>
        <stp>0</stp>
        <stp>BND</stp>
        <stp>KR6169379EA7</stp>
        <stp>만기일</stp>
        <stp>46198</stp>
        <stp/>
        <tr r="DC55" s="1"/>
      </tp>
      <tp>
        <v>20260824</v>
        <stp/>
        <stp>P</stp>
        <stp>0</stp>
        <stp>BND</stp>
        <stp>KR6169379E54</stp>
        <stp>만기일</stp>
        <stp>46198</stp>
        <stp/>
        <tr r="CE47" s="1"/>
      </tp>
      <tp>
        <v>20301030</v>
        <stp/>
        <stp>P</stp>
        <stp>0</stp>
        <stp>BND</stp>
        <stp>KR6065909FA3</stp>
        <stp>만기일</stp>
        <stp>46198</stp>
        <stp/>
        <tr r="EA61" s="1"/>
      </tp>
      <tp>
        <v>20281010</v>
        <stp/>
        <stp>P</stp>
        <stp>0</stp>
        <stp>BND</stp>
        <stp>KR6174148F46</stp>
        <stp>만기일</stp>
        <stp>46198</stp>
        <stp/>
        <tr r="DC135" s="1"/>
      </tp>
      <tp>
        <v>20280121</v>
        <stp/>
        <stp>P</stp>
        <stp>0</stp>
        <stp>BND</stp>
        <stp>KR6097246F73</stp>
        <stp>만기일</stp>
        <stp>46198</stp>
        <stp/>
        <tr r="BS243" s="1"/>
      </tp>
      <tp>
        <v>20260911</v>
        <stp/>
        <stp>P</stp>
        <stp>0</stp>
        <stp>BND</stp>
        <stp>KR6174148E96</stp>
        <stp>만기일</stp>
        <stp>46198</stp>
        <stp/>
        <tr r="CE64" s="1"/>
      </tp>
      <tp>
        <v>20280121</v>
        <stp/>
        <stp>P</stp>
        <stp>0</stp>
        <stp>BND</stp>
        <stp>KR6079319F40</stp>
        <stp>만기일</stp>
        <stp>46198</stp>
        <stp/>
        <tr r="DC162" s="1"/>
      </tp>
      <tp>
        <v>20260730</v>
        <stp/>
        <stp>P</stp>
        <stp>0</stp>
        <stp>BND</stp>
        <stp>KR6079319E58</stp>
        <stp>만기일</stp>
        <stp>46198</stp>
        <stp/>
        <tr r="BS176" s="1"/>
      </tp>
      <tp>
        <v>20280526</v>
        <stp/>
        <stp>P</stp>
        <stp>0</stp>
        <stp>BND</stp>
        <stp>KR6174149G51</stp>
        <stp>만기일</stp>
        <stp>46198</stp>
        <stp/>
        <tr r="DC85" s="1"/>
      </tp>
      <tp>
        <v>20260821</v>
        <stp/>
        <stp>P</stp>
        <stp>0</stp>
        <stp>BND</stp>
        <stp>KR6097247D58</stp>
        <stp>만기일</stp>
        <stp>46198</stp>
        <stp/>
        <tr r="CE151" s="1"/>
      </tp>
      <tp>
        <v>20260724</v>
        <stp/>
        <stp>P</stp>
        <stp>0</stp>
        <stp>BND</stp>
        <stp>KR6097247E16</stp>
        <stp>만기일</stp>
        <stp>46198</stp>
        <stp/>
        <tr r="CE45" s="1"/>
      </tp>
      <tp>
        <v>20270924</v>
        <stp/>
        <stp>P</stp>
        <stp>0</stp>
        <stp>BND</stp>
        <stp>KR6065908G37</stp>
        <stp>만기일</stp>
        <stp>46198</stp>
        <stp/>
        <tr r="K101" s="1"/>
      </tp>
      <tp>
        <v>20280929</v>
        <stp/>
        <stp>P</stp>
        <stp>0</stp>
        <stp>BND</stp>
        <stp>KR6097247FA0</stp>
        <stp>만기일</stp>
        <stp>46198</stp>
        <stp/>
        <tr r="K191" s="1"/>
      </tp>
      <tp>
        <v>20290223</v>
        <stp/>
        <stp>P</stp>
        <stp>0</stp>
        <stp>BND</stp>
        <stp>KR6097247G30</stp>
        <stp>만기일</stp>
        <stp>46198</stp>
        <stp/>
        <tr r="BS35" s="1"/>
      </tp>
      <tp>
        <v>20280721</v>
        <stp/>
        <stp>P</stp>
        <stp>0</stp>
        <stp>BND</stp>
        <stp>KR6095234F71</stp>
        <stp>만기일</stp>
        <stp>46198</stp>
        <stp/>
        <tr r="CQ25" s="1"/>
      </tp>
      <tp>
        <v>20270630</v>
        <stp/>
        <stp>P</stp>
        <stp>0</stp>
        <stp>BND</stp>
        <stp>KR6097244EC6</stp>
        <stp>만기일</stp>
        <stp>46198</stp>
        <stp/>
        <tr r="DC64" s="1"/>
      </tp>
      <tp>
        <v>20281124</v>
        <stp/>
        <stp>P</stp>
        <stp>0</stp>
        <stp>BND</stp>
        <stp>KR6140179BB9</stp>
        <stp>만기일</stp>
        <stp>46198</stp>
        <stp/>
        <tr r="K67" s="1"/>
      </tp>
      <tp>
        <v>20270625</v>
        <stp/>
        <stp>P</stp>
        <stp>0</stp>
        <stp>BND</stp>
        <stp>KR6097244F67</stp>
        <stp>만기일</stp>
        <stp>46198</stp>
        <stp/>
        <tr r="DC92" s="1"/>
      </tp>
      <tp>
        <v>20280707</v>
        <stp/>
        <stp>P</stp>
        <stp>0</stp>
        <stp>BND</stp>
        <stp>KR6095924D78</stp>
        <stp>만기일</stp>
        <stp>46198</stp>
        <stp/>
        <tr r="BS84" s="1"/>
      </tp>
      <tp>
        <v>20270820</v>
        <stp/>
        <stp>P</stp>
        <stp>0</stp>
        <stp>BND</stp>
        <stp>KR6046299F27</stp>
        <stp>만기일</stp>
        <stp>46198</stp>
        <stp/>
        <tr r="CQ43" s="1"/>
      </tp>
      <tp>
        <v>20281222</v>
        <stp/>
        <stp>P</stp>
        <stp>0</stp>
        <stp>BND</stp>
        <stp>KR6097244G17</stp>
        <stp>만기일</stp>
        <stp>46198</stp>
        <stp/>
        <tr r="DC120" s="1"/>
      </tp>
      <tp>
        <v>20260903</v>
        <stp/>
        <stp>P</stp>
        <stp>0</stp>
        <stp>BND</stp>
        <stp>KR6097244B95</stp>
        <stp>만기일</stp>
        <stp>46198</stp>
        <stp/>
        <tr r="BS196" s="1"/>
      </tp>
      <tp t="s">
        <v/>
        <stp/>
        <stp>P</stp>
        <stp>0</stp>
        <stp>BND</stp>
        <stp>KRZS42059126</stp>
        <stp>만기일</stp>
        <stp>46198</stp>
        <stp/>
        <tr r="CE25" s="1"/>
      </tp>
      <tp>
        <v>20281226</v>
        <stp/>
        <stp>P</stp>
        <stp>0</stp>
        <stp>BND</stp>
        <stp>KR6145768FC3</stp>
        <stp>만기일</stp>
        <stp>46198</stp>
        <stp/>
        <tr r="BS81" s="1"/>
        <tr r="DO11" s="1"/>
      </tp>
      <tp>
        <v>20270930</v>
        <stp/>
        <stp>P</stp>
        <stp>0</stp>
        <stp>BND</stp>
        <stp>KR6097245EC3</stp>
        <stp>만기일</stp>
        <stp>46198</stp>
        <stp/>
        <tr r="K120" s="1"/>
      </tp>
      <tp>
        <v>20270910</v>
        <stp/>
        <stp>P</stp>
        <stp>0</stp>
        <stp>BND</stp>
        <stp>KR6095925E92</stp>
        <stp>만기일</stp>
        <stp>46198</stp>
        <stp/>
        <tr r="BS228" s="1"/>
      </tp>
      <tp>
        <v>20260923</v>
        <stp/>
        <stp>P</stp>
        <stp>0</stp>
        <stp>BND</stp>
        <stp>KR6082974D91</stp>
        <stp>만기일</stp>
        <stp>46198</stp>
        <stp/>
        <tr r="CE29" s="1"/>
      </tp>
      <tp>
        <v>20270512</v>
        <stp/>
        <stp>P</stp>
        <stp>0</stp>
        <stp>BND</stp>
        <stp>KR6086794C59</stp>
        <stp>만기일</stp>
        <stp>46198</stp>
        <stp/>
        <tr r="K96" s="1"/>
      </tp>
      <tp>
        <v>20300423</v>
        <stp/>
        <stp>P</stp>
        <stp>0</stp>
        <stp>BND</stp>
        <stp>KR6029889F45</stp>
        <stp>만기일</stp>
        <stp>46198</stp>
        <stp/>
        <tr r="EA60" s="1"/>
      </tp>
      <tp>
        <v>20280113</v>
        <stp/>
        <stp>P</stp>
        <stp>0</stp>
        <stp>BND</stp>
        <stp>KR6095922F11</stp>
        <stp>만기일</stp>
        <stp>46198</stp>
        <stp/>
        <tr r="K150" s="1"/>
      </tp>
      <tp>
        <v>20280211</v>
        <stp/>
        <stp>P</stp>
        <stp>0</stp>
        <stp>BND</stp>
        <stp>KR6097952D20</stp>
        <stp>만기일</stp>
        <stp>46198</stp>
        <stp/>
        <tr r="K118" s="1"/>
      </tp>
      <tp>
        <v>20280426</v>
        <stp/>
        <stp>P</stp>
        <stp>0</stp>
        <stp>BND</stp>
        <stp>KR6096772D46</stp>
        <stp>만기일</stp>
        <stp>46198</stp>
        <stp/>
        <tr r="K270" s="1"/>
      </tp>
      <tp>
        <v>20261211</v>
        <stp/>
        <stp>P</stp>
        <stp>0</stp>
        <stp>BND</stp>
        <stp>KR6097242FB9</stp>
        <stp>만기일</stp>
        <stp>46198</stp>
        <stp/>
        <tr r="CE65" s="1"/>
      </tp>
      <tp>
        <v>20281030</v>
        <stp/>
        <stp>P</stp>
        <stp>0</stp>
        <stp>BND</stp>
        <stp>KR6086793FA6</stp>
        <stp>만기일</stp>
        <stp>46198</stp>
        <stp/>
        <tr r="K310" s="1"/>
      </tp>
      <tp>
        <v>20280428</v>
        <stp/>
        <stp>P</stp>
        <stp>0</stp>
        <stp>BND</stp>
        <stp>KR6096772F44</stp>
        <stp>만기일</stp>
        <stp>46198</stp>
        <stp/>
        <tr r="DC131" s="1"/>
      </tp>
      <tp>
        <v>20300218</v>
        <stp/>
        <stp>P</stp>
        <stp>0</stp>
        <stp>BND</stp>
        <stp>KR6086793F24</stp>
        <stp>만기일</stp>
        <stp>46198</stp>
        <stp/>
        <tr r="EA54" s="1"/>
      </tp>
      <tp>
        <v>20260717</v>
        <stp/>
        <stp>P</stp>
        <stp>0</stp>
        <stp>BND</stp>
        <stp>KR6095922E79</stp>
        <stp>만기일</stp>
        <stp>46198</stp>
        <stp/>
        <tr r="BS170" s="1"/>
      </tp>
      <tp>
        <v>20280904</v>
        <stp/>
        <stp>P</stp>
        <stp>0</stp>
        <stp>BND</stp>
        <stp>KR6096772F93</stp>
        <stp>만기일</stp>
        <stp>46198</stp>
        <stp/>
        <tr r="EA49" s="1"/>
      </tp>
      <tp>
        <v>20260626</v>
        <stp/>
        <stp>P</stp>
        <stp>0</stp>
        <stp>BND</stp>
        <stp>KR6093052D69</stp>
        <stp>만기일</stp>
        <stp>46198</stp>
        <stp/>
        <tr r="K320" s="1"/>
      </tp>
      <tp>
        <v>20270525</v>
        <stp/>
        <stp>P</stp>
        <stp>0</stp>
        <stp>BND</stp>
        <stp>KR6032718D55</stp>
        <stp>만기일</stp>
        <stp>46198</stp>
        <stp/>
        <tr r="DC255" s="1"/>
      </tp>
      <tp>
        <v>20300315</v>
        <stp/>
        <stp>P</stp>
        <stp>0</stp>
        <stp>BND</stp>
        <stp>KR6032718F38</stp>
        <stp>만기일</stp>
        <stp>46198</stp>
        <stp/>
        <tr r="EA57" s="1"/>
      </tp>
      <tp>
        <v>20271208</v>
        <stp/>
        <stp>P</stp>
        <stp>0</stp>
        <stp>BND</stp>
        <stp>KR60867937C5</stp>
        <stp>만기일</stp>
        <stp>46198</stp>
        <stp/>
        <tr r="K256" s="1"/>
        <tr r="DC269" s="1"/>
      </tp>
      <tp>
        <v>20260909</v>
        <stp/>
        <stp>P</stp>
        <stp>0</stp>
        <stp>BND</stp>
        <stp>KR6089862B93</stp>
        <stp>만기일</stp>
        <stp>46198</stp>
        <stp/>
        <tr r="CE74" s="1"/>
      </tp>
      <tp>
        <v>20270122</v>
        <stp/>
        <stp>P</stp>
        <stp>0</stp>
        <stp>BND</stp>
        <stp>KR6089862F16</stp>
        <stp>만기일</stp>
        <stp>46198</stp>
        <stp/>
        <tr r="CQ54" s="1"/>
      </tp>
      <tp>
        <v>20290209</v>
        <stp/>
        <stp>P</stp>
        <stp>0</stp>
        <stp>BND</stp>
        <stp>KR6489792G20</stp>
        <stp>만기일</stp>
        <stp>46198</stp>
        <stp/>
        <tr r="CQ23" s="1"/>
      </tp>
      <tp>
        <v>20280131</v>
        <stp/>
        <stp>P</stp>
        <stp>0</stp>
        <stp>BND</stp>
        <stp>KR6285132F14</stp>
        <stp>만기일</stp>
        <stp>46198</stp>
        <stp/>
        <tr r="EA37" s="1"/>
      </tp>
      <tp>
        <v>20300426</v>
        <stp/>
        <stp>P</stp>
        <stp>0</stp>
        <stp>BND</stp>
        <stp>KR6096773D45</stp>
        <stp>만기일</stp>
        <stp>46198</stp>
        <stp/>
        <tr r="K287" s="1"/>
      </tp>
      <tp>
        <v>20290504</v>
        <stp/>
        <stp>P</stp>
        <stp>0</stp>
        <stp>BND</stp>
        <stp>KR6095923G50</stp>
        <stp>만기일</stp>
        <stp>46198</stp>
        <stp/>
        <tr r="DC77" s="1"/>
      </tp>
      <tp>
        <v>20290430</v>
        <stp/>
        <stp>P</stp>
        <stp>0</stp>
        <stp>BND</stp>
        <stp>KR6086792G40</stp>
        <stp>만기일</stp>
        <stp>46198</stp>
        <stp/>
        <tr r="BS42" s="1"/>
      </tp>
      <tp>
        <v>20270528</v>
        <stp/>
        <stp>P</stp>
        <stp>0</stp>
        <stp>BND</stp>
        <stp>KR6095923E52</stp>
        <stp>만기일</stp>
        <stp>46198</stp>
        <stp/>
        <tr r="BS175" s="1"/>
      </tp>
      <tp>
        <v>20270409</v>
        <stp/>
        <stp>P</stp>
        <stp>0</stp>
        <stp>BND</stp>
        <stp>KR6095923E45</stp>
        <stp>만기일</stp>
        <stp>46198</stp>
        <stp/>
        <tr r="K274" s="1"/>
      </tp>
      <tp>
        <v>20270406</v>
        <stp/>
        <stp>P</stp>
        <stp>0</stp>
        <stp>BND</stp>
        <stp>KR6086792C44</stp>
        <stp>만기일</stp>
        <stp>46198</stp>
        <stp/>
        <tr r="BS148" s="1"/>
      </tp>
      <tp>
        <v>20280118</v>
        <stp/>
        <stp>P</stp>
        <stp>0</stp>
        <stp>BND</stp>
        <stp>KR6082972F75</stp>
        <stp>만기일</stp>
        <stp>46198</stp>
        <stp/>
        <tr r="DC130" s="1"/>
      </tp>
      <tp t="s">
        <v/>
        <stp/>
        <stp>P</stp>
        <stp>0</stp>
        <stp>BND</stp>
        <stp>KRZS27908054</stp>
        <stp>만기일</stp>
        <stp>46198</stp>
        <stp/>
        <tr r="CE15" s="1"/>
      </tp>
      <tp t="s">
        <v/>
        <stp/>
        <stp>P</stp>
        <stp>0</stp>
        <stp>BND</stp>
        <stp>KRZF03949YF9</stp>
        <stp>만기일</stp>
        <stp>46198</stp>
        <stp/>
        <tr r="BS258" s="1"/>
      </tp>
      <tp t="s">
        <v/>
        <stp/>
        <stp>P</stp>
        <stp>0</stp>
        <stp>BND</stp>
        <stp>KRZF03949ZF9</stp>
        <stp>만기일</stp>
        <stp>46198</stp>
        <stp/>
        <tr r="BS259" s="1"/>
      </tp>
      <tp t="s">
        <v/>
        <stp/>
        <stp>P</stp>
        <stp>0</stp>
        <stp>BND</stp>
        <stp>KRZF02969TBB</stp>
        <stp>만기일</stp>
        <stp>46198</stp>
        <stp/>
        <tr r="CE143" s="1"/>
      </tp>
      <tp t="s">
        <v/>
        <stp/>
        <stp>P</stp>
        <stp>0</stp>
        <stp>BND</stp>
        <stp>KRZF02969VBB</stp>
        <stp>만기일</stp>
        <stp>46198</stp>
        <stp/>
        <tr r="CE142" s="1"/>
      </tp>
      <tp t="s">
        <v/>
        <stp/>
        <stp>P</stp>
        <stp>0</stp>
        <stp>BND</stp>
        <stp>KRZF03949LGF</stp>
        <stp>만기일</stp>
        <stp>46198</stp>
        <stp/>
        <tr r="CE126" s="1"/>
      </tp>
      <tp>
        <v>20271125</v>
        <stp/>
        <stp>P</stp>
        <stp>0</stp>
        <stp>BND</stp>
        <stp>KR6008279FB9</stp>
        <stp>만기일</stp>
        <stp>46198</stp>
        <stp/>
        <tr r="BS231" s="1"/>
      </tp>
      <tp t="s">
        <v/>
        <stp/>
        <stp>P</stp>
        <stp>0</stp>
        <stp>BND</stp>
        <stp>KRZF03949MGF</stp>
        <stp>만기일</stp>
        <stp>46198</stp>
        <stp/>
        <tr r="CE125" s="1"/>
      </tp>
      <tp>
        <v>20260923</v>
        <stp/>
        <stp>P</stp>
        <stp>0</stp>
        <stp>BND</stp>
        <stp>KR6089861D92</stp>
        <stp>만기일</stp>
        <stp>46198</stp>
        <stp/>
        <tr r="CE30" s="1"/>
      </tp>
      <tp>
        <v>20260911</v>
        <stp/>
        <stp>P</stp>
        <stp>0</stp>
        <stp>BND</stp>
        <stp>KR6019458E97</stp>
        <stp>만기일</stp>
        <stp>46198</stp>
        <stp/>
        <tr r="CE62" s="1"/>
      </tp>
      <tp>
        <v>20280612</v>
        <stp/>
        <stp>P</stp>
        <stp>0</stp>
        <stp>BND</stp>
        <stp>KR6088981D65</stp>
        <stp>만기일</stp>
        <stp>46198</stp>
        <stp/>
        <tr r="K260" s="1"/>
      </tp>
      <tp>
        <v>20290220</v>
        <stp/>
        <stp>P</stp>
        <stp>0</stp>
        <stp>BND</stp>
        <stp>KR6086791G25</stp>
        <stp>만기일</stp>
        <stp>46198</stp>
        <stp/>
        <tr r="BS60" s="1"/>
        <tr r="K17" s="1"/>
      </tp>
      <tp t="s">
        <v/>
        <stp/>
        <stp>P</stp>
        <stp>0</stp>
        <stp>BND</stp>
        <stp>KRZF03049BG5</stp>
        <stp>만기일</stp>
        <stp>46198</stp>
        <stp/>
        <tr r="DC183" s="1"/>
      </tp>
      <tp>
        <v>20260906</v>
        <stp/>
        <stp>P</stp>
        <stp>0</stp>
        <stp>BND</stp>
        <stp>KR6185751E90</stp>
        <stp>만기일</stp>
        <stp>46198</stp>
        <stp/>
        <tr r="DC247" s="1"/>
      </tp>
      <tp>
        <v>20290115</v>
        <stp/>
        <stp>P</stp>
        <stp>0</stp>
        <stp>BND</stp>
        <stp>KR6280361G16</stp>
        <stp>만기일</stp>
        <stp>46198</stp>
        <stp/>
        <tr r="BS62" s="1"/>
      </tp>
      <tp>
        <v>20270715</v>
        <stp/>
        <stp>P</stp>
        <stp>0</stp>
        <stp>BND</stp>
        <stp>KR6082971E77</stp>
        <stp>만기일</stp>
        <stp>46198</stp>
        <stp/>
        <tr r="BS222" s="1"/>
      </tp>
      <tp>
        <v>20280630</v>
        <stp/>
        <stp>P</stp>
        <stp>0</stp>
        <stp>BND</stp>
        <stp>KR6280361F74</stp>
        <stp>만기일</stp>
        <stp>46198</stp>
        <stp/>
        <tr r="CQ28" s="1"/>
      </tp>
      <tp>
        <v>20270910</v>
        <stp/>
        <stp>P</stp>
        <stp>0</stp>
        <stp>BND</stp>
        <stp>KR6082971F92</stp>
        <stp>만기일</stp>
        <stp>46198</stp>
        <stp/>
        <tr r="K165" s="1"/>
      </tp>
      <tp t="s">
        <v/>
        <stp/>
        <stp>P</stp>
        <stp>0</stp>
        <stp>BND</stp>
        <stp>KRZS039494M8</stp>
        <stp>만기일</stp>
        <stp>46198</stp>
        <stp/>
        <tr r="BS51" s="1"/>
      </tp>
      <tp t="s">
        <v/>
        <stp/>
        <stp>P</stp>
        <stp>0</stp>
        <stp>BND</stp>
        <stp>KRZF15399RG5</stp>
        <stp>만기일</stp>
        <stp>46198</stp>
        <stp/>
        <tr r="DC177" s="1"/>
      </tp>
      <tp t="s">
        <v/>
        <stp/>
        <stp>P</stp>
        <stp>0</stp>
        <stp>BND</stp>
        <stp>KRZF15399QG5</stp>
        <stp>만기일</stp>
        <stp>46198</stp>
        <stp/>
        <tr r="DC178" s="1"/>
      </tp>
      <tp>
        <v>20290427</v>
        <stp/>
        <stp>P</stp>
        <stp>0</stp>
        <stp>BND</stp>
        <stp>KR6008278G47</stp>
        <stp>만기일</stp>
        <stp>46198</stp>
        <stp/>
        <tr r="BS40" s="1"/>
        <tr r="DC33" s="1"/>
      </tp>
      <tp>
        <v>20280526</v>
        <stp/>
        <stp>P</stp>
        <stp>0</stp>
        <stp>BND</stp>
        <stp>KR6019809F50</stp>
        <stp>만기일</stp>
        <stp>46198</stp>
        <stp/>
        <tr r="K189" s="1"/>
      </tp>
      <tp>
        <v>20351209</v>
        <stp/>
        <stp>P</stp>
        <stp>0</stp>
        <stp>BND</stp>
        <stp>KR6095081FC1</stp>
        <stp>만기일</stp>
        <stp>46198</stp>
        <stp/>
        <tr r="EA38" s="1"/>
      </tp>
      <tp>
        <v>20260713</v>
        <stp/>
        <stp>P</stp>
        <stp>0</stp>
        <stp>BND</stp>
        <stp>KR6095231F17</stp>
        <stp>만기일</stp>
        <stp>46198</stp>
        <stp/>
        <tr r="CE38" s="1"/>
      </tp>
      <tp t="s">
        <v/>
        <stp/>
        <stp>P</stp>
        <stp>0</stp>
        <stp>BND</stp>
        <stp>KRZF00238CG4</stp>
        <stp>만기일</stp>
        <stp>46198</stp>
        <stp/>
        <tr r="BS125" s="1"/>
      </tp>
      <tp t="s">
        <v/>
        <stp/>
        <stp>P</stp>
        <stp>0</stp>
        <stp>BND</stp>
        <stp>KRZF00238BG4</stp>
        <stp>만기일</stp>
        <stp>46198</stp>
        <stp/>
        <tr r="BS124" s="1"/>
      </tp>
      <tp>
        <v>20261023</v>
        <stp/>
        <stp>P</stp>
        <stp>0</stp>
        <stp>BND</stp>
        <stp>KR6195941EA2</stp>
        <stp>만기일</stp>
        <stp>46198</stp>
        <stp/>
        <tr r="CE150" s="1"/>
      </tp>
      <tp>
        <v>20280430</v>
        <stp/>
        <stp>P</stp>
        <stp>0</stp>
        <stp>BND</stp>
        <stp>KR6000038F46</stp>
        <stp>만기일</stp>
        <stp>46198</stp>
        <stp/>
        <tr r="BS63" s="1"/>
      </tp>
      <tp>
        <v>20271230</v>
        <stp/>
        <stp>P</stp>
        <stp>0</stp>
        <stp>BND</stp>
        <stp>KR6000038F61</stp>
        <stp>만기일</stp>
        <stp>46198</stp>
        <stp/>
        <tr r="K156" s="1"/>
      </tp>
      <tp>
        <v>20270315</v>
        <stp/>
        <stp>P</stp>
        <stp>0</stp>
        <stp>BND</stp>
        <stp>KR6293981E37</stp>
        <stp>만기일</stp>
        <stp>46198</stp>
        <stp/>
        <tr r="BS140" s="1"/>
      </tp>
      <tp t="s">
        <v/>
        <stp/>
        <stp>P</stp>
        <stp>0</stp>
        <stp>BND</stp>
        <stp>KRZS00238802</stp>
        <stp>만기일</stp>
        <stp>46198</stp>
        <stp/>
        <tr r="CE7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B1008"/>
  <sheetViews>
    <sheetView tabSelected="1" workbookViewId="0">
      <selection activeCell="I19" sqref="I19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2" width="16.25" style="23" customWidth="1"/>
    <col min="13" max="13" width="14.625" style="3" customWidth="1"/>
    <col min="14" max="14" width="18.625" style="3" customWidth="1"/>
    <col min="15" max="15" width="9" style="3"/>
    <col min="16" max="17" width="10.625" style="3" customWidth="1"/>
    <col min="18" max="18" width="8.125" style="3" bestFit="1" customWidth="1"/>
    <col min="19" max="20" width="9" style="3"/>
    <col min="21" max="21" width="12.125" style="3" bestFit="1" customWidth="1"/>
    <col min="22" max="22" width="16.25" style="3" bestFit="1" customWidth="1"/>
    <col min="23" max="24" width="16.25" style="3" customWidth="1"/>
    <col min="25" max="25" width="14.625" style="3" customWidth="1"/>
    <col min="26" max="26" width="18.625" style="3" customWidth="1"/>
    <col min="27" max="27" width="9" style="3"/>
    <col min="28" max="29" width="10.625" style="3" customWidth="1"/>
    <col min="30" max="30" width="8.125" style="3" bestFit="1" customWidth="1"/>
    <col min="31" max="32" width="9" style="3"/>
    <col min="33" max="33" width="12.125" style="3" bestFit="1" customWidth="1"/>
    <col min="34" max="34" width="16.25" style="3" bestFit="1" customWidth="1"/>
    <col min="35" max="36" width="16.25" style="3" customWidth="1"/>
    <col min="37" max="37" width="14.625" style="3" customWidth="1"/>
    <col min="38" max="38" width="18.625" style="3" customWidth="1"/>
    <col min="39" max="39" width="9" style="3"/>
    <col min="40" max="41" width="10.625" style="3" customWidth="1"/>
    <col min="42" max="42" width="8.125" style="3" bestFit="1" customWidth="1"/>
    <col min="43" max="44" width="9" style="3"/>
    <col min="45" max="45" width="12.125" style="3" bestFit="1" customWidth="1"/>
    <col min="46" max="46" width="16.25" style="3" bestFit="1" customWidth="1"/>
    <col min="47" max="48" width="16.25" style="3" customWidth="1"/>
    <col min="49" max="49" width="14.625" style="3" customWidth="1"/>
    <col min="50" max="50" width="18.625" style="3" customWidth="1"/>
    <col min="51" max="51" width="9" style="3"/>
    <col min="52" max="53" width="10.625" style="3" customWidth="1"/>
    <col min="54" max="54" width="8.125" style="3" bestFit="1" customWidth="1"/>
    <col min="55" max="56" width="9" style="3"/>
    <col min="57" max="57" width="12.125" style="3" bestFit="1" customWidth="1"/>
    <col min="58" max="58" width="16.25" style="3" bestFit="1" customWidth="1"/>
    <col min="59" max="60" width="16.25" style="3" customWidth="1"/>
    <col min="61" max="61" width="14.625" style="3" customWidth="1"/>
    <col min="62" max="62" width="18.625" style="3" customWidth="1"/>
    <col min="63" max="63" width="9" style="3"/>
    <col min="64" max="65" width="10.625" style="3" customWidth="1"/>
    <col min="66" max="66" width="8.125" style="3" bestFit="1" customWidth="1"/>
    <col min="67" max="68" width="9" style="3"/>
    <col min="69" max="69" width="12.125" style="3" bestFit="1" customWidth="1"/>
    <col min="70" max="70" width="16.25" style="3" bestFit="1" customWidth="1"/>
    <col min="71" max="72" width="16.25" style="3" customWidth="1"/>
    <col min="73" max="73" width="14.625" style="3" customWidth="1"/>
    <col min="74" max="74" width="18.625" style="3" customWidth="1"/>
    <col min="75" max="75" width="9" style="3"/>
    <col min="76" max="77" width="10.625" style="3" customWidth="1"/>
    <col min="78" max="78" width="8.125" style="3" bestFit="1" customWidth="1"/>
    <col min="79" max="80" width="9" style="3"/>
    <col min="81" max="81" width="12.125" style="3" bestFit="1" customWidth="1"/>
    <col min="82" max="82" width="16.25" style="3" bestFit="1" customWidth="1"/>
    <col min="83" max="84" width="16.25" style="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7" width="14.625" style="3" customWidth="1"/>
    <col min="98" max="98" width="18.625" style="3" customWidth="1"/>
    <col min="99" max="99" width="9" style="3"/>
    <col min="100" max="101" width="10.625" style="3" customWidth="1"/>
    <col min="102" max="102" width="8.125" style="3" bestFit="1" customWidth="1"/>
    <col min="103" max="104" width="9" style="3"/>
    <col min="105" max="105" width="12.125" style="3" bestFit="1" customWidth="1"/>
    <col min="106" max="106" width="16.25" style="3" bestFit="1" customWidth="1"/>
    <col min="107" max="108" width="16.25" style="3" customWidth="1"/>
    <col min="109" max="109" width="14.625" style="3" customWidth="1"/>
    <col min="110" max="110" width="18.625" style="3" customWidth="1"/>
    <col min="111" max="111" width="9" style="3"/>
    <col min="112" max="113" width="10.625" style="3" customWidth="1"/>
    <col min="114" max="114" width="8.125" style="3" bestFit="1" customWidth="1"/>
    <col min="115" max="116" width="9" style="3"/>
    <col min="117" max="117" width="12.125" style="3" bestFit="1" customWidth="1"/>
    <col min="118" max="118" width="16.25" style="3" bestFit="1" customWidth="1"/>
    <col min="119" max="120" width="16.25" style="3" customWidth="1"/>
    <col min="121" max="121" width="14.625" style="3" customWidth="1"/>
    <col min="122" max="122" width="18.625" style="3" customWidth="1"/>
    <col min="123" max="123" width="9" style="3"/>
    <col min="124" max="125" width="10.625" style="3" customWidth="1"/>
    <col min="126" max="126" width="8.125" style="3" bestFit="1" customWidth="1"/>
    <col min="127" max="128" width="9" style="3"/>
    <col min="129" max="129" width="12.125" style="3" bestFit="1" customWidth="1"/>
    <col min="130" max="130" width="16.25" style="3" bestFit="1" customWidth="1"/>
    <col min="131" max="132" width="16.25" style="3" customWidth="1"/>
    <col min="133" max="16384" width="9" style="3"/>
  </cols>
  <sheetData>
    <row r="1" spans="1:132" ht="13.5" customHeight="1" x14ac:dyDescent="0.3">
      <c r="A1" s="18" t="s">
        <v>0</v>
      </c>
      <c r="B1" s="16" t="s">
        <v>6</v>
      </c>
      <c r="M1" s="18" t="s">
        <v>0</v>
      </c>
      <c r="N1" s="16" t="s">
        <v>18</v>
      </c>
      <c r="Y1" s="18" t="s">
        <v>0</v>
      </c>
      <c r="Z1" s="16" t="s">
        <v>19</v>
      </c>
      <c r="AK1" s="18" t="s">
        <v>0</v>
      </c>
      <c r="AL1" s="16" t="s">
        <v>20</v>
      </c>
      <c r="AW1" s="18" t="s">
        <v>0</v>
      </c>
      <c r="AX1" s="16" t="s">
        <v>21</v>
      </c>
      <c r="BI1" s="18" t="s">
        <v>0</v>
      </c>
      <c r="BJ1" s="16" t="s">
        <v>22</v>
      </c>
      <c r="BU1" s="18" t="s">
        <v>0</v>
      </c>
      <c r="BV1" s="16" t="s">
        <v>23</v>
      </c>
      <c r="CG1" s="18" t="s">
        <v>0</v>
      </c>
      <c r="CH1" s="16" t="s">
        <v>24</v>
      </c>
      <c r="CS1" s="18" t="s">
        <v>0</v>
      </c>
      <c r="CT1" s="16" t="s">
        <v>25</v>
      </c>
      <c r="DE1" s="18" t="s">
        <v>0</v>
      </c>
      <c r="DF1" s="16" t="s">
        <v>26</v>
      </c>
      <c r="DQ1" s="18" t="s">
        <v>0</v>
      </c>
      <c r="DR1" s="16" t="s">
        <v>27</v>
      </c>
    </row>
    <row r="2" spans="1:132" ht="13.5" customHeight="1" x14ac:dyDescent="0.3">
      <c r="A2" s="18" t="s">
        <v>1</v>
      </c>
      <c r="B2" s="16" t="s">
        <v>1716</v>
      </c>
      <c r="M2" s="18" t="s">
        <v>1</v>
      </c>
      <c r="N2" s="16" t="s">
        <v>1716</v>
      </c>
      <c r="Y2" s="18" t="s">
        <v>1</v>
      </c>
      <c r="Z2" s="16" t="s">
        <v>1716</v>
      </c>
      <c r="AK2" s="18" t="s">
        <v>1</v>
      </c>
      <c r="AL2" s="16" t="s">
        <v>1716</v>
      </c>
      <c r="AW2" s="18" t="s">
        <v>1</v>
      </c>
      <c r="AX2" s="16" t="s">
        <v>1716</v>
      </c>
      <c r="BI2" s="18" t="s">
        <v>1</v>
      </c>
      <c r="BJ2" s="16" t="s">
        <v>1716</v>
      </c>
      <c r="BU2" s="18" t="s">
        <v>1</v>
      </c>
      <c r="BV2" s="16" t="s">
        <v>1716</v>
      </c>
      <c r="CG2" s="18" t="s">
        <v>1</v>
      </c>
      <c r="CH2" s="16" t="s">
        <v>1716</v>
      </c>
      <c r="CS2" s="18" t="s">
        <v>1</v>
      </c>
      <c r="CT2" s="16" t="s">
        <v>1716</v>
      </c>
      <c r="DE2" s="18" t="s">
        <v>1</v>
      </c>
      <c r="DF2" s="16" t="s">
        <v>1716</v>
      </c>
      <c r="DQ2" s="18" t="s">
        <v>1</v>
      </c>
      <c r="DR2" s="16" t="s">
        <v>1716</v>
      </c>
    </row>
    <row r="3" spans="1:132" ht="13.5" customHeight="1" x14ac:dyDescent="0.3">
      <c r="A3" s="18" t="s">
        <v>2</v>
      </c>
      <c r="B3" s="17">
        <f ca="1">TODAY()</f>
        <v>46198</v>
      </c>
      <c r="M3" s="18" t="s">
        <v>2</v>
      </c>
      <c r="N3" s="17">
        <f ca="1">TODAY()</f>
        <v>46198</v>
      </c>
      <c r="Y3" s="18" t="s">
        <v>2</v>
      </c>
      <c r="Z3" s="17">
        <f ca="1">TODAY()</f>
        <v>46198</v>
      </c>
      <c r="AK3" s="18" t="s">
        <v>2</v>
      </c>
      <c r="AL3" s="17">
        <f ca="1">TODAY()</f>
        <v>46198</v>
      </c>
      <c r="AW3" s="18" t="s">
        <v>2</v>
      </c>
      <c r="AX3" s="17">
        <f ca="1">TODAY()</f>
        <v>46198</v>
      </c>
      <c r="BI3" s="18" t="s">
        <v>2</v>
      </c>
      <c r="BJ3" s="17">
        <f ca="1">TODAY()</f>
        <v>46198</v>
      </c>
      <c r="BU3" s="18" t="s">
        <v>2</v>
      </c>
      <c r="BV3" s="17">
        <f ca="1">TODAY()</f>
        <v>46198</v>
      </c>
      <c r="CG3" s="18" t="s">
        <v>2</v>
      </c>
      <c r="CH3" s="17">
        <f ca="1">TODAY()</f>
        <v>46198</v>
      </c>
      <c r="CS3" s="18" t="s">
        <v>2</v>
      </c>
      <c r="CT3" s="17">
        <f ca="1">TODAY()</f>
        <v>46198</v>
      </c>
      <c r="DE3" s="18" t="s">
        <v>2</v>
      </c>
      <c r="DF3" s="17">
        <f ca="1">TODAY()</f>
        <v>46198</v>
      </c>
      <c r="DQ3" s="18" t="s">
        <v>2</v>
      </c>
      <c r="DR3" s="17">
        <f ca="1">TODAY()</f>
        <v>46198</v>
      </c>
    </row>
    <row r="4" spans="1:132" ht="13.5" customHeight="1" x14ac:dyDescent="0.3">
      <c r="A4" s="18" t="s">
        <v>3</v>
      </c>
      <c r="B4" s="16" t="s">
        <v>7</v>
      </c>
      <c r="M4" s="18" t="s">
        <v>3</v>
      </c>
      <c r="N4" s="16" t="s">
        <v>7</v>
      </c>
      <c r="Y4" s="18" t="s">
        <v>3</v>
      </c>
      <c r="Z4" s="16" t="s">
        <v>7</v>
      </c>
      <c r="AK4" s="18" t="s">
        <v>3</v>
      </c>
      <c r="AL4" s="16" t="s">
        <v>7</v>
      </c>
      <c r="AW4" s="18" t="s">
        <v>3</v>
      </c>
      <c r="AX4" s="16" t="s">
        <v>7</v>
      </c>
      <c r="BI4" s="18" t="s">
        <v>3</v>
      </c>
      <c r="BJ4" s="16" t="s">
        <v>7</v>
      </c>
      <c r="BU4" s="18" t="s">
        <v>3</v>
      </c>
      <c r="BV4" s="16" t="s">
        <v>7</v>
      </c>
      <c r="CG4" s="18" t="s">
        <v>3</v>
      </c>
      <c r="CH4" s="16" t="s">
        <v>7</v>
      </c>
      <c r="CS4" s="18" t="s">
        <v>3</v>
      </c>
      <c r="CT4" s="16" t="s">
        <v>7</v>
      </c>
      <c r="DE4" s="18" t="s">
        <v>3</v>
      </c>
      <c r="DF4" s="16" t="s">
        <v>7</v>
      </c>
      <c r="DQ4" s="18" t="s">
        <v>3</v>
      </c>
      <c r="DR4" s="16" t="s">
        <v>7</v>
      </c>
    </row>
    <row r="5" spans="1:132" ht="13.5" customHeight="1" x14ac:dyDescent="0.3">
      <c r="A5" s="18" t="s">
        <v>4</v>
      </c>
      <c r="B5" s="16" t="s">
        <v>8</v>
      </c>
      <c r="M5" s="18" t="s">
        <v>4</v>
      </c>
      <c r="N5" s="16" t="s">
        <v>8</v>
      </c>
      <c r="Y5" s="18" t="s">
        <v>4</v>
      </c>
      <c r="Z5" s="16" t="s">
        <v>8</v>
      </c>
      <c r="AK5" s="18" t="s">
        <v>4</v>
      </c>
      <c r="AL5" s="16" t="s">
        <v>8</v>
      </c>
      <c r="AW5" s="18" t="s">
        <v>4</v>
      </c>
      <c r="AX5" s="16" t="s">
        <v>8</v>
      </c>
      <c r="BI5" s="18" t="s">
        <v>4</v>
      </c>
      <c r="BJ5" s="16" t="s">
        <v>8</v>
      </c>
      <c r="BU5" s="18" t="s">
        <v>4</v>
      </c>
      <c r="BV5" s="16" t="s">
        <v>8</v>
      </c>
      <c r="CG5" s="18" t="s">
        <v>4</v>
      </c>
      <c r="CH5" s="16" t="s">
        <v>8</v>
      </c>
      <c r="CS5" s="18" t="s">
        <v>4</v>
      </c>
      <c r="CT5" s="16" t="s">
        <v>8</v>
      </c>
      <c r="DE5" s="18" t="s">
        <v>4</v>
      </c>
      <c r="DF5" s="16" t="s">
        <v>8</v>
      </c>
      <c r="DQ5" s="18" t="s">
        <v>4</v>
      </c>
      <c r="DR5" s="16" t="s">
        <v>8</v>
      </c>
    </row>
    <row r="6" spans="1:132" ht="13.5" customHeight="1" x14ac:dyDescent="0.3">
      <c r="A6" s="18" t="s">
        <v>5</v>
      </c>
      <c r="B6" s="16" t="s">
        <v>9</v>
      </c>
      <c r="M6" s="18" t="s">
        <v>5</v>
      </c>
      <c r="N6" s="16" t="s">
        <v>9</v>
      </c>
      <c r="Y6" s="18" t="s">
        <v>5</v>
      </c>
      <c r="Z6" s="16" t="s">
        <v>9</v>
      </c>
      <c r="AK6" s="18" t="s">
        <v>5</v>
      </c>
      <c r="AL6" s="16" t="s">
        <v>9</v>
      </c>
      <c r="AW6" s="18" t="s">
        <v>5</v>
      </c>
      <c r="AX6" s="16" t="s">
        <v>9</v>
      </c>
      <c r="BI6" s="18" t="s">
        <v>5</v>
      </c>
      <c r="BJ6" s="16" t="s">
        <v>9</v>
      </c>
      <c r="BU6" s="18" t="s">
        <v>5</v>
      </c>
      <c r="BV6" s="16" t="s">
        <v>9</v>
      </c>
      <c r="CG6" s="18" t="s">
        <v>5</v>
      </c>
      <c r="CH6" s="16" t="s">
        <v>9</v>
      </c>
      <c r="CS6" s="18" t="s">
        <v>5</v>
      </c>
      <c r="CT6" s="16" t="s">
        <v>9</v>
      </c>
      <c r="DE6" s="18" t="s">
        <v>5</v>
      </c>
      <c r="DF6" s="16" t="s">
        <v>9</v>
      </c>
      <c r="DQ6" s="18" t="s">
        <v>5</v>
      </c>
      <c r="DR6" s="16" t="s">
        <v>9</v>
      </c>
    </row>
    <row r="7" spans="1:132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M7" s="3" t="str">
        <f ca="1">_xll.IMDT("ETP구성",N1,M8:V8,N2,N3,N4,N5,"sort="&amp;N6&amp;",DtFmt=1,TmFmt=1,Pos=20,Orient=V,Title=KODEX 장기종합채권(AA-이상)액티브")</f>
        <v>KODEX 장기종합채권(AA-이상)액티브</v>
      </c>
      <c r="Y7" s="3" t="str">
        <f ca="1">_xll.IMDT("ETP구성",Z1,Y8:AH8,Z2,Z3,Z4,Z5,"sort="&amp;Z6&amp;",DtFmt=1,TmFmt=1,Pos=20,Orient=V,Title=KODEX 국고채30년액티브")</f>
        <v>KODEX 국고채30년액티브</v>
      </c>
      <c r="AK7" s="3" t="str">
        <f ca="1">_xll.IMDT("ETP구성",AL1,AK8:AT8,AL2,AL3,AL4,AL5,"sort="&amp;AL6&amp;",DtFmt=1,TmFmt=1,Pos=20,Orient=V,Title=SOL 국고채10년")</f>
        <v>SOL 국고채10년</v>
      </c>
      <c r="AW7" s="3" t="str">
        <f ca="1">_xll.IMDT("ETP구성",AX1,AW8:BF8,AX2,AX3,AX4,AX5,"sort="&amp;AX6&amp;",DtFmt=1,TmFmt=1,Pos=20,Orient=V,Title=SOL 국고채3년")</f>
        <v>SOL 국고채3년</v>
      </c>
      <c r="BI7" s="3" t="str">
        <f ca="1">_xll.IMDT("ETP구성",BJ1,BI8:BR8,BJ2,BJ3,BJ4,BJ5,"sort="&amp;BJ6&amp;",DtFmt=1,TmFmt=1,Pos=20,Orient=V,Title=SOL 종합채권(AA-이상)액티브")</f>
        <v>SOL 종합채권(AA-이상)액티브</v>
      </c>
      <c r="BU7" s="3" t="str">
        <f ca="1">_xll.IMDT("ETP구성",BV1,BU8:CD8,BV2,BV3,BV4,BV5,"sort="&amp;BV6&amp;",DtFmt=1,TmFmt=1,Pos=20,Orient=V,Title=SOL 초단기채권액티브")</f>
        <v>SOL 초단기채권액티브</v>
      </c>
      <c r="CG7" s="3" t="str">
        <f ca="1">_xll.IMDT("ETP구성",CH1,CG8:CP8,CH2,CH3,CH4,CH5,"sort="&amp;CH6&amp;",DtFmt=1,TmFmt=1,Pos=20,Orient=V,Title=SOL 중단기회사채(A-이상)액티브")</f>
        <v>SOL 중단기회사채(A-이상)액티브</v>
      </c>
      <c r="CS7" s="3" t="str">
        <f ca="1">_xll.IMDT("ETP구성",CT1,CS8:DB8,CT2,CT3,CT4,CT5,"sort="&amp;CT6&amp;",DtFmt=1,TmFmt=1,Pos=20,Orient=V,Title=RISE 종합채권(A-이상)액티브")</f>
        <v>RISE 종합채권(A-이상)액티브</v>
      </c>
      <c r="DE7" s="3" t="str">
        <f ca="1">_xll.IMDT("ETP구성",DF1,DE8:DN8,DF2,DF3,DF4,DF5,"sort="&amp;DF6&amp;",DtFmt=1,TmFmt=1,Pos=20,Orient=V,Title=SOL 중기종합채권(AA-이상)액티브")</f>
        <v>SOL 중기종합채권(AA-이상)액티브</v>
      </c>
      <c r="DQ7" s="3" t="str">
        <f ca="1">_xll.IMDT("ETP구성",DR1,DQ8:DZ8,DR2,DR3,DR4,DR5,"sort="&amp;DR6&amp;",DtFmt=1,TmFmt=1,Pos=20,Orient=V,Title=TIGER 우량회사채액티브")</f>
        <v>TIGER 우량회사채액티브</v>
      </c>
    </row>
    <row r="8" spans="1:132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2715</v>
      </c>
      <c r="L8" s="22" t="s">
        <v>2716</v>
      </c>
      <c r="M8" s="19" t="s">
        <v>2</v>
      </c>
      <c r="N8" s="20" t="s">
        <v>10</v>
      </c>
      <c r="O8" s="20" t="s">
        <v>11</v>
      </c>
      <c r="P8" s="20" t="s">
        <v>12</v>
      </c>
      <c r="Q8" s="20" t="s">
        <v>13</v>
      </c>
      <c r="R8" s="20" t="s">
        <v>8</v>
      </c>
      <c r="S8" s="20" t="s">
        <v>14</v>
      </c>
      <c r="T8" s="20" t="s">
        <v>15</v>
      </c>
      <c r="U8" s="20" t="s">
        <v>16</v>
      </c>
      <c r="V8" s="20" t="s">
        <v>17</v>
      </c>
      <c r="W8" s="20" t="s">
        <v>2715</v>
      </c>
      <c r="X8" s="22" t="s">
        <v>2716</v>
      </c>
      <c r="Y8" s="19" t="s">
        <v>2</v>
      </c>
      <c r="Z8" s="20" t="s">
        <v>10</v>
      </c>
      <c r="AA8" s="20" t="s">
        <v>11</v>
      </c>
      <c r="AB8" s="20" t="s">
        <v>12</v>
      </c>
      <c r="AC8" s="20" t="s">
        <v>13</v>
      </c>
      <c r="AD8" s="20" t="s">
        <v>8</v>
      </c>
      <c r="AE8" s="20" t="s">
        <v>14</v>
      </c>
      <c r="AF8" s="20" t="s">
        <v>15</v>
      </c>
      <c r="AG8" s="20" t="s">
        <v>16</v>
      </c>
      <c r="AH8" s="20" t="s">
        <v>17</v>
      </c>
      <c r="AI8" s="20" t="s">
        <v>2715</v>
      </c>
      <c r="AJ8" s="22" t="s">
        <v>2716</v>
      </c>
      <c r="AK8" s="19" t="s">
        <v>2</v>
      </c>
      <c r="AL8" s="20" t="s">
        <v>10</v>
      </c>
      <c r="AM8" s="20" t="s">
        <v>11</v>
      </c>
      <c r="AN8" s="20" t="s">
        <v>12</v>
      </c>
      <c r="AO8" s="20" t="s">
        <v>13</v>
      </c>
      <c r="AP8" s="20" t="s">
        <v>8</v>
      </c>
      <c r="AQ8" s="20" t="s">
        <v>14</v>
      </c>
      <c r="AR8" s="20" t="s">
        <v>15</v>
      </c>
      <c r="AS8" s="20" t="s">
        <v>16</v>
      </c>
      <c r="AT8" s="20" t="s">
        <v>17</v>
      </c>
      <c r="AU8" s="20" t="s">
        <v>2715</v>
      </c>
      <c r="AV8" s="22" t="s">
        <v>2716</v>
      </c>
      <c r="AW8" s="19" t="s">
        <v>2</v>
      </c>
      <c r="AX8" s="20" t="s">
        <v>10</v>
      </c>
      <c r="AY8" s="20" t="s">
        <v>11</v>
      </c>
      <c r="AZ8" s="20" t="s">
        <v>12</v>
      </c>
      <c r="BA8" s="20" t="s">
        <v>13</v>
      </c>
      <c r="BB8" s="20" t="s">
        <v>8</v>
      </c>
      <c r="BC8" s="20" t="s">
        <v>14</v>
      </c>
      <c r="BD8" s="20" t="s">
        <v>15</v>
      </c>
      <c r="BE8" s="20" t="s">
        <v>16</v>
      </c>
      <c r="BF8" s="20" t="s">
        <v>17</v>
      </c>
      <c r="BG8" s="20" t="s">
        <v>2715</v>
      </c>
      <c r="BH8" s="22" t="s">
        <v>2716</v>
      </c>
      <c r="BI8" s="19" t="s">
        <v>2</v>
      </c>
      <c r="BJ8" s="20" t="s">
        <v>10</v>
      </c>
      <c r="BK8" s="20" t="s">
        <v>11</v>
      </c>
      <c r="BL8" s="20" t="s">
        <v>12</v>
      </c>
      <c r="BM8" s="20" t="s">
        <v>13</v>
      </c>
      <c r="BN8" s="20" t="s">
        <v>8</v>
      </c>
      <c r="BO8" s="20" t="s">
        <v>14</v>
      </c>
      <c r="BP8" s="20" t="s">
        <v>15</v>
      </c>
      <c r="BQ8" s="20" t="s">
        <v>16</v>
      </c>
      <c r="BR8" s="20" t="s">
        <v>17</v>
      </c>
      <c r="BS8" s="20" t="s">
        <v>2715</v>
      </c>
      <c r="BT8" s="22" t="s">
        <v>2716</v>
      </c>
      <c r="BU8" s="19" t="s">
        <v>2</v>
      </c>
      <c r="BV8" s="20" t="s">
        <v>10</v>
      </c>
      <c r="BW8" s="20" t="s">
        <v>11</v>
      </c>
      <c r="BX8" s="20" t="s">
        <v>12</v>
      </c>
      <c r="BY8" s="20" t="s">
        <v>13</v>
      </c>
      <c r="BZ8" s="20" t="s">
        <v>8</v>
      </c>
      <c r="CA8" s="20" t="s">
        <v>14</v>
      </c>
      <c r="CB8" s="20" t="s">
        <v>15</v>
      </c>
      <c r="CC8" s="20" t="s">
        <v>16</v>
      </c>
      <c r="CD8" s="20" t="s">
        <v>17</v>
      </c>
      <c r="CE8" s="20" t="s">
        <v>2715</v>
      </c>
      <c r="CF8" s="22" t="s">
        <v>2716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2715</v>
      </c>
      <c r="CR8" s="22" t="s">
        <v>2716</v>
      </c>
      <c r="CS8" s="19" t="s">
        <v>2</v>
      </c>
      <c r="CT8" s="20" t="s">
        <v>10</v>
      </c>
      <c r="CU8" s="20" t="s">
        <v>11</v>
      </c>
      <c r="CV8" s="20" t="s">
        <v>12</v>
      </c>
      <c r="CW8" s="20" t="s">
        <v>13</v>
      </c>
      <c r="CX8" s="20" t="s">
        <v>8</v>
      </c>
      <c r="CY8" s="20" t="s">
        <v>14</v>
      </c>
      <c r="CZ8" s="20" t="s">
        <v>15</v>
      </c>
      <c r="DA8" s="20" t="s">
        <v>16</v>
      </c>
      <c r="DB8" s="20" t="s">
        <v>17</v>
      </c>
      <c r="DC8" s="20" t="s">
        <v>2715</v>
      </c>
      <c r="DD8" s="22" t="s">
        <v>2716</v>
      </c>
      <c r="DE8" s="19" t="s">
        <v>2</v>
      </c>
      <c r="DF8" s="20" t="s">
        <v>10</v>
      </c>
      <c r="DG8" s="20" t="s">
        <v>11</v>
      </c>
      <c r="DH8" s="20" t="s">
        <v>12</v>
      </c>
      <c r="DI8" s="20" t="s">
        <v>13</v>
      </c>
      <c r="DJ8" s="20" t="s">
        <v>8</v>
      </c>
      <c r="DK8" s="20" t="s">
        <v>14</v>
      </c>
      <c r="DL8" s="20" t="s">
        <v>15</v>
      </c>
      <c r="DM8" s="20" t="s">
        <v>16</v>
      </c>
      <c r="DN8" s="20" t="s">
        <v>17</v>
      </c>
      <c r="DO8" s="20" t="s">
        <v>2715</v>
      </c>
      <c r="DP8" s="22" t="s">
        <v>2716</v>
      </c>
      <c r="DQ8" s="19" t="s">
        <v>2</v>
      </c>
      <c r="DR8" s="20" t="s">
        <v>10</v>
      </c>
      <c r="DS8" s="20" t="s">
        <v>11</v>
      </c>
      <c r="DT8" s="20" t="s">
        <v>12</v>
      </c>
      <c r="DU8" s="20" t="s">
        <v>13</v>
      </c>
      <c r="DV8" s="20" t="s">
        <v>8</v>
      </c>
      <c r="DW8" s="20" t="s">
        <v>14</v>
      </c>
      <c r="DX8" s="20" t="s">
        <v>15</v>
      </c>
      <c r="DY8" s="20" t="s">
        <v>16</v>
      </c>
      <c r="DZ8" s="20" t="s">
        <v>17</v>
      </c>
      <c r="EA8" s="20" t="s">
        <v>2715</v>
      </c>
      <c r="EB8" s="22" t="s">
        <v>2716</v>
      </c>
    </row>
    <row r="9" spans="1:132" ht="13.5" customHeight="1" x14ac:dyDescent="0.3">
      <c r="A9" s="2">
        <v>46198</v>
      </c>
      <c r="B9" s="3" t="s">
        <v>49</v>
      </c>
      <c r="C9" s="3" t="s">
        <v>50</v>
      </c>
      <c r="D9" s="3" t="s">
        <v>51</v>
      </c>
      <c r="E9" s="3">
        <v>0</v>
      </c>
      <c r="F9" s="3">
        <v>3.55</v>
      </c>
      <c r="G9" s="3">
        <v>0</v>
      </c>
      <c r="H9" s="3">
        <v>3951638</v>
      </c>
      <c r="I9" s="3">
        <v>8702.85</v>
      </c>
      <c r="J9" s="3">
        <v>17.191299999999998</v>
      </c>
      <c r="K9" s="21">
        <f ca="1">_xll.IMDP("BND",B9,K8,B3)</f>
        <v>20560310</v>
      </c>
      <c r="L9" s="23">
        <f ca="1">_xll.IMDP("BND",B9,L8,B3)</f>
        <v>4.3419999999999996</v>
      </c>
      <c r="M9" s="2">
        <v>46198</v>
      </c>
      <c r="N9" s="3" t="s">
        <v>33</v>
      </c>
      <c r="O9" s="3" t="s">
        <v>29</v>
      </c>
      <c r="P9" s="3" t="s">
        <v>34</v>
      </c>
      <c r="Q9" s="3">
        <v>0</v>
      </c>
      <c r="R9" s="3">
        <v>8.86</v>
      </c>
      <c r="S9" s="3">
        <v>0</v>
      </c>
      <c r="T9" s="3">
        <v>10345398</v>
      </c>
      <c r="U9" s="3">
        <v>9218.9</v>
      </c>
      <c r="V9" s="3">
        <v>7.3273000000000001</v>
      </c>
      <c r="W9" s="21">
        <f ca="1">_xll.IMDP("BND",N9,W8,N3)</f>
        <v>20341210</v>
      </c>
      <c r="X9" s="23">
        <f ca="1">_xll.IMDP("BND",N9,X8,N3)</f>
        <v>4.12</v>
      </c>
      <c r="Y9" s="2">
        <v>46198</v>
      </c>
      <c r="Z9" s="3" t="s">
        <v>49</v>
      </c>
      <c r="AA9" s="3" t="s">
        <v>50</v>
      </c>
      <c r="AB9" s="3" t="s">
        <v>51</v>
      </c>
      <c r="AC9" s="3">
        <v>0</v>
      </c>
      <c r="AD9" s="3">
        <v>25.56</v>
      </c>
      <c r="AE9" s="3">
        <v>0</v>
      </c>
      <c r="AF9" s="3">
        <v>37375348</v>
      </c>
      <c r="AG9" s="3">
        <v>8702.85</v>
      </c>
      <c r="AH9" s="3">
        <v>17.191299999999998</v>
      </c>
      <c r="AI9" s="21">
        <f ca="1">_xll.IMDP("BND",Z9,AI8,Z3)</f>
        <v>20560310</v>
      </c>
      <c r="AJ9" s="23">
        <f ca="1">_xll.IMDP("BND",Z9,AJ8,Z3)</f>
        <v>4.3419999999999996</v>
      </c>
      <c r="AK9" s="2">
        <v>46198</v>
      </c>
      <c r="AL9" s="3" t="s">
        <v>28</v>
      </c>
      <c r="AM9" s="3" t="s">
        <v>29</v>
      </c>
      <c r="AN9" s="3" t="s">
        <v>30</v>
      </c>
      <c r="AO9" s="3">
        <v>0</v>
      </c>
      <c r="AP9" s="3">
        <v>35.21</v>
      </c>
      <c r="AQ9" s="3">
        <v>0</v>
      </c>
      <c r="AR9" s="3">
        <v>36233688</v>
      </c>
      <c r="AS9" s="3">
        <v>9299.98</v>
      </c>
      <c r="AT9" s="3">
        <v>7.9861000000000004</v>
      </c>
      <c r="AU9" s="21">
        <f ca="1">_xll.IMDP("BND",AL9,AU8,AL3)</f>
        <v>20351210</v>
      </c>
      <c r="AV9" s="23">
        <f ca="1">_xll.IMDP("BND",AL9,AV8,AL3)</f>
        <v>4.17</v>
      </c>
      <c r="AW9" s="2">
        <v>46198</v>
      </c>
      <c r="AX9" s="3" t="s">
        <v>133</v>
      </c>
      <c r="AY9" s="3" t="s">
        <v>50</v>
      </c>
      <c r="AZ9" s="3" t="s">
        <v>134</v>
      </c>
      <c r="BA9" s="3">
        <v>0</v>
      </c>
      <c r="BB9" s="3">
        <v>38.270000000000003</v>
      </c>
      <c r="BC9" s="3">
        <v>0</v>
      </c>
      <c r="BD9" s="3">
        <v>39826736</v>
      </c>
      <c r="BE9" s="3">
        <v>9790.85</v>
      </c>
      <c r="BF9" s="3">
        <v>2.3498999999999999</v>
      </c>
      <c r="BG9" s="21">
        <f ca="1">_xll.IMDP("BND",AX9,BG8,AX3)</f>
        <v>20281210</v>
      </c>
      <c r="BH9" s="23">
        <f ca="1">_xll.IMDP("BND",AX9,BH8,AX3)</f>
        <v>3.6949999999999998</v>
      </c>
      <c r="BI9" s="2">
        <v>46198</v>
      </c>
      <c r="BJ9" s="3" t="s">
        <v>49</v>
      </c>
      <c r="BK9" s="3" t="s">
        <v>50</v>
      </c>
      <c r="BL9" s="3" t="s">
        <v>51</v>
      </c>
      <c r="BM9" s="3">
        <v>0</v>
      </c>
      <c r="BN9" s="3">
        <v>5.18</v>
      </c>
      <c r="BO9" s="3">
        <v>0</v>
      </c>
      <c r="BP9" s="3">
        <v>6485758</v>
      </c>
      <c r="BQ9" s="3">
        <v>8702.85</v>
      </c>
      <c r="BR9" s="3">
        <v>17.191299999999998</v>
      </c>
      <c r="BS9" s="21">
        <f ca="1">_xll.IMDP("BND",BJ9,BS8,BJ3)</f>
        <v>20560310</v>
      </c>
      <c r="BT9" s="23">
        <f ca="1">_xll.IMDP("BND",BJ9,BT8,BJ3)</f>
        <v>4.3419999999999996</v>
      </c>
      <c r="BU9" s="2">
        <v>46198</v>
      </c>
      <c r="BV9" s="3" t="s">
        <v>940</v>
      </c>
      <c r="BW9" s="3" t="s">
        <v>941</v>
      </c>
      <c r="BX9" s="3" t="s">
        <v>942</v>
      </c>
      <c r="BY9" s="3">
        <v>0</v>
      </c>
      <c r="BZ9" s="3">
        <v>3.2</v>
      </c>
      <c r="CA9" s="3">
        <v>0</v>
      </c>
      <c r="CB9" s="3">
        <v>4283444</v>
      </c>
      <c r="CE9" s="21" t="str">
        <f ca="1">_xll.IMDP("BND",BV9,CE8,BV3)</f>
        <v/>
      </c>
      <c r="CF9" s="23" t="str">
        <f ca="1">_xll.IMDP("BND",BV9,CF8,BV3)</f>
        <v/>
      </c>
      <c r="CG9" s="2">
        <v>46198</v>
      </c>
      <c r="CH9" s="3" t="s">
        <v>588</v>
      </c>
      <c r="CI9" s="3" t="s">
        <v>589</v>
      </c>
      <c r="CJ9" s="3" t="s">
        <v>590</v>
      </c>
      <c r="CK9" s="3">
        <v>0</v>
      </c>
      <c r="CL9" s="3">
        <v>4.82</v>
      </c>
      <c r="CM9" s="3">
        <v>0</v>
      </c>
      <c r="CN9" s="3">
        <v>4923195</v>
      </c>
      <c r="CO9" s="3">
        <v>9769.6299999999992</v>
      </c>
      <c r="CP9" s="3">
        <v>1.8431</v>
      </c>
      <c r="CQ9" s="21">
        <f ca="1">_xll.IMDP("BND",CH9,CQ8,CH3)</f>
        <v>20280526</v>
      </c>
      <c r="CR9" s="23">
        <f ca="1">_xll.IMDP("BND",CH9,CR8,CH3)</f>
        <v>4.5119999999999996</v>
      </c>
      <c r="CS9" s="2">
        <v>46198</v>
      </c>
      <c r="CT9" s="3" t="s">
        <v>49</v>
      </c>
      <c r="CU9" s="3" t="s">
        <v>50</v>
      </c>
      <c r="CV9" s="3" t="s">
        <v>142</v>
      </c>
      <c r="CW9" s="3">
        <v>0</v>
      </c>
      <c r="CX9" s="3">
        <v>5.99</v>
      </c>
      <c r="CY9" s="3">
        <v>0</v>
      </c>
      <c r="CZ9" s="3">
        <v>8639859</v>
      </c>
      <c r="DA9" s="3">
        <v>8702.85</v>
      </c>
      <c r="DB9" s="3">
        <v>17.191299999999998</v>
      </c>
      <c r="DC9" s="21">
        <f ca="1">_xll.IMDP("BND",CT9,DC8,CT3)</f>
        <v>20560310</v>
      </c>
      <c r="DD9" s="23">
        <f ca="1">_xll.IMDP("BND",CT9,DD8,CT3)</f>
        <v>4.3419999999999996</v>
      </c>
      <c r="DE9" s="2">
        <v>46198</v>
      </c>
      <c r="DF9" s="3" t="s">
        <v>133</v>
      </c>
      <c r="DG9" s="3" t="s">
        <v>50</v>
      </c>
      <c r="DH9" s="3" t="s">
        <v>134</v>
      </c>
      <c r="DI9" s="3">
        <v>0</v>
      </c>
      <c r="DJ9" s="3">
        <v>21.59</v>
      </c>
      <c r="DK9" s="3">
        <v>0</v>
      </c>
      <c r="DL9" s="3">
        <v>21818050</v>
      </c>
      <c r="DM9" s="3">
        <v>9790.85</v>
      </c>
      <c r="DN9" s="3">
        <v>2.3498999999999999</v>
      </c>
      <c r="DO9" s="21">
        <f ca="1">_xll.IMDP("BND",DF9,DO8,DF3)</f>
        <v>20281210</v>
      </c>
      <c r="DP9" s="23">
        <f ca="1">_xll.IMDP("BND",DF9,DP8,DF3)</f>
        <v>3.6949999999999998</v>
      </c>
      <c r="DQ9" s="2">
        <v>46198</v>
      </c>
      <c r="DR9" s="3" t="s">
        <v>35</v>
      </c>
      <c r="DS9" s="3" t="s">
        <v>36</v>
      </c>
      <c r="DT9" s="3" t="s">
        <v>1182</v>
      </c>
      <c r="DU9" s="3">
        <v>0</v>
      </c>
      <c r="DV9" s="3">
        <v>5</v>
      </c>
      <c r="DW9" s="3">
        <v>-0.11</v>
      </c>
      <c r="DX9" s="3">
        <v>-11523120</v>
      </c>
      <c r="EA9" s="21" t="str">
        <f ca="1">_xll.IMDP("BND",DR9,EA8,DR3)</f>
        <v/>
      </c>
      <c r="EB9" s="23" t="str">
        <f ca="1">_xll.IMDP("BND",DR9,EB8,DR3)</f>
        <v/>
      </c>
    </row>
    <row r="10" spans="1:132" ht="13.5" customHeight="1" x14ac:dyDescent="0.3">
      <c r="A10" s="2">
        <v>46198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2.48</v>
      </c>
      <c r="G10" s="3">
        <v>0</v>
      </c>
      <c r="H10" s="3">
        <v>2755923</v>
      </c>
      <c r="I10" s="3">
        <v>6304.62</v>
      </c>
      <c r="J10" s="3">
        <v>17.744299999999999</v>
      </c>
      <c r="K10" s="21">
        <f ca="1">_xll.IMDP("BND",B10,K8,B3)</f>
        <v>20510310</v>
      </c>
      <c r="L10" s="23">
        <f ca="1">_xll.IMDP("BND",B10,L8,B3)</f>
        <v>4.3710000000000004</v>
      </c>
      <c r="M10" s="2">
        <v>46198</v>
      </c>
      <c r="N10" s="3" t="s">
        <v>47</v>
      </c>
      <c r="O10" s="3" t="s">
        <v>29</v>
      </c>
      <c r="P10" s="3" t="s">
        <v>48</v>
      </c>
      <c r="Q10" s="3">
        <v>0</v>
      </c>
      <c r="R10" s="3">
        <v>7.95</v>
      </c>
      <c r="S10" s="3">
        <v>0</v>
      </c>
      <c r="T10" s="3">
        <v>9283535</v>
      </c>
      <c r="U10" s="3">
        <v>7264.13</v>
      </c>
      <c r="V10" s="3">
        <v>18.0136</v>
      </c>
      <c r="W10" s="21">
        <f ca="1">_xll.IMDP("BND",N10,W8,N3)</f>
        <v>20550310</v>
      </c>
      <c r="X10" s="23">
        <f ca="1">_xll.IMDP("BND",N10,X8,N3)</f>
        <v>4.3490000000000002</v>
      </c>
      <c r="Y10" s="2">
        <v>46198</v>
      </c>
      <c r="Z10" s="3" t="s">
        <v>35</v>
      </c>
      <c r="AA10" s="3" t="s">
        <v>36</v>
      </c>
      <c r="AB10" s="3" t="s">
        <v>37</v>
      </c>
      <c r="AC10" s="3">
        <v>0</v>
      </c>
      <c r="AD10" s="3">
        <v>9.4600000000000009</v>
      </c>
      <c r="AE10" s="3">
        <v>-0.13</v>
      </c>
      <c r="AF10" s="3">
        <v>-13832000</v>
      </c>
      <c r="AI10" s="21" t="str">
        <f ca="1">_xll.IMDP("BND",Z10,AI8,Z3)</f>
        <v/>
      </c>
      <c r="AJ10" s="23" t="str">
        <f ca="1">_xll.IMDP("BND",Z10,AJ8,Z3)</f>
        <v/>
      </c>
      <c r="AK10" s="2">
        <v>46198</v>
      </c>
      <c r="AL10" s="3" t="s">
        <v>31</v>
      </c>
      <c r="AM10" s="3" t="s">
        <v>29</v>
      </c>
      <c r="AN10" s="3" t="s">
        <v>32</v>
      </c>
      <c r="AO10" s="3">
        <v>0</v>
      </c>
      <c r="AP10" s="3">
        <v>34.83</v>
      </c>
      <c r="AQ10" s="3">
        <v>0</v>
      </c>
      <c r="AR10" s="3">
        <v>35840731</v>
      </c>
      <c r="AS10" s="3">
        <v>8882.61</v>
      </c>
      <c r="AT10" s="3">
        <v>7.8021000000000003</v>
      </c>
      <c r="AU10" s="21">
        <f ca="1">_xll.IMDP("BND",AL10,AU8,AL3)</f>
        <v>20350610</v>
      </c>
      <c r="AV10" s="23">
        <f ca="1">_xll.IMDP("BND",AL10,AV8,AL3)</f>
        <v>4.1449999999999996</v>
      </c>
      <c r="AW10" s="2">
        <v>46198</v>
      </c>
      <c r="AX10" s="3" t="s">
        <v>68</v>
      </c>
      <c r="AY10" s="3" t="s">
        <v>56</v>
      </c>
      <c r="AZ10" s="3" t="s">
        <v>69</v>
      </c>
      <c r="BA10" s="3">
        <v>0</v>
      </c>
      <c r="BB10" s="3">
        <v>29.42</v>
      </c>
      <c r="BC10" s="3">
        <v>0</v>
      </c>
      <c r="BD10" s="3">
        <v>30618672</v>
      </c>
      <c r="BE10" s="3">
        <v>9824.5499999999993</v>
      </c>
      <c r="BF10" s="3">
        <v>4.2609000000000004</v>
      </c>
      <c r="BG10" s="21">
        <f ca="1">_xll.IMDP("BND",AX10,BG8,AX3)</f>
        <v>20310310</v>
      </c>
      <c r="BH10" s="23">
        <f ca="1">_xll.IMDP("BND",AX10,BH8,AX3)</f>
        <v>4.016</v>
      </c>
      <c r="BI10" s="2">
        <v>46198</v>
      </c>
      <c r="BJ10" s="3" t="s">
        <v>28</v>
      </c>
      <c r="BK10" s="3" t="s">
        <v>29</v>
      </c>
      <c r="BL10" s="3" t="s">
        <v>30</v>
      </c>
      <c r="BM10" s="3">
        <v>0</v>
      </c>
      <c r="BN10" s="3">
        <v>2.56</v>
      </c>
      <c r="BO10" s="3">
        <v>0</v>
      </c>
      <c r="BP10" s="3">
        <v>3208065</v>
      </c>
      <c r="BQ10" s="3">
        <v>9299.98</v>
      </c>
      <c r="BR10" s="3">
        <v>7.9861000000000004</v>
      </c>
      <c r="BS10" s="21">
        <f ca="1">_xll.IMDP("BND",BJ10,BS8,BJ3)</f>
        <v>20351210</v>
      </c>
      <c r="BT10" s="23">
        <f ca="1">_xll.IMDP("BND",BJ10,BT8,BJ3)</f>
        <v>4.17</v>
      </c>
      <c r="BU10" s="2">
        <v>46198</v>
      </c>
      <c r="BV10" s="3" t="s">
        <v>943</v>
      </c>
      <c r="BW10" s="3" t="s">
        <v>944</v>
      </c>
      <c r="BX10" s="3" t="s">
        <v>945</v>
      </c>
      <c r="BY10" s="3">
        <v>0</v>
      </c>
      <c r="BZ10" s="3">
        <v>2.09</v>
      </c>
      <c r="CA10" s="3">
        <v>0</v>
      </c>
      <c r="CB10" s="3">
        <v>2797631</v>
      </c>
      <c r="CE10" s="21" t="str">
        <f ca="1">_xll.IMDP("BND",BV10,CE8,BV3)</f>
        <v/>
      </c>
      <c r="CF10" s="23" t="str">
        <f ca="1">_xll.IMDP("BND",BV10,CF8,BV3)</f>
        <v/>
      </c>
      <c r="CG10" s="2">
        <v>46198</v>
      </c>
      <c r="CH10" s="3" t="s">
        <v>594</v>
      </c>
      <c r="CI10" s="3" t="s">
        <v>595</v>
      </c>
      <c r="CJ10" s="3" t="s">
        <v>596</v>
      </c>
      <c r="CK10" s="3">
        <v>0</v>
      </c>
      <c r="CL10" s="3">
        <v>2.48</v>
      </c>
      <c r="CM10" s="3">
        <v>0</v>
      </c>
      <c r="CN10" s="3">
        <v>2535812</v>
      </c>
      <c r="CO10" s="3">
        <v>10064.709999999999</v>
      </c>
      <c r="CP10" s="3">
        <v>0.34250000000000003</v>
      </c>
      <c r="CQ10" s="21">
        <f ca="1">_xll.IMDP("BND",CH10,CQ8,CH3)</f>
        <v>20261030</v>
      </c>
      <c r="CR10" s="23">
        <f ca="1">_xll.IMDP("BND",CH10,CR8,CH3)</f>
        <v>3.371</v>
      </c>
      <c r="CS10" s="2">
        <v>46198</v>
      </c>
      <c r="CT10" s="3" t="s">
        <v>68</v>
      </c>
      <c r="CU10" s="3" t="s">
        <v>56</v>
      </c>
      <c r="CV10" s="3" t="s">
        <v>143</v>
      </c>
      <c r="CW10" s="3">
        <v>0</v>
      </c>
      <c r="CX10" s="3">
        <v>2.0699999999999998</v>
      </c>
      <c r="CY10" s="3">
        <v>0</v>
      </c>
      <c r="CZ10" s="3">
        <v>2981980</v>
      </c>
      <c r="DA10" s="3">
        <v>9824.5499999999993</v>
      </c>
      <c r="DB10" s="3">
        <v>4.2609000000000004</v>
      </c>
      <c r="DC10" s="21">
        <f ca="1">_xll.IMDP("BND",CT10,DC8,CT3)</f>
        <v>20310310</v>
      </c>
      <c r="DD10" s="23">
        <f ca="1">_xll.IMDP("BND",CT10,DD8,CT3)</f>
        <v>4.016</v>
      </c>
      <c r="DE10" s="2">
        <v>46198</v>
      </c>
      <c r="DF10" s="3" t="s">
        <v>550</v>
      </c>
      <c r="DG10" s="3" t="s">
        <v>73</v>
      </c>
      <c r="DH10" s="3" t="s">
        <v>551</v>
      </c>
      <c r="DI10" s="3">
        <v>0</v>
      </c>
      <c r="DJ10" s="3">
        <v>16.2</v>
      </c>
      <c r="DK10" s="3">
        <v>0</v>
      </c>
      <c r="DL10" s="3">
        <v>16376473</v>
      </c>
      <c r="DM10" s="3">
        <v>9798.0300000000007</v>
      </c>
      <c r="DN10" s="3">
        <v>2.5910000000000002</v>
      </c>
      <c r="DO10" s="21">
        <f ca="1">_xll.IMDP("BND",DF10,DO8,DF3)</f>
        <v>20290316</v>
      </c>
      <c r="DP10" s="23">
        <f ca="1">_xll.IMDP("BND",DF10,DP8,DF3)</f>
        <v>4.0570000000000004</v>
      </c>
      <c r="DQ10" s="2">
        <v>46198</v>
      </c>
      <c r="DR10" s="3" t="s">
        <v>137</v>
      </c>
      <c r="DS10" s="3" t="s">
        <v>138</v>
      </c>
      <c r="DT10" s="3" t="s">
        <v>1183</v>
      </c>
      <c r="DU10" s="3">
        <v>0</v>
      </c>
      <c r="DV10" s="3">
        <v>3.91</v>
      </c>
      <c r="DW10" s="3">
        <v>0.09</v>
      </c>
      <c r="DX10" s="3">
        <v>9004822</v>
      </c>
      <c r="EA10" s="21" t="str">
        <f ca="1">_xll.IMDP("BND",DR10,EA8,DR3)</f>
        <v/>
      </c>
      <c r="EB10" s="23" t="str">
        <f ca="1">_xll.IMDP("BND",DR10,EB8,DR3)</f>
        <v/>
      </c>
    </row>
    <row r="11" spans="1:132" ht="13.5" customHeight="1" x14ac:dyDescent="0.3">
      <c r="A11" s="2">
        <v>46198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2118253</v>
      </c>
      <c r="I11" s="3">
        <v>8936.58</v>
      </c>
      <c r="J11" s="3">
        <v>16.289400000000001</v>
      </c>
      <c r="K11" s="21">
        <f ca="1">_xll.IMDP("BND",B11,K8,B3)</f>
        <v>20530910</v>
      </c>
      <c r="L11" s="23">
        <f ca="1">_xll.IMDP("BND",B11,L8,B3)</f>
        <v>4.3620000000000001</v>
      </c>
      <c r="M11" s="2">
        <v>46198</v>
      </c>
      <c r="N11" s="3" t="s">
        <v>49</v>
      </c>
      <c r="O11" s="3" t="s">
        <v>50</v>
      </c>
      <c r="P11" s="3" t="s">
        <v>51</v>
      </c>
      <c r="Q11" s="3">
        <v>0</v>
      </c>
      <c r="R11" s="3">
        <v>6.5</v>
      </c>
      <c r="S11" s="3">
        <v>0</v>
      </c>
      <c r="T11" s="3">
        <v>7596004</v>
      </c>
      <c r="U11" s="3">
        <v>8702.85</v>
      </c>
      <c r="V11" s="3">
        <v>17.191299999999998</v>
      </c>
      <c r="W11" s="21">
        <f ca="1">_xll.IMDP("BND",N11,W8,N3)</f>
        <v>20560310</v>
      </c>
      <c r="X11" s="23">
        <f ca="1">_xll.IMDP("BND",N11,X8,N3)</f>
        <v>4.3419999999999996</v>
      </c>
      <c r="Y11" s="2">
        <v>46198</v>
      </c>
      <c r="Z11" s="3" t="s">
        <v>62</v>
      </c>
      <c r="AA11" s="3" t="s">
        <v>63</v>
      </c>
      <c r="AB11" s="3" t="s">
        <v>64</v>
      </c>
      <c r="AC11" s="3">
        <v>0</v>
      </c>
      <c r="AD11" s="3">
        <v>8.26</v>
      </c>
      <c r="AE11" s="3">
        <v>0</v>
      </c>
      <c r="AF11" s="3">
        <v>12078358</v>
      </c>
      <c r="AG11" s="3">
        <v>8272</v>
      </c>
      <c r="AH11" s="3">
        <v>13.382199999999999</v>
      </c>
      <c r="AI11" s="21">
        <f ca="1">_xll.IMDP("BND",Z11,AI8,Z3)</f>
        <v>20440910</v>
      </c>
      <c r="AJ11" s="23">
        <f ca="1">_xll.IMDP("BND",Z11,AJ8,Z3)</f>
        <v>4.3209999999999997</v>
      </c>
      <c r="AK11" s="2">
        <v>46198</v>
      </c>
      <c r="AL11" s="3" t="s">
        <v>33</v>
      </c>
      <c r="AM11" s="3" t="s">
        <v>29</v>
      </c>
      <c r="AN11" s="3" t="s">
        <v>34</v>
      </c>
      <c r="AO11" s="3">
        <v>0</v>
      </c>
      <c r="AP11" s="3">
        <v>16.87</v>
      </c>
      <c r="AQ11" s="3">
        <v>0</v>
      </c>
      <c r="AR11" s="3">
        <v>17360266</v>
      </c>
      <c r="AS11" s="3">
        <v>9218.9</v>
      </c>
      <c r="AT11" s="3">
        <v>7.3273000000000001</v>
      </c>
      <c r="AU11" s="21">
        <f ca="1">_xll.IMDP("BND",AL11,AU8,AL3)</f>
        <v>20341210</v>
      </c>
      <c r="AV11" s="23">
        <f ca="1">_xll.IMDP("BND",AL11,AV8,AL3)</f>
        <v>4.12</v>
      </c>
      <c r="AW11" s="2">
        <v>46198</v>
      </c>
      <c r="AX11" s="3" t="s">
        <v>135</v>
      </c>
      <c r="AY11" s="3" t="s">
        <v>50</v>
      </c>
      <c r="AZ11" s="3" t="s">
        <v>136</v>
      </c>
      <c r="BA11" s="3">
        <v>0</v>
      </c>
      <c r="BB11" s="3">
        <v>21.84</v>
      </c>
      <c r="BC11" s="3">
        <v>0</v>
      </c>
      <c r="BD11" s="3">
        <v>22726490</v>
      </c>
      <c r="BE11" s="3">
        <v>9751.25</v>
      </c>
      <c r="BF11" s="3">
        <v>1.8928</v>
      </c>
      <c r="BG11" s="21">
        <f ca="1">_xll.IMDP("BND",AX11,BG8,AX3)</f>
        <v>20280610</v>
      </c>
      <c r="BH11" s="23">
        <f ca="1">_xll.IMDP("BND",AX11,BH8,AX3)</f>
        <v>3.625</v>
      </c>
      <c r="BI11" s="2">
        <v>46198</v>
      </c>
      <c r="BJ11" s="3" t="s">
        <v>126</v>
      </c>
      <c r="BK11" s="3" t="s">
        <v>29</v>
      </c>
      <c r="BL11" s="3" t="s">
        <v>127</v>
      </c>
      <c r="BM11" s="3">
        <v>0</v>
      </c>
      <c r="BN11" s="3">
        <v>2.54</v>
      </c>
      <c r="BO11" s="3">
        <v>0</v>
      </c>
      <c r="BP11" s="3">
        <v>3177945</v>
      </c>
      <c r="BQ11" s="3">
        <v>9070.2099999999991</v>
      </c>
      <c r="BR11" s="3">
        <v>3.7856999999999998</v>
      </c>
      <c r="BS11" s="21">
        <f ca="1">_xll.IMDP("BND",BJ11,BS8,BJ3)</f>
        <v>20300610</v>
      </c>
      <c r="BT11" s="23">
        <f ca="1">_xll.IMDP("BND",BJ11,BT8,BJ3)</f>
        <v>3.95</v>
      </c>
      <c r="BU11" s="2">
        <v>46198</v>
      </c>
      <c r="BV11" s="3" t="s">
        <v>946</v>
      </c>
      <c r="BW11" s="3" t="s">
        <v>947</v>
      </c>
      <c r="BX11" s="3" t="s">
        <v>948</v>
      </c>
      <c r="BY11" s="3">
        <v>0</v>
      </c>
      <c r="BZ11" s="3">
        <v>1.77</v>
      </c>
      <c r="CA11" s="3">
        <v>0</v>
      </c>
      <c r="CB11" s="3">
        <v>2371239</v>
      </c>
      <c r="CE11" s="21" t="str">
        <f ca="1">_xll.IMDP("BND",BV11,CE8,BV3)</f>
        <v/>
      </c>
      <c r="CF11" s="23" t="str">
        <f ca="1">_xll.IMDP("BND",BV11,CF8,BV3)</f>
        <v/>
      </c>
      <c r="CG11" s="2">
        <v>46198</v>
      </c>
      <c r="CH11" s="3" t="s">
        <v>597</v>
      </c>
      <c r="CI11" s="3" t="s">
        <v>598</v>
      </c>
      <c r="CJ11" s="3" t="s">
        <v>599</v>
      </c>
      <c r="CK11" s="3">
        <v>0</v>
      </c>
      <c r="CL11" s="3">
        <v>2.48</v>
      </c>
      <c r="CM11" s="3">
        <v>0</v>
      </c>
      <c r="CN11" s="3">
        <v>2535076</v>
      </c>
      <c r="CO11" s="3">
        <v>10061.69</v>
      </c>
      <c r="CP11" s="3">
        <v>7.9699999999999993E-2</v>
      </c>
      <c r="CQ11" s="21">
        <f ca="1">_xll.IMDP("BND",CH11,CQ8,CH3)</f>
        <v>20260724</v>
      </c>
      <c r="CR11" s="23">
        <f ca="1">_xll.IMDP("BND",CH11,CR8,CH3)</f>
        <v>3.1779999999999999</v>
      </c>
      <c r="CS11" s="2">
        <v>46198</v>
      </c>
      <c r="CT11" s="3" t="s">
        <v>47</v>
      </c>
      <c r="CU11" s="3" t="s">
        <v>29</v>
      </c>
      <c r="CV11" s="3" t="s">
        <v>144</v>
      </c>
      <c r="CW11" s="3">
        <v>0</v>
      </c>
      <c r="CX11" s="3">
        <v>1.24</v>
      </c>
      <c r="CY11" s="3">
        <v>0</v>
      </c>
      <c r="CZ11" s="3">
        <v>1782454</v>
      </c>
      <c r="DA11" s="3">
        <v>7264.13</v>
      </c>
      <c r="DB11" s="3">
        <v>18.0136</v>
      </c>
      <c r="DC11" s="21">
        <f ca="1">_xll.IMDP("BND",CT11,DC8,CT3)</f>
        <v>20550310</v>
      </c>
      <c r="DD11" s="23">
        <f ca="1">_xll.IMDP("BND",CT11,DD8,CT3)</f>
        <v>4.3490000000000002</v>
      </c>
      <c r="DE11" s="2">
        <v>46198</v>
      </c>
      <c r="DF11" s="3" t="s">
        <v>526</v>
      </c>
      <c r="DG11" s="3" t="s">
        <v>527</v>
      </c>
      <c r="DH11" s="3" t="s">
        <v>528</v>
      </c>
      <c r="DI11" s="3">
        <v>0</v>
      </c>
      <c r="DJ11" s="3">
        <v>8.16</v>
      </c>
      <c r="DK11" s="3">
        <v>0</v>
      </c>
      <c r="DL11" s="3">
        <v>8248596</v>
      </c>
      <c r="DM11" s="3">
        <v>9872.65</v>
      </c>
      <c r="DN11" s="3">
        <v>2.3612000000000002</v>
      </c>
      <c r="DO11" s="21">
        <f ca="1">_xll.IMDP("BND",DF11,DO8,DF3)</f>
        <v>20281226</v>
      </c>
      <c r="DP11" s="23">
        <f ca="1">_xll.IMDP("BND",DF11,DP8,DF3)</f>
        <v>4.3979999999999997</v>
      </c>
      <c r="DQ11" s="2">
        <v>46198</v>
      </c>
      <c r="DR11" s="3" t="s">
        <v>1184</v>
      </c>
      <c r="DS11" s="3" t="s">
        <v>1185</v>
      </c>
      <c r="DT11" s="3" t="s">
        <v>1186</v>
      </c>
      <c r="DU11" s="3">
        <v>101265</v>
      </c>
      <c r="DV11" s="3">
        <v>1.83</v>
      </c>
      <c r="DW11" s="3">
        <v>41.66</v>
      </c>
      <c r="DX11" s="3">
        <v>4218487</v>
      </c>
      <c r="EA11" s="21" t="str">
        <f ca="1">_xll.IMDP("BND",DR11,EA8,DR3)</f>
        <v/>
      </c>
      <c r="EB11" s="23" t="str">
        <f ca="1">_xll.IMDP("BND",DR11,EB8,DR3)</f>
        <v/>
      </c>
    </row>
    <row r="12" spans="1:132" ht="13.5" customHeight="1" x14ac:dyDescent="0.3">
      <c r="A12" s="2">
        <v>46198</v>
      </c>
      <c r="B12" s="3" t="s">
        <v>218</v>
      </c>
      <c r="C12" s="3" t="s">
        <v>29</v>
      </c>
      <c r="D12" s="3" t="s">
        <v>738</v>
      </c>
      <c r="E12" s="3">
        <v>0</v>
      </c>
      <c r="F12" s="3">
        <v>1.25</v>
      </c>
      <c r="G12" s="3">
        <v>0</v>
      </c>
      <c r="H12" s="3">
        <v>1388073</v>
      </c>
      <c r="I12" s="3">
        <v>8311.85</v>
      </c>
      <c r="J12" s="3">
        <v>10.1755</v>
      </c>
      <c r="K12" s="21">
        <f ca="1">_xll.IMDP("BND",B12,K8,B3)</f>
        <v>20380910</v>
      </c>
      <c r="L12" s="23">
        <f ca="1">_xll.IMDP("BND",B12,L8,B3)</f>
        <v>4.2320000000000002</v>
      </c>
      <c r="M12" s="2">
        <v>46198</v>
      </c>
      <c r="N12" s="3" t="s">
        <v>28</v>
      </c>
      <c r="O12" s="3" t="s">
        <v>29</v>
      </c>
      <c r="P12" s="3" t="s">
        <v>30</v>
      </c>
      <c r="Q12" s="3">
        <v>0</v>
      </c>
      <c r="R12" s="3">
        <v>6.45</v>
      </c>
      <c r="S12" s="3">
        <v>0</v>
      </c>
      <c r="T12" s="3">
        <v>7537390</v>
      </c>
      <c r="U12" s="3">
        <v>9299.98</v>
      </c>
      <c r="V12" s="3">
        <v>7.9861000000000004</v>
      </c>
      <c r="W12" s="21">
        <f ca="1">_xll.IMDP("BND",N12,W8,N3)</f>
        <v>20351210</v>
      </c>
      <c r="X12" s="23">
        <f ca="1">_xll.IMDP("BND",N12,X8,N3)</f>
        <v>4.17</v>
      </c>
      <c r="Y12" s="2">
        <v>46198</v>
      </c>
      <c r="Z12" s="3" t="s">
        <v>727</v>
      </c>
      <c r="AA12" s="3" t="s">
        <v>29</v>
      </c>
      <c r="AB12" s="3" t="s">
        <v>728</v>
      </c>
      <c r="AC12" s="3">
        <v>0</v>
      </c>
      <c r="AD12" s="3">
        <v>5.52</v>
      </c>
      <c r="AE12" s="3">
        <v>0</v>
      </c>
      <c r="AF12" s="3">
        <v>8075656</v>
      </c>
      <c r="AG12" s="3">
        <v>7682.91</v>
      </c>
      <c r="AH12" s="3">
        <v>15.3127</v>
      </c>
      <c r="AI12" s="21">
        <f ca="1">_xll.IMDP("BND",Z12,AI8,Z3)</f>
        <v>20480310</v>
      </c>
      <c r="AJ12" s="23">
        <f ca="1">_xll.IMDP("BND",Z12,AJ8,Z3)</f>
        <v>4.3369999999999997</v>
      </c>
      <c r="AK12" s="2">
        <v>46198</v>
      </c>
      <c r="AL12" s="3" t="s">
        <v>35</v>
      </c>
      <c r="AM12" s="3" t="s">
        <v>36</v>
      </c>
      <c r="AN12" s="3" t="s">
        <v>37</v>
      </c>
      <c r="AO12" s="3">
        <v>0</v>
      </c>
      <c r="AP12" s="3">
        <v>4.1399999999999997</v>
      </c>
      <c r="AQ12" s="3">
        <v>0.04</v>
      </c>
      <c r="AR12" s="3">
        <v>4256000</v>
      </c>
      <c r="AU12" s="21" t="str">
        <f ca="1">_xll.IMDP("BND",AL12,AU8,AL3)</f>
        <v/>
      </c>
      <c r="AV12" s="23" t="str">
        <f ca="1">_xll.IMDP("BND",AL12,AV8,AL3)</f>
        <v/>
      </c>
      <c r="AW12" s="2">
        <v>46198</v>
      </c>
      <c r="AX12" s="3" t="s">
        <v>137</v>
      </c>
      <c r="AY12" s="3" t="s">
        <v>138</v>
      </c>
      <c r="AZ12" s="3" t="s">
        <v>139</v>
      </c>
      <c r="BA12" s="3">
        <v>0</v>
      </c>
      <c r="BB12" s="3">
        <v>3.96</v>
      </c>
      <c r="BC12" s="3">
        <v>0.04</v>
      </c>
      <c r="BD12" s="3">
        <v>4121200</v>
      </c>
      <c r="BG12" s="21" t="str">
        <f ca="1">_xll.IMDP("BND",AX12,BG8,AX3)</f>
        <v/>
      </c>
      <c r="BH12" s="23" t="str">
        <f ca="1">_xll.IMDP("BND",AX12,BH8,AX3)</f>
        <v/>
      </c>
      <c r="BI12" s="2">
        <v>46198</v>
      </c>
      <c r="BJ12" s="3" t="s">
        <v>47</v>
      </c>
      <c r="BK12" s="3" t="s">
        <v>29</v>
      </c>
      <c r="BL12" s="3" t="s">
        <v>48</v>
      </c>
      <c r="BM12" s="3">
        <v>0</v>
      </c>
      <c r="BN12" s="3">
        <v>2.35</v>
      </c>
      <c r="BO12" s="3">
        <v>0</v>
      </c>
      <c r="BP12" s="3">
        <v>2941089</v>
      </c>
      <c r="BQ12" s="3">
        <v>7264.13</v>
      </c>
      <c r="BR12" s="3">
        <v>18.0136</v>
      </c>
      <c r="BS12" s="21">
        <f ca="1">_xll.IMDP("BND",BJ12,BS8,BJ3)</f>
        <v>20550310</v>
      </c>
      <c r="BT12" s="23">
        <f ca="1">_xll.IMDP("BND",BJ12,BT8,BJ3)</f>
        <v>4.3490000000000002</v>
      </c>
      <c r="BU12" s="2">
        <v>46198</v>
      </c>
      <c r="BV12" s="3" t="s">
        <v>949</v>
      </c>
      <c r="BW12" s="3" t="s">
        <v>950</v>
      </c>
      <c r="BX12" s="3" t="s">
        <v>951</v>
      </c>
      <c r="BY12" s="3">
        <v>0</v>
      </c>
      <c r="BZ12" s="3">
        <v>1.76</v>
      </c>
      <c r="CA12" s="3">
        <v>0</v>
      </c>
      <c r="CB12" s="3">
        <v>2347789</v>
      </c>
      <c r="CE12" s="21" t="str">
        <f ca="1">_xll.IMDP("BND",BV12,CE8,BV3)</f>
        <v/>
      </c>
      <c r="CF12" s="23" t="str">
        <f ca="1">_xll.IMDP("BND",BV12,CF8,BV3)</f>
        <v/>
      </c>
      <c r="CG12" s="2">
        <v>46198</v>
      </c>
      <c r="CH12" s="3" t="s">
        <v>600</v>
      </c>
      <c r="CI12" s="3" t="s">
        <v>601</v>
      </c>
      <c r="CJ12" s="3" t="s">
        <v>602</v>
      </c>
      <c r="CK12" s="3">
        <v>0</v>
      </c>
      <c r="CL12" s="3">
        <v>2.48</v>
      </c>
      <c r="CM12" s="3">
        <v>0</v>
      </c>
      <c r="CN12" s="3">
        <v>2531760</v>
      </c>
      <c r="CO12" s="3">
        <v>10047.719999999999</v>
      </c>
      <c r="CP12" s="3">
        <v>1.0069999999999999</v>
      </c>
      <c r="CQ12" s="21">
        <f ca="1">_xll.IMDP("BND",CH12,CQ8,CH3)</f>
        <v>20270709</v>
      </c>
      <c r="CR12" s="23">
        <f ca="1">_xll.IMDP("BND",CH12,CR8,CH3)</f>
        <v>3.9359999999999999</v>
      </c>
      <c r="CS12" s="2">
        <v>46198</v>
      </c>
      <c r="CT12" s="3" t="s">
        <v>60</v>
      </c>
      <c r="CU12" s="3" t="s">
        <v>56</v>
      </c>
      <c r="CV12" s="3" t="s">
        <v>145</v>
      </c>
      <c r="CW12" s="3">
        <v>0</v>
      </c>
      <c r="CX12" s="3">
        <v>1.23</v>
      </c>
      <c r="CY12" s="3">
        <v>0</v>
      </c>
      <c r="CZ12" s="3">
        <v>1775116</v>
      </c>
      <c r="DA12" s="3">
        <v>9503.5300000000007</v>
      </c>
      <c r="DB12" s="3">
        <v>3.9093</v>
      </c>
      <c r="DC12" s="21">
        <f ca="1">_xll.IMDP("BND",CT12,DC8,CT3)</f>
        <v>20300910</v>
      </c>
      <c r="DD12" s="23">
        <f ca="1">_xll.IMDP("BND",CT12,DD8,CT3)</f>
        <v>3.98</v>
      </c>
      <c r="DE12" s="2">
        <v>46198</v>
      </c>
      <c r="DF12" s="3" t="s">
        <v>68</v>
      </c>
      <c r="DG12" s="3" t="s">
        <v>56</v>
      </c>
      <c r="DH12" s="3" t="s">
        <v>69</v>
      </c>
      <c r="DI12" s="3">
        <v>0</v>
      </c>
      <c r="DJ12" s="3">
        <v>8.1199999999999992</v>
      </c>
      <c r="DK12" s="3">
        <v>0</v>
      </c>
      <c r="DL12" s="3">
        <v>8209972</v>
      </c>
      <c r="DM12" s="3">
        <v>9824.5499999999993</v>
      </c>
      <c r="DN12" s="3">
        <v>4.2609000000000004</v>
      </c>
      <c r="DO12" s="21">
        <f ca="1">_xll.IMDP("BND",DF12,DO8,DF3)</f>
        <v>20310310</v>
      </c>
      <c r="DP12" s="23">
        <f ca="1">_xll.IMDP("BND",DF12,DP8,DF3)</f>
        <v>4.016</v>
      </c>
      <c r="DQ12" s="2">
        <v>46198</v>
      </c>
      <c r="DR12" s="3" t="s">
        <v>1187</v>
      </c>
      <c r="DS12" s="3" t="s">
        <v>443</v>
      </c>
      <c r="DT12" s="3" t="s">
        <v>1188</v>
      </c>
      <c r="DU12" s="3">
        <v>0</v>
      </c>
      <c r="DV12" s="3">
        <v>1.82</v>
      </c>
      <c r="DW12" s="3">
        <v>0</v>
      </c>
      <c r="DX12" s="3">
        <v>4191639</v>
      </c>
      <c r="DY12" s="3">
        <v>10061.57</v>
      </c>
      <c r="DZ12" s="3">
        <v>0.38040000000000002</v>
      </c>
      <c r="EA12" s="21">
        <f ca="1">_xll.IMDP("BND",DR12,EA8,DR3)</f>
        <v>20261113</v>
      </c>
      <c r="EB12" s="23">
        <f ca="1">_xll.IMDP("BND",DR12,EB8,DR3)</f>
        <v>3.6779999999999999</v>
      </c>
    </row>
    <row r="13" spans="1:132" ht="13.5" customHeight="1" x14ac:dyDescent="0.3">
      <c r="A13" s="2">
        <v>46198</v>
      </c>
      <c r="B13" s="3" t="s">
        <v>739</v>
      </c>
      <c r="C13" s="3" t="s">
        <v>29</v>
      </c>
      <c r="D13" s="3" t="s">
        <v>740</v>
      </c>
      <c r="E13" s="3">
        <v>0</v>
      </c>
      <c r="F13" s="3">
        <v>1.17</v>
      </c>
      <c r="G13" s="3">
        <v>0</v>
      </c>
      <c r="H13" s="3">
        <v>1303983</v>
      </c>
      <c r="I13" s="3">
        <v>8323.86</v>
      </c>
      <c r="J13" s="3">
        <v>9.5386000000000006</v>
      </c>
      <c r="K13" s="21">
        <f ca="1">_xll.IMDP("BND",B13,K8,B3)</f>
        <v>20370910</v>
      </c>
      <c r="L13" s="23">
        <f ca="1">_xll.IMDP("BND",B13,L8,B3)</f>
        <v>4.2140000000000004</v>
      </c>
      <c r="M13" s="2">
        <v>46198</v>
      </c>
      <c r="N13" s="3" t="s">
        <v>52</v>
      </c>
      <c r="O13" s="3" t="s">
        <v>53</v>
      </c>
      <c r="P13" s="3" t="s">
        <v>54</v>
      </c>
      <c r="Q13" s="3">
        <v>0</v>
      </c>
      <c r="R13" s="3">
        <v>5.15</v>
      </c>
      <c r="S13" s="3">
        <v>0</v>
      </c>
      <c r="T13" s="3">
        <v>6017400</v>
      </c>
      <c r="U13" s="3">
        <v>9651.19</v>
      </c>
      <c r="V13" s="3">
        <v>4.0742000000000003</v>
      </c>
      <c r="W13" s="21">
        <f ca="1">_xll.IMDP("BND",N13,W8,N3)</f>
        <v>20301127</v>
      </c>
      <c r="X13" s="23">
        <f ca="1">_xll.IMDP("BND",N13,X8,N3)</f>
        <v>4.2290000000000001</v>
      </c>
      <c r="Y13" s="2">
        <v>46198</v>
      </c>
      <c r="Z13" s="3" t="s">
        <v>77</v>
      </c>
      <c r="AA13" s="3" t="s">
        <v>29</v>
      </c>
      <c r="AB13" s="3" t="s">
        <v>78</v>
      </c>
      <c r="AC13" s="3">
        <v>0</v>
      </c>
      <c r="AD13" s="3">
        <v>4.57</v>
      </c>
      <c r="AE13" s="3">
        <v>0</v>
      </c>
      <c r="AF13" s="3">
        <v>6677904</v>
      </c>
      <c r="AG13" s="3">
        <v>8139.76</v>
      </c>
      <c r="AH13" s="3">
        <v>16.4742</v>
      </c>
      <c r="AI13" s="21">
        <f ca="1">_xll.IMDP("BND",Z13,AI8,Z3)</f>
        <v>20520910</v>
      </c>
      <c r="AJ13" s="23">
        <f ca="1">_xll.IMDP("BND",Z13,AJ8,Z3)</f>
        <v>4.3840000000000003</v>
      </c>
      <c r="AK13" s="2">
        <v>46198</v>
      </c>
      <c r="AL13" s="3" t="s">
        <v>38</v>
      </c>
      <c r="AM13" s="3" t="s">
        <v>29</v>
      </c>
      <c r="AN13" s="3" t="s">
        <v>39</v>
      </c>
      <c r="AO13" s="3">
        <v>0</v>
      </c>
      <c r="AP13" s="3">
        <v>3.61</v>
      </c>
      <c r="AQ13" s="3">
        <v>0</v>
      </c>
      <c r="AR13" s="3">
        <v>3715780</v>
      </c>
      <c r="AS13" s="3">
        <v>10014.459999999999</v>
      </c>
      <c r="AT13" s="3">
        <v>6.3571</v>
      </c>
      <c r="AU13" s="21">
        <f ca="1">_xll.IMDP("BND",AL13,AU8,AL3)</f>
        <v>20331210</v>
      </c>
      <c r="AV13" s="23">
        <f ca="1">_xll.IMDP("BND",AL13,AV8,AL3)</f>
        <v>4.1280000000000001</v>
      </c>
      <c r="AW13" s="2">
        <v>46198</v>
      </c>
      <c r="AX13" s="3" t="s">
        <v>140</v>
      </c>
      <c r="AY13" s="3" t="s">
        <v>50</v>
      </c>
      <c r="AZ13" s="3" t="s">
        <v>141</v>
      </c>
      <c r="BA13" s="3">
        <v>0</v>
      </c>
      <c r="BB13" s="3">
        <v>1.29</v>
      </c>
      <c r="BC13" s="3">
        <v>0</v>
      </c>
      <c r="BD13" s="3">
        <v>1344599</v>
      </c>
      <c r="BE13" s="3">
        <v>9922.7199999999993</v>
      </c>
      <c r="BF13" s="3">
        <v>1.4142999999999999</v>
      </c>
      <c r="BG13" s="21">
        <f ca="1">_xll.IMDP("BND",AX13,BG8,AX3)</f>
        <v>20271210</v>
      </c>
      <c r="BH13" s="23">
        <f ca="1">_xll.IMDP("BND",AX13,BH8,AX3)</f>
        <v>3.5049999999999999</v>
      </c>
      <c r="BI13" s="2">
        <v>46198</v>
      </c>
      <c r="BJ13" s="3" t="s">
        <v>210</v>
      </c>
      <c r="BK13" s="3" t="s">
        <v>29</v>
      </c>
      <c r="BL13" s="3" t="s">
        <v>385</v>
      </c>
      <c r="BM13" s="3">
        <v>0</v>
      </c>
      <c r="BN13" s="3">
        <v>2.09</v>
      </c>
      <c r="BO13" s="3">
        <v>0</v>
      </c>
      <c r="BP13" s="3">
        <v>2617390</v>
      </c>
      <c r="BQ13" s="3">
        <v>7246.18</v>
      </c>
      <c r="BR13" s="3">
        <v>18.180700000000002</v>
      </c>
      <c r="BS13" s="21">
        <f ca="1">_xll.IMDP("BND",BJ13,BS8,BJ3)</f>
        <v>20550910</v>
      </c>
      <c r="BT13" s="23">
        <f ca="1">_xll.IMDP("BND",BJ13,BT8,BJ3)</f>
        <v>4.3440000000000003</v>
      </c>
      <c r="BU13" s="2">
        <v>46198</v>
      </c>
      <c r="BV13" s="3" t="s">
        <v>952</v>
      </c>
      <c r="BW13" s="3" t="s">
        <v>953</v>
      </c>
      <c r="BX13" s="3" t="s">
        <v>954</v>
      </c>
      <c r="BY13" s="3">
        <v>0</v>
      </c>
      <c r="BZ13" s="3">
        <v>1.75</v>
      </c>
      <c r="CA13" s="3">
        <v>0</v>
      </c>
      <c r="CB13" s="3">
        <v>2339793</v>
      </c>
      <c r="CE13" s="21" t="str">
        <f ca="1">_xll.IMDP("BND",BV13,CE8,BV3)</f>
        <v/>
      </c>
      <c r="CF13" s="23" t="str">
        <f ca="1">_xll.IMDP("BND",BV13,CF8,BV3)</f>
        <v/>
      </c>
      <c r="CG13" s="2">
        <v>46198</v>
      </c>
      <c r="CH13" s="3" t="s">
        <v>603</v>
      </c>
      <c r="CI13" s="3" t="s">
        <v>604</v>
      </c>
      <c r="CJ13" s="3" t="s">
        <v>605</v>
      </c>
      <c r="CK13" s="3">
        <v>0</v>
      </c>
      <c r="CL13" s="3">
        <v>2.48</v>
      </c>
      <c r="CM13" s="3">
        <v>0</v>
      </c>
      <c r="CN13" s="3">
        <v>2528515</v>
      </c>
      <c r="CO13" s="3">
        <v>10036.4</v>
      </c>
      <c r="CP13" s="3">
        <v>0.76329999999999998</v>
      </c>
      <c r="CQ13" s="21">
        <f ca="1">_xll.IMDP("BND",CH13,CQ8,CH3)</f>
        <v>20270409</v>
      </c>
      <c r="CR13" s="23">
        <f ca="1">_xll.IMDP("BND",CH13,CR8,CH3)</f>
        <v>4.71</v>
      </c>
      <c r="CS13" s="2">
        <v>46198</v>
      </c>
      <c r="CT13" s="3" t="s">
        <v>62</v>
      </c>
      <c r="CU13" s="3" t="s">
        <v>63</v>
      </c>
      <c r="CV13" s="3" t="s">
        <v>161</v>
      </c>
      <c r="CW13" s="3">
        <v>0</v>
      </c>
      <c r="CX13" s="3">
        <v>1.19</v>
      </c>
      <c r="CY13" s="3">
        <v>0</v>
      </c>
      <c r="CZ13" s="3">
        <v>1718886</v>
      </c>
      <c r="DA13" s="3">
        <v>8272</v>
      </c>
      <c r="DB13" s="3">
        <v>13.382199999999999</v>
      </c>
      <c r="DC13" s="21">
        <f ca="1">_xll.IMDP("BND",CT13,DC8,CT3)</f>
        <v>20440910</v>
      </c>
      <c r="DD13" s="23">
        <f ca="1">_xll.IMDP("BND",CT13,DD8,CT3)</f>
        <v>4.3209999999999997</v>
      </c>
      <c r="DE13" s="2">
        <v>46198</v>
      </c>
      <c r="DF13" s="3" t="s">
        <v>1382</v>
      </c>
      <c r="DG13" s="3" t="s">
        <v>1205</v>
      </c>
      <c r="DH13" s="3" t="s">
        <v>1383</v>
      </c>
      <c r="DI13" s="3">
        <v>0</v>
      </c>
      <c r="DJ13" s="3">
        <v>7.82</v>
      </c>
      <c r="DK13" s="3">
        <v>0</v>
      </c>
      <c r="DL13" s="3">
        <v>7901949</v>
      </c>
      <c r="DM13" s="3">
        <v>9454.4</v>
      </c>
      <c r="DN13" s="3">
        <v>3.8927999999999998</v>
      </c>
      <c r="DO13" s="21">
        <f ca="1">_xll.IMDP("BND",DF13,DO8,DF3)</f>
        <v>20300829</v>
      </c>
      <c r="DP13" s="23">
        <f ca="1">_xll.IMDP("BND",DF13,DP8,DF3)</f>
        <v>4.37</v>
      </c>
      <c r="DQ13" s="2">
        <v>46198</v>
      </c>
      <c r="DR13" s="3" t="s">
        <v>1189</v>
      </c>
      <c r="DS13" s="3" t="s">
        <v>1190</v>
      </c>
      <c r="DT13" s="3" t="s">
        <v>1191</v>
      </c>
      <c r="DU13" s="3">
        <v>100290</v>
      </c>
      <c r="DV13" s="3">
        <v>1.81</v>
      </c>
      <c r="DW13" s="3">
        <v>41.66</v>
      </c>
      <c r="DX13" s="3">
        <v>4177870</v>
      </c>
      <c r="EA13" s="21" t="str">
        <f ca="1">_xll.IMDP("BND",DR13,EA8,DR3)</f>
        <v/>
      </c>
      <c r="EB13" s="23" t="str">
        <f ca="1">_xll.IMDP("BND",DR13,EB8,DR3)</f>
        <v/>
      </c>
    </row>
    <row r="14" spans="1:132" ht="13.5" customHeight="1" x14ac:dyDescent="0.3">
      <c r="A14" s="2">
        <v>46198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1259422</v>
      </c>
      <c r="I14" s="3">
        <v>9299.98</v>
      </c>
      <c r="J14" s="3">
        <v>7.9861000000000004</v>
      </c>
      <c r="K14" s="21">
        <f ca="1">_xll.IMDP("BND",B14,K8,B3)</f>
        <v>20351210</v>
      </c>
      <c r="L14" s="23">
        <f ca="1">_xll.IMDP("BND",B14,L8,B3)</f>
        <v>4.17</v>
      </c>
      <c r="M14" s="2">
        <v>46198</v>
      </c>
      <c r="N14" s="3" t="s">
        <v>55</v>
      </c>
      <c r="O14" s="3" t="s">
        <v>56</v>
      </c>
      <c r="P14" s="3" t="s">
        <v>57</v>
      </c>
      <c r="Q14" s="3">
        <v>0</v>
      </c>
      <c r="R14" s="3">
        <v>5.14</v>
      </c>
      <c r="S14" s="3">
        <v>0</v>
      </c>
      <c r="T14" s="3">
        <v>6004794</v>
      </c>
      <c r="U14" s="3">
        <v>9631.41</v>
      </c>
      <c r="V14" s="3">
        <v>3.4603000000000002</v>
      </c>
      <c r="W14" s="21">
        <f ca="1">_xll.IMDP("BND",N14,W8,N3)</f>
        <v>20300310</v>
      </c>
      <c r="X14" s="23">
        <f ca="1">_xll.IMDP("BND",N14,X8,N3)</f>
        <v>3.923</v>
      </c>
      <c r="Y14" s="2">
        <v>46198</v>
      </c>
      <c r="Z14" s="3" t="s">
        <v>103</v>
      </c>
      <c r="AA14" s="3" t="s">
        <v>63</v>
      </c>
      <c r="AB14" s="3" t="s">
        <v>104</v>
      </c>
      <c r="AC14" s="3">
        <v>0</v>
      </c>
      <c r="AD14" s="3">
        <v>4.08</v>
      </c>
      <c r="AE14" s="3">
        <v>0</v>
      </c>
      <c r="AF14" s="3">
        <v>5968102</v>
      </c>
      <c r="AG14" s="3">
        <v>9584.92</v>
      </c>
      <c r="AH14" s="3">
        <v>12.1684</v>
      </c>
      <c r="AI14" s="21">
        <f ca="1">_xll.IMDP("BND",Z14,AI8,Z3)</f>
        <v>20430910</v>
      </c>
      <c r="AJ14" s="23">
        <f ca="1">_xll.IMDP("BND",Z14,AJ8,Z3)</f>
        <v>4.3109999999999999</v>
      </c>
      <c r="AK14" s="2">
        <v>46198</v>
      </c>
      <c r="AL14" s="3" t="s">
        <v>40</v>
      </c>
      <c r="AM14" s="3" t="s">
        <v>29</v>
      </c>
      <c r="AN14" s="3" t="s">
        <v>41</v>
      </c>
      <c r="AO14" s="3">
        <v>0</v>
      </c>
      <c r="AP14" s="3">
        <v>1.78</v>
      </c>
      <c r="AQ14" s="3">
        <v>0</v>
      </c>
      <c r="AR14" s="3">
        <v>1835765</v>
      </c>
      <c r="AS14" s="3">
        <v>10096.75</v>
      </c>
      <c r="AT14" s="3">
        <v>5.5978000000000003</v>
      </c>
      <c r="AU14" s="21">
        <f ca="1">_xll.IMDP("BND",AL14,AU8,AL3)</f>
        <v>20321210</v>
      </c>
      <c r="AV14" s="23">
        <f ca="1">_xll.IMDP("BND",AL14,AV8,AL3)</f>
        <v>4.1079999999999997</v>
      </c>
      <c r="AW14" s="2">
        <v>46198</v>
      </c>
      <c r="AX14" s="3" t="s">
        <v>55</v>
      </c>
      <c r="AY14" s="3" t="s">
        <v>56</v>
      </c>
      <c r="AZ14" s="3" t="s">
        <v>57</v>
      </c>
      <c r="BA14" s="3">
        <v>0</v>
      </c>
      <c r="BB14" s="3">
        <v>0.38</v>
      </c>
      <c r="BC14" s="3">
        <v>0</v>
      </c>
      <c r="BD14" s="3">
        <v>391533</v>
      </c>
      <c r="BE14" s="3">
        <v>9631.41</v>
      </c>
      <c r="BF14" s="3">
        <v>3.4603000000000002</v>
      </c>
      <c r="BG14" s="21">
        <f ca="1">_xll.IMDP("BND",AX14,BG8,AX3)</f>
        <v>20300310</v>
      </c>
      <c r="BH14" s="23">
        <f ca="1">_xll.IMDP("BND",AX14,BH8,AX3)</f>
        <v>3.923</v>
      </c>
      <c r="BI14" s="2">
        <v>46198</v>
      </c>
      <c r="BJ14" s="3" t="s">
        <v>68</v>
      </c>
      <c r="BK14" s="3" t="s">
        <v>56</v>
      </c>
      <c r="BL14" s="3" t="s">
        <v>69</v>
      </c>
      <c r="BM14" s="3">
        <v>0</v>
      </c>
      <c r="BN14" s="3">
        <v>2.0499999999999998</v>
      </c>
      <c r="BO14" s="3">
        <v>0</v>
      </c>
      <c r="BP14" s="3">
        <v>2571581</v>
      </c>
      <c r="BQ14" s="3">
        <v>9824.5499999999993</v>
      </c>
      <c r="BR14" s="3">
        <v>4.2609000000000004</v>
      </c>
      <c r="BS14" s="21">
        <f ca="1">_xll.IMDP("BND",BJ14,BS8,BJ3)</f>
        <v>20310310</v>
      </c>
      <c r="BT14" s="23">
        <f ca="1">_xll.IMDP("BND",BJ14,BT8,BJ3)</f>
        <v>4.016</v>
      </c>
      <c r="BU14" s="2">
        <v>46198</v>
      </c>
      <c r="BV14" s="3" t="s">
        <v>955</v>
      </c>
      <c r="BW14" s="3" t="s">
        <v>956</v>
      </c>
      <c r="BX14" s="3" t="s">
        <v>957</v>
      </c>
      <c r="BY14" s="3">
        <v>0</v>
      </c>
      <c r="BZ14" s="3">
        <v>1.61</v>
      </c>
      <c r="CA14" s="3">
        <v>0</v>
      </c>
      <c r="CB14" s="3">
        <v>2154052</v>
      </c>
      <c r="CE14" s="21" t="str">
        <f ca="1">_xll.IMDP("BND",BV14,CE8,BV3)</f>
        <v/>
      </c>
      <c r="CF14" s="23" t="str">
        <f ca="1">_xll.IMDP("BND",BV14,CF8,BV3)</f>
        <v/>
      </c>
      <c r="CG14" s="2">
        <v>46198</v>
      </c>
      <c r="CH14" s="3" t="s">
        <v>606</v>
      </c>
      <c r="CI14" s="3" t="s">
        <v>607</v>
      </c>
      <c r="CJ14" s="3" t="s">
        <v>608</v>
      </c>
      <c r="CK14" s="3">
        <v>0</v>
      </c>
      <c r="CL14" s="3">
        <v>2.4700000000000002</v>
      </c>
      <c r="CM14" s="3">
        <v>0</v>
      </c>
      <c r="CN14" s="3">
        <v>2525341</v>
      </c>
      <c r="CO14" s="3">
        <v>10022.27</v>
      </c>
      <c r="CP14" s="3">
        <v>1.7072000000000001</v>
      </c>
      <c r="CQ14" s="21">
        <f ca="1">_xll.IMDP("BND",CH14,CQ8,CH3)</f>
        <v>20280410</v>
      </c>
      <c r="CR14" s="23">
        <f ca="1">_xll.IMDP("BND",CH14,CR8,CH3)</f>
        <v>4.2859999999999996</v>
      </c>
      <c r="CS14" s="2">
        <v>46198</v>
      </c>
      <c r="CT14" s="3" t="s">
        <v>75</v>
      </c>
      <c r="CU14" s="3" t="s">
        <v>29</v>
      </c>
      <c r="CV14" s="3" t="s">
        <v>76</v>
      </c>
      <c r="CW14" s="3">
        <v>0</v>
      </c>
      <c r="CX14" s="3">
        <v>1.04</v>
      </c>
      <c r="CY14" s="3">
        <v>0</v>
      </c>
      <c r="CZ14" s="3">
        <v>1498595</v>
      </c>
      <c r="DA14" s="3">
        <v>9583.4</v>
      </c>
      <c r="DB14" s="3">
        <v>6.8400999999999996</v>
      </c>
      <c r="DC14" s="21">
        <f ca="1">_xll.IMDP("BND",CT14,DC8,CT3)</f>
        <v>20340610</v>
      </c>
      <c r="DD14" s="23">
        <f ca="1">_xll.IMDP("BND",CT14,DD8,CT3)</f>
        <v>4.1399999999999997</v>
      </c>
      <c r="DE14" s="2">
        <v>46198</v>
      </c>
      <c r="DF14" s="3" t="s">
        <v>55</v>
      </c>
      <c r="DG14" s="3" t="s">
        <v>56</v>
      </c>
      <c r="DH14" s="3" t="s">
        <v>57</v>
      </c>
      <c r="DI14" s="3">
        <v>0</v>
      </c>
      <c r="DJ14" s="3">
        <v>7.17</v>
      </c>
      <c r="DK14" s="3">
        <v>0</v>
      </c>
      <c r="DL14" s="3">
        <v>7243911</v>
      </c>
      <c r="DM14" s="3">
        <v>9631.41</v>
      </c>
      <c r="DN14" s="3">
        <v>3.4603000000000002</v>
      </c>
      <c r="DO14" s="21">
        <f ca="1">_xll.IMDP("BND",DF14,DO8,DF3)</f>
        <v>20300310</v>
      </c>
      <c r="DP14" s="23">
        <f ca="1">_xll.IMDP("BND",DF14,DP8,DF3)</f>
        <v>3.923</v>
      </c>
      <c r="DQ14" s="2">
        <v>46198</v>
      </c>
      <c r="DR14" s="3" t="s">
        <v>1192</v>
      </c>
      <c r="DS14" s="3" t="s">
        <v>1193</v>
      </c>
      <c r="DT14" s="3" t="s">
        <v>1194</v>
      </c>
      <c r="DU14" s="3">
        <v>0</v>
      </c>
      <c r="DV14" s="3">
        <v>1.78</v>
      </c>
      <c r="DW14" s="3">
        <v>0</v>
      </c>
      <c r="DX14" s="3">
        <v>4110010</v>
      </c>
      <c r="DY14" s="3">
        <v>9866.2999999999993</v>
      </c>
      <c r="DZ14" s="3">
        <v>1.597</v>
      </c>
      <c r="EA14" s="21">
        <f ca="1">_xll.IMDP("BND",DR14,EA8,DR3)</f>
        <v>20280221</v>
      </c>
      <c r="EB14" s="23">
        <f ca="1">_xll.IMDP("BND",DR14,EB8,DR3)</f>
        <v>4.359</v>
      </c>
    </row>
    <row r="15" spans="1:132" ht="13.5" customHeight="1" x14ac:dyDescent="0.3">
      <c r="A15" s="2">
        <v>46198</v>
      </c>
      <c r="B15" s="3" t="s">
        <v>741</v>
      </c>
      <c r="C15" s="3" t="s">
        <v>742</v>
      </c>
      <c r="D15" s="3" t="s">
        <v>743</v>
      </c>
      <c r="E15" s="3">
        <v>0</v>
      </c>
      <c r="F15" s="3">
        <v>0.96</v>
      </c>
      <c r="G15" s="3">
        <v>0</v>
      </c>
      <c r="H15" s="3">
        <v>1063135</v>
      </c>
      <c r="I15" s="3">
        <v>10009.85</v>
      </c>
      <c r="J15" s="3">
        <v>0.62709999999999999</v>
      </c>
      <c r="K15" s="21">
        <f ca="1">_xll.IMDP("BND",B15,K8,B3)</f>
        <v>20270214</v>
      </c>
      <c r="L15" s="23">
        <f ca="1">_xll.IMDP("BND",B15,L8,B3)</f>
        <v>3.5489999999999999</v>
      </c>
      <c r="M15" s="2">
        <v>46198</v>
      </c>
      <c r="N15" s="3" t="s">
        <v>58</v>
      </c>
      <c r="O15" s="3" t="s">
        <v>29</v>
      </c>
      <c r="P15" s="3" t="s">
        <v>59</v>
      </c>
      <c r="Q15" s="3">
        <v>0</v>
      </c>
      <c r="R15" s="3">
        <v>4.8899999999999997</v>
      </c>
      <c r="S15" s="3">
        <v>0</v>
      </c>
      <c r="T15" s="3">
        <v>5714403</v>
      </c>
      <c r="U15" s="3">
        <v>8332.75</v>
      </c>
      <c r="V15" s="3">
        <v>16.860099999999999</v>
      </c>
      <c r="W15" s="21">
        <f ca="1">_xll.IMDP("BND",N15,W8,N3)</f>
        <v>20540310</v>
      </c>
      <c r="X15" s="23">
        <f ca="1">_xll.IMDP("BND",N15,X8,N3)</f>
        <v>4.3490000000000002</v>
      </c>
      <c r="Y15" s="2">
        <v>46198</v>
      </c>
      <c r="Z15" s="3" t="s">
        <v>86</v>
      </c>
      <c r="AA15" s="3" t="s">
        <v>29</v>
      </c>
      <c r="AB15" s="3" t="s">
        <v>87</v>
      </c>
      <c r="AC15" s="3">
        <v>0</v>
      </c>
      <c r="AD15" s="3">
        <v>4.07</v>
      </c>
      <c r="AE15" s="3">
        <v>0</v>
      </c>
      <c r="AF15" s="3">
        <v>5954925</v>
      </c>
      <c r="AG15" s="3">
        <v>7495.71</v>
      </c>
      <c r="AH15" s="3">
        <v>17.665800000000001</v>
      </c>
      <c r="AI15" s="21">
        <f ca="1">_xll.IMDP("BND",Z15,AI8,Z3)</f>
        <v>20540910</v>
      </c>
      <c r="AJ15" s="23">
        <f ca="1">_xll.IMDP("BND",Z15,AJ8,Z3)</f>
        <v>4.3479999999999999</v>
      </c>
      <c r="AK15" s="2">
        <v>46198</v>
      </c>
      <c r="AL15" s="3" t="s">
        <v>42</v>
      </c>
      <c r="AM15" s="3" t="s">
        <v>29</v>
      </c>
      <c r="AN15" s="3" t="s">
        <v>43</v>
      </c>
      <c r="AO15" s="3">
        <v>0</v>
      </c>
      <c r="AP15" s="3">
        <v>0.86</v>
      </c>
      <c r="AQ15" s="3">
        <v>0</v>
      </c>
      <c r="AR15" s="3">
        <v>880184</v>
      </c>
      <c r="AS15" s="3">
        <v>9488.39</v>
      </c>
      <c r="AT15" s="3">
        <v>6.1288999999999998</v>
      </c>
      <c r="AU15" s="21">
        <f ca="1">_xll.IMDP("BND",AL15,AU8,AL3)</f>
        <v>20330610</v>
      </c>
      <c r="AV15" s="23">
        <f ca="1">_xll.IMDP("BND",AL15,AV8,AL3)</f>
        <v>4.125</v>
      </c>
      <c r="AW15" s="2">
        <v>46198</v>
      </c>
      <c r="AX15" s="3" t="s">
        <v>7</v>
      </c>
      <c r="AY15" s="3" t="s">
        <v>7</v>
      </c>
      <c r="AZ15" s="3" t="s">
        <v>46</v>
      </c>
      <c r="BB15" s="3">
        <v>4.83</v>
      </c>
      <c r="BD15" s="3">
        <v>5028900</v>
      </c>
      <c r="BG15" s="21" t="str">
        <f ca="1">_xll.IMDP("BND",AX15,BG8,AX3)</f>
        <v/>
      </c>
      <c r="BH15" s="23" t="str">
        <f ca="1">_xll.IMDP("BND",AX15,BH8,AX3)</f>
        <v/>
      </c>
      <c r="BI15" s="2">
        <v>46198</v>
      </c>
      <c r="BJ15" s="3" t="s">
        <v>62</v>
      </c>
      <c r="BK15" s="3" t="s">
        <v>63</v>
      </c>
      <c r="BL15" s="3" t="s">
        <v>64</v>
      </c>
      <c r="BM15" s="3">
        <v>0</v>
      </c>
      <c r="BN15" s="3">
        <v>1.33</v>
      </c>
      <c r="BO15" s="3">
        <v>0</v>
      </c>
      <c r="BP15" s="3">
        <v>1668414</v>
      </c>
      <c r="BQ15" s="3">
        <v>8272</v>
      </c>
      <c r="BR15" s="3">
        <v>13.382199999999999</v>
      </c>
      <c r="BS15" s="21">
        <f ca="1">_xll.IMDP("BND",BJ15,BS8,BJ3)</f>
        <v>20440910</v>
      </c>
      <c r="BT15" s="23">
        <f ca="1">_xll.IMDP("BND",BJ15,BT8,BJ3)</f>
        <v>4.3209999999999997</v>
      </c>
      <c r="BU15" s="2">
        <v>46198</v>
      </c>
      <c r="BV15" s="3" t="s">
        <v>958</v>
      </c>
      <c r="BW15" s="3" t="s">
        <v>959</v>
      </c>
      <c r="BX15" s="3" t="s">
        <v>960</v>
      </c>
      <c r="BY15" s="3">
        <v>0</v>
      </c>
      <c r="BZ15" s="3">
        <v>1.55</v>
      </c>
      <c r="CA15" s="3">
        <v>0</v>
      </c>
      <c r="CB15" s="3">
        <v>2067578</v>
      </c>
      <c r="CE15" s="21" t="str">
        <f ca="1">_xll.IMDP("BND",BV15,CE8,BV3)</f>
        <v/>
      </c>
      <c r="CF15" s="23" t="str">
        <f ca="1">_xll.IMDP("BND",BV15,CF8,BV3)</f>
        <v/>
      </c>
      <c r="CG15" s="2">
        <v>46198</v>
      </c>
      <c r="CH15" s="3" t="s">
        <v>609</v>
      </c>
      <c r="CI15" s="3" t="s">
        <v>610</v>
      </c>
      <c r="CJ15" s="3" t="s">
        <v>611</v>
      </c>
      <c r="CK15" s="3">
        <v>0</v>
      </c>
      <c r="CL15" s="3">
        <v>2.4700000000000002</v>
      </c>
      <c r="CM15" s="3">
        <v>0</v>
      </c>
      <c r="CN15" s="3">
        <v>2525290</v>
      </c>
      <c r="CO15" s="3">
        <v>10021.6</v>
      </c>
      <c r="CP15" s="3">
        <v>1.8625</v>
      </c>
      <c r="CQ15" s="21">
        <f ca="1">_xll.IMDP("BND",CH15,CQ8,CH3)</f>
        <v>20280609</v>
      </c>
      <c r="CR15" s="23">
        <f ca="1">_xll.IMDP("BND",CH15,CR8,CH3)</f>
        <v>4.4859999999999998</v>
      </c>
      <c r="CS15" s="2">
        <v>46198</v>
      </c>
      <c r="CT15" s="3" t="s">
        <v>147</v>
      </c>
      <c r="CU15" s="3" t="s">
        <v>148</v>
      </c>
      <c r="CV15" s="3" t="s">
        <v>149</v>
      </c>
      <c r="CW15" s="3">
        <v>0</v>
      </c>
      <c r="CX15" s="3">
        <v>0.98</v>
      </c>
      <c r="CY15" s="3">
        <v>0</v>
      </c>
      <c r="CZ15" s="3">
        <v>1407290</v>
      </c>
      <c r="DA15" s="3">
        <v>10045.120000000001</v>
      </c>
      <c r="DB15" s="3">
        <v>1.2028000000000001</v>
      </c>
      <c r="DC15" s="21">
        <f ca="1">_xll.IMDP("BND",CT15,DC8,CT3)</f>
        <v>20270923</v>
      </c>
      <c r="DD15" s="23">
        <f ca="1">_xll.IMDP("BND",CT15,DD8,CT3)</f>
        <v>3.9449999999999998</v>
      </c>
      <c r="DE15" s="2">
        <v>46198</v>
      </c>
      <c r="DF15" s="3" t="s">
        <v>520</v>
      </c>
      <c r="DG15" s="3" t="s">
        <v>521</v>
      </c>
      <c r="DH15" s="3" t="s">
        <v>522</v>
      </c>
      <c r="DI15" s="3">
        <v>0</v>
      </c>
      <c r="DJ15" s="3">
        <v>6.75</v>
      </c>
      <c r="DK15" s="3">
        <v>0</v>
      </c>
      <c r="DL15" s="3">
        <v>6826023</v>
      </c>
      <c r="DM15" s="3">
        <v>9801.7900000000009</v>
      </c>
      <c r="DN15" s="3">
        <v>2.2850999999999999</v>
      </c>
      <c r="DO15" s="21">
        <f ca="1">_xll.IMDP("BND",DF15,DO8,DF3)</f>
        <v>20281117</v>
      </c>
      <c r="DP15" s="23">
        <f ca="1">_xll.IMDP("BND",DF15,DP8,DF3)</f>
        <v>4.3170000000000002</v>
      </c>
      <c r="DQ15" s="2">
        <v>46198</v>
      </c>
      <c r="DR15" s="3" t="s">
        <v>1195</v>
      </c>
      <c r="DS15" s="3" t="s">
        <v>1196</v>
      </c>
      <c r="DT15" s="3" t="s">
        <v>1197</v>
      </c>
      <c r="DU15" s="3">
        <v>0</v>
      </c>
      <c r="DV15" s="3">
        <v>1.77</v>
      </c>
      <c r="DW15" s="3">
        <v>0</v>
      </c>
      <c r="DX15" s="3">
        <v>4070227</v>
      </c>
      <c r="DY15" s="3">
        <v>9770.85</v>
      </c>
      <c r="DZ15" s="3">
        <v>2.1526000000000001</v>
      </c>
      <c r="EA15" s="21">
        <f ca="1">_xll.IMDP("BND",DR15,EA8,DR3)</f>
        <v>20280926</v>
      </c>
      <c r="EB15" s="23">
        <f ca="1">_xll.IMDP("BND",DR15,EB8,DR3)</f>
        <v>4.2480000000000002</v>
      </c>
    </row>
    <row r="16" spans="1:132" ht="13.5" customHeight="1" x14ac:dyDescent="0.3">
      <c r="A16" s="2">
        <v>46198</v>
      </c>
      <c r="B16" s="3" t="s">
        <v>744</v>
      </c>
      <c r="C16" s="3" t="s">
        <v>745</v>
      </c>
      <c r="D16" s="3" t="s">
        <v>746</v>
      </c>
      <c r="E16" s="3">
        <v>0</v>
      </c>
      <c r="F16" s="3">
        <v>0.94</v>
      </c>
      <c r="G16" s="3">
        <v>0</v>
      </c>
      <c r="H16" s="3">
        <v>1049098</v>
      </c>
      <c r="I16" s="3">
        <v>9876.1</v>
      </c>
      <c r="J16" s="3">
        <v>2.5295000000000001</v>
      </c>
      <c r="K16" s="21">
        <f ca="1">_xll.IMDP("BND",B16,K8,B3)</f>
        <v>20290227</v>
      </c>
      <c r="L16" s="23">
        <f ca="1">_xll.IMDP("BND",B16,L8,B3)</f>
        <v>4.1500000000000004</v>
      </c>
      <c r="M16" s="2">
        <v>46198</v>
      </c>
      <c r="N16" s="3" t="s">
        <v>60</v>
      </c>
      <c r="O16" s="3" t="s">
        <v>56</v>
      </c>
      <c r="P16" s="3" t="s">
        <v>61</v>
      </c>
      <c r="Q16" s="3">
        <v>0</v>
      </c>
      <c r="R16" s="3">
        <v>4.3099999999999996</v>
      </c>
      <c r="S16" s="3">
        <v>0</v>
      </c>
      <c r="T16" s="3">
        <v>5036160</v>
      </c>
      <c r="U16" s="3">
        <v>9503.5300000000007</v>
      </c>
      <c r="V16" s="3">
        <v>3.9093</v>
      </c>
      <c r="W16" s="21">
        <f ca="1">_xll.IMDP("BND",N16,W8,N3)</f>
        <v>20300910</v>
      </c>
      <c r="X16" s="23">
        <f ca="1">_xll.IMDP("BND",N16,X8,N3)</f>
        <v>3.98</v>
      </c>
      <c r="Y16" s="2">
        <v>46198</v>
      </c>
      <c r="Z16" s="3" t="s">
        <v>213</v>
      </c>
      <c r="AA16" s="3" t="s">
        <v>29</v>
      </c>
      <c r="AB16" s="3" t="s">
        <v>729</v>
      </c>
      <c r="AC16" s="3">
        <v>0</v>
      </c>
      <c r="AD16" s="3">
        <v>4.04</v>
      </c>
      <c r="AE16" s="3">
        <v>0</v>
      </c>
      <c r="AF16" s="3">
        <v>5904015</v>
      </c>
      <c r="AG16" s="3">
        <v>6705.37</v>
      </c>
      <c r="AH16" s="3">
        <v>16.626200000000001</v>
      </c>
      <c r="AI16" s="21">
        <f ca="1">_xll.IMDP("BND",Z16,AI8,Z3)</f>
        <v>20490310</v>
      </c>
      <c r="AJ16" s="23">
        <f ca="1">_xll.IMDP("BND",Z16,AJ8,Z3)</f>
        <v>4.3339999999999996</v>
      </c>
      <c r="AK16" s="2">
        <v>46198</v>
      </c>
      <c r="AL16" s="3" t="s">
        <v>44</v>
      </c>
      <c r="AM16" s="3" t="s">
        <v>29</v>
      </c>
      <c r="AN16" s="3" t="s">
        <v>45</v>
      </c>
      <c r="AO16" s="3">
        <v>0</v>
      </c>
      <c r="AP16" s="3">
        <v>0.52</v>
      </c>
      <c r="AQ16" s="3">
        <v>0</v>
      </c>
      <c r="AR16" s="3">
        <v>536910</v>
      </c>
      <c r="AS16" s="3">
        <v>9646.5</v>
      </c>
      <c r="AT16" s="3">
        <v>5.3224999999999998</v>
      </c>
      <c r="AU16" s="21">
        <f ca="1">_xll.IMDP("BND",AL16,AU8,AL3)</f>
        <v>20320610</v>
      </c>
      <c r="AV16" s="23">
        <f ca="1">_xll.IMDP("BND",AL16,AV8,AL3)</f>
        <v>4.0750000000000002</v>
      </c>
      <c r="AW16" s="2"/>
      <c r="BG16" s="21" t="str">
        <f ca="1">_xll.IMDP("BND",AX16,BG8,AX3)</f>
        <v>입력오류</v>
      </c>
      <c r="BH16" s="23" t="str">
        <f ca="1">_xll.IMDP("BND",AX16,BH8,AX3)</f>
        <v>입력오류</v>
      </c>
      <c r="BI16" s="2">
        <v>46198</v>
      </c>
      <c r="BJ16" s="3" t="s">
        <v>58</v>
      </c>
      <c r="BK16" s="3" t="s">
        <v>29</v>
      </c>
      <c r="BL16" s="3" t="s">
        <v>59</v>
      </c>
      <c r="BM16" s="3">
        <v>0</v>
      </c>
      <c r="BN16" s="3">
        <v>1.3</v>
      </c>
      <c r="BO16" s="3">
        <v>0</v>
      </c>
      <c r="BP16" s="3">
        <v>1631533</v>
      </c>
      <c r="BQ16" s="3">
        <v>8332.75</v>
      </c>
      <c r="BR16" s="3">
        <v>16.860099999999999</v>
      </c>
      <c r="BS16" s="21">
        <f ca="1">_xll.IMDP("BND",BJ16,BS8,BJ3)</f>
        <v>20540310</v>
      </c>
      <c r="BT16" s="23">
        <f ca="1">_xll.IMDP("BND",BJ16,BT8,BJ3)</f>
        <v>4.3490000000000002</v>
      </c>
      <c r="BU16" s="2">
        <v>46198</v>
      </c>
      <c r="BV16" s="3" t="s">
        <v>961</v>
      </c>
      <c r="BW16" s="3" t="s">
        <v>962</v>
      </c>
      <c r="BX16" s="3" t="s">
        <v>963</v>
      </c>
      <c r="BY16" s="3">
        <v>0</v>
      </c>
      <c r="BZ16" s="3">
        <v>1.55</v>
      </c>
      <c r="CA16" s="3">
        <v>0</v>
      </c>
      <c r="CB16" s="3">
        <v>2066140</v>
      </c>
      <c r="CE16" s="21" t="str">
        <f ca="1">_xll.IMDP("BND",BV16,CE8,BV3)</f>
        <v/>
      </c>
      <c r="CF16" s="23" t="str">
        <f ca="1">_xll.IMDP("BND",BV16,CF8,BV3)</f>
        <v/>
      </c>
      <c r="CG16" s="2">
        <v>46198</v>
      </c>
      <c r="CH16" s="3" t="s">
        <v>591</v>
      </c>
      <c r="CI16" s="3" t="s">
        <v>592</v>
      </c>
      <c r="CJ16" s="3" t="s">
        <v>593</v>
      </c>
      <c r="CK16" s="3">
        <v>0</v>
      </c>
      <c r="CL16" s="3">
        <v>2.46</v>
      </c>
      <c r="CM16" s="3">
        <v>0</v>
      </c>
      <c r="CN16" s="3">
        <v>2515320</v>
      </c>
      <c r="CO16" s="3">
        <v>9983.08</v>
      </c>
      <c r="CP16" s="3">
        <v>0.41010000000000002</v>
      </c>
      <c r="CQ16" s="21">
        <f ca="1">_xll.IMDP("BND",CH16,CQ8,CH3)</f>
        <v>20261124</v>
      </c>
      <c r="CR16" s="23">
        <f ca="1">_xll.IMDP("BND",CH16,CR8,CH3)</f>
        <v>4.2190000000000003</v>
      </c>
      <c r="CS16" s="2">
        <v>46198</v>
      </c>
      <c r="CT16" s="3" t="s">
        <v>150</v>
      </c>
      <c r="CU16" s="3" t="s">
        <v>151</v>
      </c>
      <c r="CV16" s="3" t="s">
        <v>152</v>
      </c>
      <c r="CW16" s="3">
        <v>0</v>
      </c>
      <c r="CX16" s="3">
        <v>0.97</v>
      </c>
      <c r="CY16" s="3">
        <v>0</v>
      </c>
      <c r="CZ16" s="3">
        <v>1405052</v>
      </c>
      <c r="DA16" s="3">
        <v>10029.799999999999</v>
      </c>
      <c r="DB16" s="3">
        <v>1.9599999999999999E-2</v>
      </c>
      <c r="DC16" s="21">
        <f ca="1">_xll.IMDP("BND",CT16,DC8,CT3)</f>
        <v>20260812</v>
      </c>
      <c r="DD16" s="23">
        <f ca="1">_xll.IMDP("BND",CT16,DD8,CT3)</f>
        <v>3.0960000000000001</v>
      </c>
      <c r="DE16" s="2">
        <v>46198</v>
      </c>
      <c r="DF16" s="3" t="s">
        <v>523</v>
      </c>
      <c r="DG16" s="3" t="s">
        <v>524</v>
      </c>
      <c r="DH16" s="3" t="s">
        <v>525</v>
      </c>
      <c r="DI16" s="3">
        <v>0</v>
      </c>
      <c r="DJ16" s="3">
        <v>6.73</v>
      </c>
      <c r="DK16" s="3">
        <v>0</v>
      </c>
      <c r="DL16" s="3">
        <v>6805299</v>
      </c>
      <c r="DM16" s="3">
        <v>9772.32</v>
      </c>
      <c r="DN16" s="3">
        <v>1.9422999999999999</v>
      </c>
      <c r="DO16" s="21">
        <f ca="1">_xll.IMDP("BND",DF16,DO8,DF3)</f>
        <v>20280704</v>
      </c>
      <c r="DP16" s="23">
        <f ca="1">_xll.IMDP("BND",DF16,DP8,DF3)</f>
        <v>4.3220000000000001</v>
      </c>
      <c r="DQ16" s="2">
        <v>46198</v>
      </c>
      <c r="DR16" s="3" t="s">
        <v>1198</v>
      </c>
      <c r="DS16" s="3" t="s">
        <v>1199</v>
      </c>
      <c r="DT16" s="3" t="s">
        <v>1200</v>
      </c>
      <c r="DU16" s="3">
        <v>0</v>
      </c>
      <c r="DV16" s="3">
        <v>1.35</v>
      </c>
      <c r="DW16" s="3">
        <v>0</v>
      </c>
      <c r="DX16" s="3">
        <v>3112938</v>
      </c>
      <c r="DY16" s="3">
        <v>9337.6</v>
      </c>
      <c r="DZ16" s="3">
        <v>5.4622000000000002</v>
      </c>
      <c r="EA16" s="21">
        <f ca="1">_xll.IMDP("BND",DR16,EA8,DR3)</f>
        <v>20320930</v>
      </c>
      <c r="EB16" s="23">
        <f ca="1">_xll.IMDP("BND",DR16,EB8,DR3)</f>
        <v>5.1390000000000002</v>
      </c>
    </row>
    <row r="17" spans="1:132" ht="13.5" customHeight="1" x14ac:dyDescent="0.3">
      <c r="A17" s="2">
        <v>46198</v>
      </c>
      <c r="B17" s="3" t="s">
        <v>475</v>
      </c>
      <c r="C17" s="3" t="s">
        <v>476</v>
      </c>
      <c r="D17" s="3" t="s">
        <v>477</v>
      </c>
      <c r="E17" s="3">
        <v>0</v>
      </c>
      <c r="F17" s="3">
        <v>0.94</v>
      </c>
      <c r="G17" s="3">
        <v>0</v>
      </c>
      <c r="H17" s="3">
        <v>1047810</v>
      </c>
      <c r="I17" s="3">
        <v>9864.83</v>
      </c>
      <c r="J17" s="3">
        <v>2.512</v>
      </c>
      <c r="K17" s="21">
        <f ca="1">_xll.IMDP("BND",B17,K8,B3)</f>
        <v>20290220</v>
      </c>
      <c r="L17" s="23">
        <f ca="1">_xll.IMDP("BND",B17,L8,B3)</f>
        <v>4.1740000000000004</v>
      </c>
      <c r="M17" s="2">
        <v>46198</v>
      </c>
      <c r="N17" s="3" t="s">
        <v>62</v>
      </c>
      <c r="O17" s="3" t="s">
        <v>63</v>
      </c>
      <c r="P17" s="3" t="s">
        <v>64</v>
      </c>
      <c r="Q17" s="3">
        <v>0</v>
      </c>
      <c r="R17" s="3">
        <v>3.75</v>
      </c>
      <c r="S17" s="3">
        <v>0</v>
      </c>
      <c r="T17" s="3">
        <v>4383488</v>
      </c>
      <c r="U17" s="3">
        <v>8272</v>
      </c>
      <c r="V17" s="3">
        <v>13.382199999999999</v>
      </c>
      <c r="W17" s="21">
        <f ca="1">_xll.IMDP("BND",N17,W8,N3)</f>
        <v>20440910</v>
      </c>
      <c r="X17" s="23">
        <f ca="1">_xll.IMDP("BND",N17,X8,N3)</f>
        <v>4.3209999999999997</v>
      </c>
      <c r="Y17" s="2">
        <v>46198</v>
      </c>
      <c r="Z17" s="3" t="s">
        <v>730</v>
      </c>
      <c r="AA17" s="3" t="s">
        <v>29</v>
      </c>
      <c r="AB17" s="3" t="s">
        <v>731</v>
      </c>
      <c r="AC17" s="3">
        <v>0</v>
      </c>
      <c r="AD17" s="3">
        <v>3.77</v>
      </c>
      <c r="AE17" s="3">
        <v>0</v>
      </c>
      <c r="AF17" s="3">
        <v>5520024</v>
      </c>
      <c r="AG17" s="3">
        <v>8349</v>
      </c>
      <c r="AH17" s="3">
        <v>16.5213</v>
      </c>
      <c r="AI17" s="21">
        <f ca="1">_xll.IMDP("BND",Z17,AI8,Z3)</f>
        <v>20530310</v>
      </c>
      <c r="AJ17" s="23">
        <f ca="1">_xll.IMDP("BND",Z17,AJ8,Z3)</f>
        <v>4.3620000000000001</v>
      </c>
      <c r="AK17" s="2">
        <v>46198</v>
      </c>
      <c r="AL17" s="3" t="s">
        <v>7</v>
      </c>
      <c r="AM17" s="3" t="s">
        <v>7</v>
      </c>
      <c r="AN17" s="3" t="s">
        <v>46</v>
      </c>
      <c r="AP17" s="3">
        <v>2.1800000000000002</v>
      </c>
      <c r="AR17" s="3">
        <v>2251856</v>
      </c>
      <c r="AU17" s="21" t="str">
        <f ca="1">_xll.IMDP("BND",AL17,AU8,AL3)</f>
        <v/>
      </c>
      <c r="AV17" s="23" t="str">
        <f ca="1">_xll.IMDP("BND",AL17,AV8,AL3)</f>
        <v/>
      </c>
      <c r="AW17" s="2"/>
      <c r="BG17" s="21" t="str">
        <f ca="1">_xll.IMDP("BND",AX17,BG8,AX3)</f>
        <v>입력오류</v>
      </c>
      <c r="BH17" s="23" t="str">
        <f ca="1">_xll.IMDP("BND",AX17,BH8,AX3)</f>
        <v>입력오류</v>
      </c>
      <c r="BI17" s="2">
        <v>46198</v>
      </c>
      <c r="BJ17" s="3" t="s">
        <v>38</v>
      </c>
      <c r="BK17" s="3" t="s">
        <v>29</v>
      </c>
      <c r="BL17" s="3" t="s">
        <v>39</v>
      </c>
      <c r="BM17" s="3">
        <v>0</v>
      </c>
      <c r="BN17" s="3">
        <v>1.28</v>
      </c>
      <c r="BO17" s="3">
        <v>0</v>
      </c>
      <c r="BP17" s="3">
        <v>1604888</v>
      </c>
      <c r="BQ17" s="3">
        <v>10014.459999999999</v>
      </c>
      <c r="BR17" s="3">
        <v>6.3571</v>
      </c>
      <c r="BS17" s="21">
        <f ca="1">_xll.IMDP("BND",BJ17,BS8,BJ3)</f>
        <v>20331210</v>
      </c>
      <c r="BT17" s="23">
        <f ca="1">_xll.IMDP("BND",BJ17,BT8,BJ3)</f>
        <v>4.1280000000000001</v>
      </c>
      <c r="BU17" s="2">
        <v>46198</v>
      </c>
      <c r="BV17" s="3" t="s">
        <v>964</v>
      </c>
      <c r="BW17" s="3" t="s">
        <v>235</v>
      </c>
      <c r="BX17" s="3" t="s">
        <v>965</v>
      </c>
      <c r="BY17" s="3">
        <v>0</v>
      </c>
      <c r="BZ17" s="3">
        <v>1.45</v>
      </c>
      <c r="CA17" s="3">
        <v>0</v>
      </c>
      <c r="CB17" s="3">
        <v>1932417</v>
      </c>
      <c r="CC17" s="3">
        <v>10151.52</v>
      </c>
      <c r="CD17" s="3">
        <v>0.3609</v>
      </c>
      <c r="CE17" s="21">
        <f ca="1">_xll.IMDP("BND",BV17,CE8,BV3)</f>
        <v>20261106</v>
      </c>
      <c r="CF17" s="23">
        <f ca="1">_xll.IMDP("BND",BV17,CF8,BV3)</f>
        <v>3.4079999999999999</v>
      </c>
      <c r="CG17" s="2">
        <v>46198</v>
      </c>
      <c r="CH17" s="3" t="s">
        <v>612</v>
      </c>
      <c r="CI17" s="3" t="s">
        <v>613</v>
      </c>
      <c r="CJ17" s="3" t="s">
        <v>614</v>
      </c>
      <c r="CK17" s="3">
        <v>0</v>
      </c>
      <c r="CL17" s="3">
        <v>2.46</v>
      </c>
      <c r="CM17" s="3">
        <v>0</v>
      </c>
      <c r="CN17" s="3">
        <v>2510972</v>
      </c>
      <c r="CO17" s="3">
        <v>9965.8799999999992</v>
      </c>
      <c r="CP17" s="3">
        <v>1.0477000000000001</v>
      </c>
      <c r="CQ17" s="21">
        <f ca="1">_xll.IMDP("BND",CH17,CQ8,CH3)</f>
        <v>20270726</v>
      </c>
      <c r="CR17" s="23">
        <f ca="1">_xll.IMDP("BND",CH17,CR8,CH3)</f>
        <v>5.0270000000000001</v>
      </c>
      <c r="CS17" s="2">
        <v>46198</v>
      </c>
      <c r="CT17" s="3" t="s">
        <v>31</v>
      </c>
      <c r="CU17" s="3" t="s">
        <v>29</v>
      </c>
      <c r="CV17" s="3" t="s">
        <v>32</v>
      </c>
      <c r="CW17" s="3">
        <v>0</v>
      </c>
      <c r="CX17" s="3">
        <v>0.94</v>
      </c>
      <c r="CY17" s="3">
        <v>0</v>
      </c>
      <c r="CZ17" s="3">
        <v>1362433</v>
      </c>
      <c r="DA17" s="3">
        <v>8882.61</v>
      </c>
      <c r="DB17" s="3">
        <v>7.8021000000000003</v>
      </c>
      <c r="DC17" s="21">
        <f ca="1">_xll.IMDP("BND",CT17,DC8,CT3)</f>
        <v>20350610</v>
      </c>
      <c r="DD17" s="23">
        <f ca="1">_xll.IMDP("BND",CT17,DD8,CT3)</f>
        <v>4.1449999999999996</v>
      </c>
      <c r="DE17" s="2">
        <v>46198</v>
      </c>
      <c r="DF17" s="3" t="s">
        <v>1384</v>
      </c>
      <c r="DG17" s="3" t="s">
        <v>1385</v>
      </c>
      <c r="DH17" s="3" t="s">
        <v>1386</v>
      </c>
      <c r="DI17" s="3">
        <v>0</v>
      </c>
      <c r="DJ17" s="3">
        <v>1.36</v>
      </c>
      <c r="DK17" s="3">
        <v>0</v>
      </c>
      <c r="DL17" s="3">
        <v>1377680</v>
      </c>
      <c r="DM17" s="3">
        <v>9892.08</v>
      </c>
      <c r="DN17" s="3">
        <v>0.70209999999999995</v>
      </c>
      <c r="DO17" s="21">
        <f ca="1">_xll.IMDP("BND",DF17,DO8,DF3)</f>
        <v>20270311</v>
      </c>
      <c r="DP17" s="23">
        <f ca="1">_xll.IMDP("BND",DF17,DP8,DF3)</f>
        <v>3.5979999999999999</v>
      </c>
      <c r="DQ17" s="2">
        <v>46198</v>
      </c>
      <c r="DR17" s="3" t="s">
        <v>1006</v>
      </c>
      <c r="DS17" s="3" t="s">
        <v>1007</v>
      </c>
      <c r="DT17" s="3" t="s">
        <v>1008</v>
      </c>
      <c r="DU17" s="3">
        <v>0</v>
      </c>
      <c r="DV17" s="3">
        <v>0.92</v>
      </c>
      <c r="DW17" s="3">
        <v>0</v>
      </c>
      <c r="DX17" s="3">
        <v>2114453</v>
      </c>
      <c r="DY17" s="3">
        <v>10151.26</v>
      </c>
      <c r="DZ17" s="3">
        <v>0.27339999999999998</v>
      </c>
      <c r="EA17" s="21">
        <f ca="1">_xll.IMDP("BND",DR17,EA8,DR3)</f>
        <v>20261005</v>
      </c>
      <c r="EB17" s="23">
        <f ca="1">_xll.IMDP("BND",DR17,EB8,DR3)</f>
        <v>3.6419999999999999</v>
      </c>
    </row>
    <row r="18" spans="1:132" ht="13.5" customHeight="1" x14ac:dyDescent="0.3">
      <c r="A18" s="2">
        <v>46198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K18" s="21" t="str">
        <f ca="1">_xll.IMDP("BND",B18,K8,B3)</f>
        <v/>
      </c>
      <c r="L18" s="23" t="str">
        <f ca="1">_xll.IMDP("BND",B18,L8,B3)</f>
        <v/>
      </c>
      <c r="M18" s="2">
        <v>46198</v>
      </c>
      <c r="N18" s="3" t="s">
        <v>65</v>
      </c>
      <c r="O18" s="3" t="s">
        <v>66</v>
      </c>
      <c r="P18" s="3" t="s">
        <v>67</v>
      </c>
      <c r="Q18" s="3">
        <v>0</v>
      </c>
      <c r="R18" s="3">
        <v>2.74</v>
      </c>
      <c r="S18" s="3">
        <v>0</v>
      </c>
      <c r="T18" s="3">
        <v>3199092</v>
      </c>
      <c r="U18" s="3">
        <v>10262.469999999999</v>
      </c>
      <c r="V18" s="3">
        <v>3.6579000000000002</v>
      </c>
      <c r="W18" s="21">
        <f ca="1">_xll.IMDP("BND",N18,W8,N3)</f>
        <v>20300726</v>
      </c>
      <c r="X18" s="23">
        <f ca="1">_xll.IMDP("BND",N18,X8,N3)</f>
        <v>4.4790000000000001</v>
      </c>
      <c r="Y18" s="2">
        <v>46198</v>
      </c>
      <c r="Z18" s="3" t="s">
        <v>119</v>
      </c>
      <c r="AA18" s="3" t="s">
        <v>29</v>
      </c>
      <c r="AB18" s="3" t="s">
        <v>120</v>
      </c>
      <c r="AC18" s="3">
        <v>0</v>
      </c>
      <c r="AD18" s="3">
        <v>3.59</v>
      </c>
      <c r="AE18" s="3">
        <v>0</v>
      </c>
      <c r="AF18" s="3">
        <v>5254886</v>
      </c>
      <c r="AG18" s="3">
        <v>7199.4</v>
      </c>
      <c r="AH18" s="3">
        <v>17.1205</v>
      </c>
      <c r="AI18" s="21">
        <f ca="1">_xll.IMDP("BND",Z18,AI8,Z3)</f>
        <v>20520310</v>
      </c>
      <c r="AJ18" s="23">
        <f ca="1">_xll.IMDP("BND",Z18,AJ8,Z3)</f>
        <v>4.3710000000000004</v>
      </c>
      <c r="AK18" s="2"/>
      <c r="AU18" s="21" t="str">
        <f ca="1">_xll.IMDP("BND",AL18,AU8,AL3)</f>
        <v>입력오류</v>
      </c>
      <c r="AV18" s="23" t="str">
        <f ca="1">_xll.IMDP("BND",AL18,AV8,AL3)</f>
        <v>입력오류</v>
      </c>
      <c r="AW18" s="2"/>
      <c r="BG18" s="21" t="str">
        <f ca="1">_xll.IMDP("BND",AX18,BG8,AX3)</f>
        <v>입력오류</v>
      </c>
      <c r="BH18" s="23" t="str">
        <f ca="1">_xll.IMDP("BND",AX18,BH8,AX3)</f>
        <v>입력오류</v>
      </c>
      <c r="BI18" s="2">
        <v>46198</v>
      </c>
      <c r="BJ18" s="3" t="s">
        <v>386</v>
      </c>
      <c r="BK18" s="3" t="s">
        <v>387</v>
      </c>
      <c r="BL18" s="3" t="s">
        <v>388</v>
      </c>
      <c r="BM18" s="3">
        <v>0</v>
      </c>
      <c r="BN18" s="3">
        <v>1.23</v>
      </c>
      <c r="BO18" s="3">
        <v>0</v>
      </c>
      <c r="BP18" s="3">
        <v>1540163</v>
      </c>
      <c r="BQ18" s="3">
        <v>10041.77</v>
      </c>
      <c r="BR18" s="3">
        <v>0.91310000000000002</v>
      </c>
      <c r="BS18" s="21">
        <f ca="1">_xll.IMDP("BND",BJ18,BS8,BJ3)</f>
        <v>20270604</v>
      </c>
      <c r="BT18" s="23">
        <f ca="1">_xll.IMDP("BND",BJ18,BT8,BJ3)</f>
        <v>3.3109999999999999</v>
      </c>
      <c r="BU18" s="2">
        <v>46198</v>
      </c>
      <c r="BV18" s="3" t="s">
        <v>966</v>
      </c>
      <c r="BW18" s="3" t="s">
        <v>967</v>
      </c>
      <c r="BX18" s="3" t="s">
        <v>968</v>
      </c>
      <c r="BY18" s="3">
        <v>0</v>
      </c>
      <c r="BZ18" s="3">
        <v>1.42</v>
      </c>
      <c r="CA18" s="3">
        <v>0</v>
      </c>
      <c r="CB18" s="3">
        <v>1901483</v>
      </c>
      <c r="CE18" s="21" t="str">
        <f ca="1">_xll.IMDP("BND",BV18,CE8,BV3)</f>
        <v/>
      </c>
      <c r="CF18" s="23" t="str">
        <f ca="1">_xll.IMDP("BND",BV18,CF8,BV3)</f>
        <v/>
      </c>
      <c r="CG18" s="2">
        <v>46198</v>
      </c>
      <c r="CH18" s="3" t="s">
        <v>615</v>
      </c>
      <c r="CI18" s="3" t="s">
        <v>616</v>
      </c>
      <c r="CJ18" s="3" t="s">
        <v>617</v>
      </c>
      <c r="CK18" s="3">
        <v>0</v>
      </c>
      <c r="CL18" s="3">
        <v>2.46</v>
      </c>
      <c r="CM18" s="3">
        <v>0</v>
      </c>
      <c r="CN18" s="3">
        <v>2509102</v>
      </c>
      <c r="CO18" s="3">
        <v>9959.07</v>
      </c>
      <c r="CP18" s="3">
        <v>0.88249999999999995</v>
      </c>
      <c r="CQ18" s="21">
        <f ca="1">_xll.IMDP("BND",CH18,CQ8,CH3)</f>
        <v>20270519</v>
      </c>
      <c r="CR18" s="23">
        <f ca="1">_xll.IMDP("BND",CH18,CR8,CH3)</f>
        <v>3.7959999999999998</v>
      </c>
      <c r="CS18" s="2">
        <v>46198</v>
      </c>
      <c r="CT18" s="3" t="s">
        <v>153</v>
      </c>
      <c r="CU18" s="3" t="s">
        <v>154</v>
      </c>
      <c r="CV18" s="3" t="s">
        <v>155</v>
      </c>
      <c r="CW18" s="3">
        <v>0</v>
      </c>
      <c r="CX18" s="3">
        <v>0.92</v>
      </c>
      <c r="CY18" s="3">
        <v>0</v>
      </c>
      <c r="CZ18" s="3">
        <v>1319872</v>
      </c>
      <c r="DA18" s="3">
        <v>9423.2099999999991</v>
      </c>
      <c r="DB18" s="3">
        <v>4.9692999999999996</v>
      </c>
      <c r="DC18" s="21">
        <f ca="1">_xll.IMDP("BND",CT18,DC8,CT3)</f>
        <v>20320112</v>
      </c>
      <c r="DD18" s="23">
        <f ca="1">_xll.IMDP("BND",CT18,DD8,CT3)</f>
        <v>4.3499999999999996</v>
      </c>
      <c r="DE18" s="2">
        <v>46198</v>
      </c>
      <c r="DF18" s="3" t="s">
        <v>35</v>
      </c>
      <c r="DG18" s="3" t="s">
        <v>36</v>
      </c>
      <c r="DH18" s="3" t="s">
        <v>37</v>
      </c>
      <c r="DI18" s="3">
        <v>0</v>
      </c>
      <c r="DJ18" s="3">
        <v>1.05</v>
      </c>
      <c r="DK18" s="3">
        <v>0.01</v>
      </c>
      <c r="DL18" s="3">
        <v>1064000</v>
      </c>
      <c r="DO18" s="21" t="str">
        <f ca="1">_xll.IMDP("BND",DF18,DO8,DF3)</f>
        <v/>
      </c>
      <c r="DP18" s="23" t="str">
        <f ca="1">_xll.IMDP("BND",DF18,DP8,DF3)</f>
        <v/>
      </c>
      <c r="DQ18" s="2">
        <v>46198</v>
      </c>
      <c r="DR18" s="3" t="s">
        <v>1201</v>
      </c>
      <c r="DS18" s="3" t="s">
        <v>1202</v>
      </c>
      <c r="DT18" s="3" t="s">
        <v>1203</v>
      </c>
      <c r="DU18" s="3">
        <v>0</v>
      </c>
      <c r="DV18" s="3">
        <v>0.92</v>
      </c>
      <c r="DW18" s="3">
        <v>0</v>
      </c>
      <c r="DX18" s="3">
        <v>2108177</v>
      </c>
      <c r="DY18" s="3">
        <v>10121.58</v>
      </c>
      <c r="DZ18" s="3">
        <v>0.60089999999999999</v>
      </c>
      <c r="EA18" s="21">
        <f ca="1">_xll.IMDP("BND",DR18,EA8,DR3)</f>
        <v>20270205</v>
      </c>
      <c r="EB18" s="23">
        <f ca="1">_xll.IMDP("BND",DR18,EB8,DR3)</f>
        <v>3.806</v>
      </c>
    </row>
    <row r="19" spans="1:132" ht="13.5" customHeight="1" x14ac:dyDescent="0.3">
      <c r="A19" s="2">
        <v>46198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</v>
      </c>
      <c r="G19" s="3">
        <v>0</v>
      </c>
      <c r="H19" s="3">
        <v>1002084</v>
      </c>
      <c r="I19" s="3">
        <v>8332.75</v>
      </c>
      <c r="J19" s="3">
        <v>16.860099999999999</v>
      </c>
      <c r="K19" s="21">
        <f ca="1">_xll.IMDP("BND",B19,K8,B3)</f>
        <v>20540310</v>
      </c>
      <c r="L19" s="23">
        <f ca="1">_xll.IMDP("BND",B19,L8,B3)</f>
        <v>4.3490000000000002</v>
      </c>
      <c r="M19" s="2">
        <v>46198</v>
      </c>
      <c r="N19" s="3" t="s">
        <v>68</v>
      </c>
      <c r="O19" s="3" t="s">
        <v>56</v>
      </c>
      <c r="P19" s="3" t="s">
        <v>69</v>
      </c>
      <c r="Q19" s="3">
        <v>0</v>
      </c>
      <c r="R19" s="3">
        <v>2.62</v>
      </c>
      <c r="S19" s="3">
        <v>0</v>
      </c>
      <c r="T19" s="3">
        <v>3062493</v>
      </c>
      <c r="U19" s="3">
        <v>9824.5499999999993</v>
      </c>
      <c r="V19" s="3">
        <v>4.2609000000000004</v>
      </c>
      <c r="W19" s="21">
        <f ca="1">_xll.IMDP("BND",N19,W8,N3)</f>
        <v>20310310</v>
      </c>
      <c r="X19" s="23">
        <f ca="1">_xll.IMDP("BND",N19,X8,N3)</f>
        <v>4.016</v>
      </c>
      <c r="Y19" s="2">
        <v>46198</v>
      </c>
      <c r="Z19" s="3" t="s">
        <v>732</v>
      </c>
      <c r="AA19" s="3" t="s">
        <v>29</v>
      </c>
      <c r="AB19" s="3" t="s">
        <v>733</v>
      </c>
      <c r="AC19" s="3">
        <v>0</v>
      </c>
      <c r="AD19" s="3">
        <v>2.88</v>
      </c>
      <c r="AE19" s="3">
        <v>0</v>
      </c>
      <c r="AF19" s="3">
        <v>4217900</v>
      </c>
      <c r="AG19" s="3">
        <v>5848.96</v>
      </c>
      <c r="AH19" s="3">
        <v>18.0258</v>
      </c>
      <c r="AI19" s="21">
        <f ca="1">_xll.IMDP("BND",Z19,AI8,Z3)</f>
        <v>20500310</v>
      </c>
      <c r="AJ19" s="23">
        <f ca="1">_xll.IMDP("BND",Z19,AJ8,Z3)</f>
        <v>4.3540000000000001</v>
      </c>
      <c r="AK19" s="2"/>
      <c r="AU19" s="21" t="str">
        <f ca="1">_xll.IMDP("BND",AL19,AU8,AL3)</f>
        <v>입력오류</v>
      </c>
      <c r="AV19" s="23" t="str">
        <f ca="1">_xll.IMDP("BND",AL19,AV8,AL3)</f>
        <v>입력오류</v>
      </c>
      <c r="AW19" s="2"/>
      <c r="BG19" s="21" t="str">
        <f ca="1">_xll.IMDP("BND",AX19,BG8,AX3)</f>
        <v>입력오류</v>
      </c>
      <c r="BH19" s="23" t="str">
        <f ca="1">_xll.IMDP("BND",AX19,BH8,AX3)</f>
        <v>입력오류</v>
      </c>
      <c r="BI19" s="2">
        <v>46198</v>
      </c>
      <c r="BJ19" s="3" t="s">
        <v>389</v>
      </c>
      <c r="BK19" s="3" t="s">
        <v>390</v>
      </c>
      <c r="BL19" s="3" t="s">
        <v>391</v>
      </c>
      <c r="BM19" s="3">
        <v>0</v>
      </c>
      <c r="BN19" s="3">
        <v>1.23</v>
      </c>
      <c r="BO19" s="3">
        <v>0</v>
      </c>
      <c r="BP19" s="3">
        <v>1535298</v>
      </c>
      <c r="BQ19" s="3">
        <v>10007.33</v>
      </c>
      <c r="BR19" s="3">
        <v>2.7296999999999998</v>
      </c>
      <c r="BS19" s="21">
        <f ca="1">_xll.IMDP("BND",BJ19,BS8,BJ3)</f>
        <v>20290526</v>
      </c>
      <c r="BT19" s="23">
        <f ca="1">_xll.IMDP("BND",BJ19,BT8,BJ3)</f>
        <v>4.1859999999999999</v>
      </c>
      <c r="BU19" s="2">
        <v>46198</v>
      </c>
      <c r="BV19" s="3" t="s">
        <v>969</v>
      </c>
      <c r="BW19" s="3" t="s">
        <v>176</v>
      </c>
      <c r="BX19" s="3" t="s">
        <v>970</v>
      </c>
      <c r="BY19" s="3">
        <v>0</v>
      </c>
      <c r="BZ19" s="3">
        <v>1.42</v>
      </c>
      <c r="CA19" s="3">
        <v>0</v>
      </c>
      <c r="CB19" s="3">
        <v>1897240</v>
      </c>
      <c r="CC19" s="3">
        <v>10168.08</v>
      </c>
      <c r="CD19" s="3">
        <v>0.27629999999999999</v>
      </c>
      <c r="CE19" s="21">
        <f ca="1">_xll.IMDP("BND",BV19,CE8,BV3)</f>
        <v>20261006</v>
      </c>
      <c r="CF19" s="23">
        <f ca="1">_xll.IMDP("BND",BV19,CF8,BV3)</f>
        <v>3.2949999999999999</v>
      </c>
      <c r="CG19" s="2">
        <v>46198</v>
      </c>
      <c r="CH19" s="3" t="s">
        <v>618</v>
      </c>
      <c r="CI19" s="3" t="s">
        <v>619</v>
      </c>
      <c r="CJ19" s="3" t="s">
        <v>620</v>
      </c>
      <c r="CK19" s="3">
        <v>0</v>
      </c>
      <c r="CL19" s="3">
        <v>2.4500000000000002</v>
      </c>
      <c r="CM19" s="3">
        <v>0</v>
      </c>
      <c r="CN19" s="3">
        <v>2499651</v>
      </c>
      <c r="CO19" s="3">
        <v>9921.24</v>
      </c>
      <c r="CP19" s="3">
        <v>0.93730000000000002</v>
      </c>
      <c r="CQ19" s="21">
        <f ca="1">_xll.IMDP("BND",CH19,CQ8,CH3)</f>
        <v>20270609</v>
      </c>
      <c r="CR19" s="23">
        <f ca="1">_xll.IMDP("BND",CH19,CR8,CH3)</f>
        <v>3.8889999999999998</v>
      </c>
      <c r="CS19" s="2">
        <v>46198</v>
      </c>
      <c r="CT19" s="3" t="s">
        <v>58</v>
      </c>
      <c r="CU19" s="3" t="s">
        <v>29</v>
      </c>
      <c r="CV19" s="3" t="s">
        <v>156</v>
      </c>
      <c r="CW19" s="3">
        <v>0</v>
      </c>
      <c r="CX19" s="3">
        <v>0.9</v>
      </c>
      <c r="CY19" s="3">
        <v>0</v>
      </c>
      <c r="CZ19" s="3">
        <v>1292989</v>
      </c>
      <c r="DA19" s="3">
        <v>8332.75</v>
      </c>
      <c r="DB19" s="3">
        <v>16.860099999999999</v>
      </c>
      <c r="DC19" s="21">
        <f ca="1">_xll.IMDP("BND",CT19,DC8,CT3)</f>
        <v>20540310</v>
      </c>
      <c r="DD19" s="23">
        <f ca="1">_xll.IMDP("BND",CT19,DD8,CT3)</f>
        <v>4.3490000000000002</v>
      </c>
      <c r="DE19" s="2">
        <v>46198</v>
      </c>
      <c r="DF19" s="3" t="s">
        <v>60</v>
      </c>
      <c r="DG19" s="3" t="s">
        <v>56</v>
      </c>
      <c r="DH19" s="3" t="s">
        <v>61</v>
      </c>
      <c r="DI19" s="3">
        <v>0</v>
      </c>
      <c r="DJ19" s="3">
        <v>0.79</v>
      </c>
      <c r="DK19" s="3">
        <v>0</v>
      </c>
      <c r="DL19" s="3">
        <v>794167</v>
      </c>
      <c r="DM19" s="3">
        <v>9503.5300000000007</v>
      </c>
      <c r="DN19" s="3">
        <v>3.9093</v>
      </c>
      <c r="DO19" s="21">
        <f ca="1">_xll.IMDP("BND",DF19,DO8,DF3)</f>
        <v>20300910</v>
      </c>
      <c r="DP19" s="23">
        <f ca="1">_xll.IMDP("BND",DF19,DP8,DF3)</f>
        <v>3.98</v>
      </c>
      <c r="DQ19" s="2">
        <v>46198</v>
      </c>
      <c r="DR19" s="3" t="s">
        <v>1017</v>
      </c>
      <c r="DS19" s="3" t="s">
        <v>1018</v>
      </c>
      <c r="DT19" s="3" t="s">
        <v>1019</v>
      </c>
      <c r="DU19" s="3">
        <v>0</v>
      </c>
      <c r="DV19" s="3">
        <v>0.91</v>
      </c>
      <c r="DW19" s="3">
        <v>0</v>
      </c>
      <c r="DX19" s="3">
        <v>2105813</v>
      </c>
      <c r="DY19" s="3">
        <v>10110.02</v>
      </c>
      <c r="DZ19" s="3">
        <v>0.23980000000000001</v>
      </c>
      <c r="EA19" s="21">
        <f ca="1">_xll.IMDP("BND",DR19,EA8,DR3)</f>
        <v>20260922</v>
      </c>
      <c r="EB19" s="23">
        <f ca="1">_xll.IMDP("BND",DR19,EB8,DR3)</f>
        <v>3.972</v>
      </c>
    </row>
    <row r="20" spans="1:132" ht="13.5" customHeight="1" x14ac:dyDescent="0.3">
      <c r="A20" s="2">
        <v>46198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0.85</v>
      </c>
      <c r="G20" s="3">
        <v>0</v>
      </c>
      <c r="H20" s="3">
        <v>949333</v>
      </c>
      <c r="I20" s="3">
        <v>7495.71</v>
      </c>
      <c r="J20" s="3">
        <v>17.665800000000001</v>
      </c>
      <c r="K20" s="21">
        <f ca="1">_xll.IMDP("BND",B20,K8,B3)</f>
        <v>20540910</v>
      </c>
      <c r="L20" s="23">
        <f ca="1">_xll.IMDP("BND",B20,L8,B3)</f>
        <v>4.3479999999999999</v>
      </c>
      <c r="M20" s="2">
        <v>46198</v>
      </c>
      <c r="N20" s="3" t="s">
        <v>70</v>
      </c>
      <c r="O20" s="3" t="s">
        <v>29</v>
      </c>
      <c r="P20" s="3" t="s">
        <v>71</v>
      </c>
      <c r="Q20" s="3">
        <v>0</v>
      </c>
      <c r="R20" s="3">
        <v>2.37</v>
      </c>
      <c r="S20" s="3">
        <v>0</v>
      </c>
      <c r="T20" s="3">
        <v>2771252</v>
      </c>
      <c r="U20" s="3">
        <v>6304.62</v>
      </c>
      <c r="V20" s="3">
        <v>17.744299999999999</v>
      </c>
      <c r="W20" s="21">
        <f ca="1">_xll.IMDP("BND",N20,W8,N3)</f>
        <v>20510310</v>
      </c>
      <c r="X20" s="23">
        <f ca="1">_xll.IMDP("BND",N20,X8,N3)</f>
        <v>4.3710000000000004</v>
      </c>
      <c r="Y20" s="2">
        <v>46198</v>
      </c>
      <c r="Z20" s="3" t="s">
        <v>79</v>
      </c>
      <c r="AA20" s="3" t="s">
        <v>29</v>
      </c>
      <c r="AB20" s="3" t="s">
        <v>80</v>
      </c>
      <c r="AC20" s="3">
        <v>0</v>
      </c>
      <c r="AD20" s="3">
        <v>1.97</v>
      </c>
      <c r="AE20" s="3">
        <v>0</v>
      </c>
      <c r="AF20" s="3">
        <v>2878472</v>
      </c>
      <c r="AG20" s="3">
        <v>8936.58</v>
      </c>
      <c r="AH20" s="3">
        <v>16.289400000000001</v>
      </c>
      <c r="AI20" s="21">
        <f ca="1">_xll.IMDP("BND",Z20,AI8,Z3)</f>
        <v>20530910</v>
      </c>
      <c r="AJ20" s="23">
        <f ca="1">_xll.IMDP("BND",Z20,AJ8,Z3)</f>
        <v>4.3620000000000001</v>
      </c>
      <c r="AK20" s="2"/>
      <c r="AU20" s="21" t="str">
        <f ca="1">_xll.IMDP("BND",AL20,AU8,AL3)</f>
        <v>입력오류</v>
      </c>
      <c r="AV20" s="23" t="str">
        <f ca="1">_xll.IMDP("BND",AL20,AV8,AL3)</f>
        <v>입력오류</v>
      </c>
      <c r="AW20" s="2"/>
      <c r="BG20" s="21" t="str">
        <f ca="1">_xll.IMDP("BND",AX20,BG8,AX3)</f>
        <v>입력오류</v>
      </c>
      <c r="BH20" s="23" t="str">
        <f ca="1">_xll.IMDP("BND",AX20,BH8,AX3)</f>
        <v>입력오류</v>
      </c>
      <c r="BI20" s="2">
        <v>46198</v>
      </c>
      <c r="BJ20" s="3" t="s">
        <v>105</v>
      </c>
      <c r="BK20" s="3" t="s">
        <v>63</v>
      </c>
      <c r="BL20" s="3" t="s">
        <v>106</v>
      </c>
      <c r="BM20" s="3">
        <v>0</v>
      </c>
      <c r="BN20" s="3">
        <v>1.01</v>
      </c>
      <c r="BO20" s="3">
        <v>0</v>
      </c>
      <c r="BP20" s="3">
        <v>1266948</v>
      </c>
      <c r="BQ20" s="3">
        <v>8059.33</v>
      </c>
      <c r="BR20" s="3">
        <v>14.0078</v>
      </c>
      <c r="BS20" s="21">
        <f ca="1">_xll.IMDP("BND",BJ20,BS8,BJ3)</f>
        <v>20450910</v>
      </c>
      <c r="BT20" s="23">
        <f ca="1">_xll.IMDP("BND",BJ20,BT8,BJ3)</f>
        <v>4.306</v>
      </c>
      <c r="BU20" s="2">
        <v>46198</v>
      </c>
      <c r="BV20" s="3" t="s">
        <v>971</v>
      </c>
      <c r="BW20" s="3" t="s">
        <v>972</v>
      </c>
      <c r="BX20" s="3" t="s">
        <v>973</v>
      </c>
      <c r="BY20" s="3">
        <v>0</v>
      </c>
      <c r="BZ20" s="3">
        <v>1.42</v>
      </c>
      <c r="CA20" s="3">
        <v>0</v>
      </c>
      <c r="CB20" s="3">
        <v>1896740</v>
      </c>
      <c r="CC20" s="3">
        <v>10165.459999999999</v>
      </c>
      <c r="CD20" s="3">
        <v>0.27629999999999999</v>
      </c>
      <c r="CE20" s="21">
        <f ca="1">_xll.IMDP("BND",BV20,CE8,BV3)</f>
        <v>20261006</v>
      </c>
      <c r="CF20" s="23">
        <f ca="1">_xll.IMDP("BND",BV20,CF8,BV3)</f>
        <v>3.28</v>
      </c>
      <c r="CG20" s="2">
        <v>46198</v>
      </c>
      <c r="CH20" s="3" t="s">
        <v>623</v>
      </c>
      <c r="CI20" s="3" t="s">
        <v>624</v>
      </c>
      <c r="CJ20" s="3" t="s">
        <v>625</v>
      </c>
      <c r="CK20" s="3">
        <v>0</v>
      </c>
      <c r="CL20" s="3">
        <v>2.4500000000000002</v>
      </c>
      <c r="CM20" s="3">
        <v>0</v>
      </c>
      <c r="CN20" s="3">
        <v>2498712</v>
      </c>
      <c r="CO20" s="3">
        <v>9916.9699999999993</v>
      </c>
      <c r="CP20" s="3">
        <v>1.3456999999999999</v>
      </c>
      <c r="CQ20" s="21">
        <f ca="1">_xll.IMDP("BND",CH20,CQ8,CH3)</f>
        <v>20271119</v>
      </c>
      <c r="CR20" s="23">
        <f ca="1">_xll.IMDP("BND",CH20,CR8,CH3)</f>
        <v>5.2229999999999999</v>
      </c>
      <c r="CS20" s="2">
        <v>46198</v>
      </c>
      <c r="CT20" s="3" t="s">
        <v>110</v>
      </c>
      <c r="CU20" s="3" t="s">
        <v>63</v>
      </c>
      <c r="CV20" s="3" t="s">
        <v>157</v>
      </c>
      <c r="CW20" s="3">
        <v>0</v>
      </c>
      <c r="CX20" s="3">
        <v>0.88</v>
      </c>
      <c r="CY20" s="3">
        <v>0</v>
      </c>
      <c r="CZ20" s="3">
        <v>1268748</v>
      </c>
      <c r="DA20" s="3">
        <v>8902</v>
      </c>
      <c r="DB20" s="3">
        <v>12.0678</v>
      </c>
      <c r="DC20" s="21">
        <f ca="1">_xll.IMDP("BND",CT20,DC8,CT3)</f>
        <v>20420910</v>
      </c>
      <c r="DD20" s="23">
        <f ca="1">_xll.IMDP("BND",CT20,DD8,CT3)</f>
        <v>4.2759999999999998</v>
      </c>
      <c r="DE20" s="2">
        <v>46198</v>
      </c>
      <c r="DF20" s="3" t="s">
        <v>28</v>
      </c>
      <c r="DG20" s="3" t="s">
        <v>29</v>
      </c>
      <c r="DH20" s="3" t="s">
        <v>30</v>
      </c>
      <c r="DI20" s="3">
        <v>0</v>
      </c>
      <c r="DJ20" s="3">
        <v>0.51</v>
      </c>
      <c r="DK20" s="3">
        <v>0</v>
      </c>
      <c r="DL20" s="3">
        <v>518104</v>
      </c>
      <c r="DM20" s="3">
        <v>9299.98</v>
      </c>
      <c r="DN20" s="3">
        <v>7.9861000000000004</v>
      </c>
      <c r="DO20" s="21">
        <f ca="1">_xll.IMDP("BND",DF20,DO8,DF3)</f>
        <v>20351210</v>
      </c>
      <c r="DP20" s="23">
        <f ca="1">_xll.IMDP("BND",DF20,DP8,DF3)</f>
        <v>4.17</v>
      </c>
      <c r="DQ20" s="2">
        <v>46198</v>
      </c>
      <c r="DR20" s="3" t="s">
        <v>1204</v>
      </c>
      <c r="DS20" s="3" t="s">
        <v>1205</v>
      </c>
      <c r="DT20" s="3" t="s">
        <v>1206</v>
      </c>
      <c r="DU20" s="3">
        <v>0</v>
      </c>
      <c r="DV20" s="3">
        <v>0.91</v>
      </c>
      <c r="DW20" s="3">
        <v>0</v>
      </c>
      <c r="DX20" s="3">
        <v>2100383</v>
      </c>
      <c r="DY20" s="3">
        <v>10084.549999999999</v>
      </c>
      <c r="DZ20" s="3">
        <v>0.74399999999999999</v>
      </c>
      <c r="EA20" s="21">
        <f ca="1">_xll.IMDP("BND",DR20,EA8,DR3)</f>
        <v>20270330</v>
      </c>
      <c r="EB20" s="23">
        <f ca="1">_xll.IMDP("BND",DR20,EB8,DR3)</f>
        <v>3.5640000000000001</v>
      </c>
    </row>
    <row r="21" spans="1:132" ht="13.5" customHeight="1" x14ac:dyDescent="0.3">
      <c r="A21" s="2">
        <v>46198</v>
      </c>
      <c r="B21" s="3" t="s">
        <v>210</v>
      </c>
      <c r="C21" s="3" t="s">
        <v>29</v>
      </c>
      <c r="D21" s="3" t="s">
        <v>385</v>
      </c>
      <c r="E21" s="3">
        <v>0</v>
      </c>
      <c r="F21" s="3">
        <v>0.82</v>
      </c>
      <c r="G21" s="3">
        <v>0</v>
      </c>
      <c r="H21" s="3">
        <v>910184</v>
      </c>
      <c r="I21" s="3">
        <v>7246.18</v>
      </c>
      <c r="J21" s="3">
        <v>18.180700000000002</v>
      </c>
      <c r="K21" s="21">
        <f ca="1">_xll.IMDP("BND",B21,K8,B3)</f>
        <v>20550910</v>
      </c>
      <c r="L21" s="23">
        <f ca="1">_xll.IMDP("BND",B21,L8,B3)</f>
        <v>4.3440000000000003</v>
      </c>
      <c r="M21" s="2">
        <v>46198</v>
      </c>
      <c r="N21" s="3" t="s">
        <v>72</v>
      </c>
      <c r="O21" s="3" t="s">
        <v>73</v>
      </c>
      <c r="P21" s="3" t="s">
        <v>74</v>
      </c>
      <c r="Q21" s="3">
        <v>0</v>
      </c>
      <c r="R21" s="3">
        <v>1.95</v>
      </c>
      <c r="S21" s="3">
        <v>0</v>
      </c>
      <c r="T21" s="3">
        <v>2276598</v>
      </c>
      <c r="U21" s="3">
        <v>9128.24</v>
      </c>
      <c r="V21" s="3">
        <v>12.160500000000001</v>
      </c>
      <c r="W21" s="21">
        <f ca="1">_xll.IMDP("BND",N21,W8,N3)</f>
        <v>20430420</v>
      </c>
      <c r="X21" s="23">
        <f ca="1">_xll.IMDP("BND",N21,X8,N3)</f>
        <v>4.4539999999999997</v>
      </c>
      <c r="Y21" s="2">
        <v>46198</v>
      </c>
      <c r="Z21" s="3" t="s">
        <v>110</v>
      </c>
      <c r="AA21" s="3" t="s">
        <v>63</v>
      </c>
      <c r="AB21" s="3" t="s">
        <v>111</v>
      </c>
      <c r="AC21" s="3">
        <v>0</v>
      </c>
      <c r="AD21" s="3">
        <v>1.57</v>
      </c>
      <c r="AE21" s="3">
        <v>0</v>
      </c>
      <c r="AF21" s="3">
        <v>2293950</v>
      </c>
      <c r="AG21" s="3">
        <v>8902</v>
      </c>
      <c r="AH21" s="3">
        <v>12.0678</v>
      </c>
      <c r="AI21" s="21">
        <f ca="1">_xll.IMDP("BND",Z21,AI8,Z3)</f>
        <v>20420910</v>
      </c>
      <c r="AJ21" s="23">
        <f ca="1">_xll.IMDP("BND",Z21,AJ8,Z3)</f>
        <v>4.2759999999999998</v>
      </c>
      <c r="AK21" s="2"/>
      <c r="AU21" s="21" t="str">
        <f ca="1">_xll.IMDP("BND",AL21,AU8,AL3)</f>
        <v>입력오류</v>
      </c>
      <c r="AV21" s="23" t="str">
        <f ca="1">_xll.IMDP("BND",AL21,AV8,AL3)</f>
        <v>입력오류</v>
      </c>
      <c r="AW21" s="2"/>
      <c r="BG21" s="21" t="str">
        <f ca="1">_xll.IMDP("BND",AX21,BG8,AX3)</f>
        <v>입력오류</v>
      </c>
      <c r="BH21" s="23" t="str">
        <f ca="1">_xll.IMDP("BND",AX21,BH8,AX3)</f>
        <v>입력오류</v>
      </c>
      <c r="BI21" s="2">
        <v>46198</v>
      </c>
      <c r="BJ21" s="3" t="s">
        <v>55</v>
      </c>
      <c r="BK21" s="3" t="s">
        <v>56</v>
      </c>
      <c r="BL21" s="3" t="s">
        <v>57</v>
      </c>
      <c r="BM21" s="3">
        <v>0</v>
      </c>
      <c r="BN21" s="3">
        <v>0.99</v>
      </c>
      <c r="BO21" s="3">
        <v>0</v>
      </c>
      <c r="BP21" s="3">
        <v>1244175</v>
      </c>
      <c r="BQ21" s="3">
        <v>9631.41</v>
      </c>
      <c r="BR21" s="3">
        <v>3.4603000000000002</v>
      </c>
      <c r="BS21" s="21">
        <f ca="1">_xll.IMDP("BND",BJ21,BS8,BJ3)</f>
        <v>20300310</v>
      </c>
      <c r="BT21" s="23">
        <f ca="1">_xll.IMDP("BND",BJ21,BT8,BJ3)</f>
        <v>3.923</v>
      </c>
      <c r="BU21" s="2">
        <v>46198</v>
      </c>
      <c r="BV21" s="3" t="s">
        <v>974</v>
      </c>
      <c r="BW21" s="3" t="s">
        <v>191</v>
      </c>
      <c r="BX21" s="3" t="s">
        <v>975</v>
      </c>
      <c r="BY21" s="3">
        <v>0</v>
      </c>
      <c r="BZ21" s="3">
        <v>1.41</v>
      </c>
      <c r="CA21" s="3">
        <v>0</v>
      </c>
      <c r="CB21" s="3">
        <v>1885748</v>
      </c>
      <c r="CC21" s="3">
        <v>10106.700000000001</v>
      </c>
      <c r="CD21" s="3">
        <v>4.1700000000000001E-2</v>
      </c>
      <c r="CE21" s="21">
        <f ca="1">_xll.IMDP("BND",BV21,CE8,BV3)</f>
        <v>20260710</v>
      </c>
      <c r="CF21" s="23">
        <f ca="1">_xll.IMDP("BND",BV21,CF8,BV3)</f>
        <v>3.1890000000000001</v>
      </c>
      <c r="CG21" s="2">
        <v>46198</v>
      </c>
      <c r="CH21" s="3" t="s">
        <v>621</v>
      </c>
      <c r="CI21" s="3" t="s">
        <v>502</v>
      </c>
      <c r="CJ21" s="3" t="s">
        <v>622</v>
      </c>
      <c r="CK21" s="3">
        <v>0</v>
      </c>
      <c r="CL21" s="3">
        <v>2.4500000000000002</v>
      </c>
      <c r="CM21" s="3">
        <v>0</v>
      </c>
      <c r="CN21" s="3">
        <v>2498513</v>
      </c>
      <c r="CO21" s="3">
        <v>9916.32</v>
      </c>
      <c r="CP21" s="3">
        <v>1.3346</v>
      </c>
      <c r="CQ21" s="21">
        <f ca="1">_xll.IMDP("BND",CH21,CQ8,CH3)</f>
        <v>20271112</v>
      </c>
      <c r="CR21" s="23">
        <f ca="1">_xll.IMDP("BND",CH21,CR8,CH3)</f>
        <v>4.4880000000000004</v>
      </c>
      <c r="CS21" s="2">
        <v>46198</v>
      </c>
      <c r="CT21" s="3" t="s">
        <v>158</v>
      </c>
      <c r="CU21" s="3" t="s">
        <v>159</v>
      </c>
      <c r="CV21" s="3" t="s">
        <v>160</v>
      </c>
      <c r="CW21" s="3">
        <v>0</v>
      </c>
      <c r="CX21" s="3">
        <v>0.79</v>
      </c>
      <c r="CY21" s="3">
        <v>0</v>
      </c>
      <c r="CZ21" s="3">
        <v>1143303</v>
      </c>
      <c r="DA21" s="3">
        <v>9793.67</v>
      </c>
      <c r="DB21" s="3">
        <v>1.5006999999999999</v>
      </c>
      <c r="DC21" s="21">
        <f ca="1">_xll.IMDP("BND",CT21,DC8,CT3)</f>
        <v>20280110</v>
      </c>
      <c r="DD21" s="23">
        <f ca="1">_xll.IMDP("BND",CT21,DD8,CT3)</f>
        <v>4.1859999999999999</v>
      </c>
      <c r="DE21" s="2">
        <v>46198</v>
      </c>
      <c r="DF21" s="3" t="s">
        <v>7</v>
      </c>
      <c r="DG21" s="3" t="s">
        <v>7</v>
      </c>
      <c r="DH21" s="3" t="s">
        <v>46</v>
      </c>
      <c r="DJ21" s="3">
        <v>13.74</v>
      </c>
      <c r="DL21" s="3">
        <v>13887872</v>
      </c>
      <c r="DO21" s="21" t="str">
        <f ca="1">_xll.IMDP("BND",DF21,DO8,DF3)</f>
        <v/>
      </c>
      <c r="DP21" s="23" t="str">
        <f ca="1">_xll.IMDP("BND",DF21,DP8,DF3)</f>
        <v/>
      </c>
      <c r="DQ21" s="2">
        <v>46198</v>
      </c>
      <c r="DR21" s="3" t="s">
        <v>1208</v>
      </c>
      <c r="DS21" s="3" t="s">
        <v>355</v>
      </c>
      <c r="DT21" s="3" t="s">
        <v>1209</v>
      </c>
      <c r="DU21" s="3">
        <v>0</v>
      </c>
      <c r="DV21" s="3">
        <v>0.91</v>
      </c>
      <c r="DW21" s="3">
        <v>0</v>
      </c>
      <c r="DX21" s="3">
        <v>2094532</v>
      </c>
      <c r="DY21" s="3">
        <v>10056.18</v>
      </c>
      <c r="DZ21" s="3">
        <v>0.82479999999999998</v>
      </c>
      <c r="EA21" s="21">
        <f ca="1">_xll.IMDP("BND",DR21,EA8,DR3)</f>
        <v>20270430</v>
      </c>
      <c r="EB21" s="23">
        <f ca="1">_xll.IMDP("BND",DR21,EB8,DR3)</f>
        <v>3.8530000000000002</v>
      </c>
    </row>
    <row r="22" spans="1:132" ht="13.5" customHeight="1" x14ac:dyDescent="0.3">
      <c r="A22" s="2">
        <v>46198</v>
      </c>
      <c r="B22" s="3" t="s">
        <v>207</v>
      </c>
      <c r="C22" s="3" t="s">
        <v>208</v>
      </c>
      <c r="D22" s="3" t="s">
        <v>747</v>
      </c>
      <c r="E22" s="3">
        <v>0</v>
      </c>
      <c r="F22" s="3">
        <v>0.81</v>
      </c>
      <c r="G22" s="3">
        <v>0</v>
      </c>
      <c r="H22" s="3">
        <v>901805</v>
      </c>
      <c r="I22" s="3">
        <v>8490.7800000000007</v>
      </c>
      <c r="J22" s="3">
        <v>12.4762</v>
      </c>
      <c r="K22" s="21">
        <f ca="1">_xll.IMDP("BND",B22,K8,B3)</f>
        <v>20421210</v>
      </c>
      <c r="L22" s="23">
        <f ca="1">_xll.IMDP("BND",B22,L8,B3)</f>
        <v>4.2990000000000004</v>
      </c>
      <c r="M22" s="2">
        <v>46198</v>
      </c>
      <c r="N22" s="3" t="s">
        <v>75</v>
      </c>
      <c r="O22" s="3" t="s">
        <v>29</v>
      </c>
      <c r="P22" s="3" t="s">
        <v>76</v>
      </c>
      <c r="Q22" s="3">
        <v>0</v>
      </c>
      <c r="R22" s="3">
        <v>1.79</v>
      </c>
      <c r="S22" s="3">
        <v>0</v>
      </c>
      <c r="T22" s="3">
        <v>2090986</v>
      </c>
      <c r="U22" s="3">
        <v>9583.4</v>
      </c>
      <c r="V22" s="3">
        <v>6.8400999999999996</v>
      </c>
      <c r="W22" s="21">
        <f ca="1">_xll.IMDP("BND",N22,W8,N3)</f>
        <v>20340610</v>
      </c>
      <c r="X22" s="23">
        <f ca="1">_xll.IMDP("BND",N22,X8,N3)</f>
        <v>4.1399999999999997</v>
      </c>
      <c r="Y22" s="2">
        <v>46198</v>
      </c>
      <c r="Z22" s="3" t="s">
        <v>70</v>
      </c>
      <c r="AA22" s="3" t="s">
        <v>29</v>
      </c>
      <c r="AB22" s="3" t="s">
        <v>71</v>
      </c>
      <c r="AC22" s="3">
        <v>0</v>
      </c>
      <c r="AD22" s="3">
        <v>1.39</v>
      </c>
      <c r="AE22" s="3">
        <v>0</v>
      </c>
      <c r="AF22" s="3">
        <v>2030842</v>
      </c>
      <c r="AG22" s="3">
        <v>6304.62</v>
      </c>
      <c r="AH22" s="3">
        <v>17.744299999999999</v>
      </c>
      <c r="AI22" s="21">
        <f ca="1">_xll.IMDP("BND",Z22,AI8,Z3)</f>
        <v>20510310</v>
      </c>
      <c r="AJ22" s="23">
        <f ca="1">_xll.IMDP("BND",Z22,AJ8,Z3)</f>
        <v>4.3710000000000004</v>
      </c>
      <c r="AK22" s="2"/>
      <c r="AU22" s="21" t="str">
        <f ca="1">_xll.IMDP("BND",AL22,AU8,AL3)</f>
        <v>입력오류</v>
      </c>
      <c r="AV22" s="23" t="str">
        <f ca="1">_xll.IMDP("BND",AL22,AV8,AL3)</f>
        <v>입력오류</v>
      </c>
      <c r="AW22" s="2"/>
      <c r="BG22" s="21" t="str">
        <f ca="1">_xll.IMDP("BND",AX22,BG8,AX3)</f>
        <v>입력오류</v>
      </c>
      <c r="BH22" s="23" t="str">
        <f ca="1">_xll.IMDP("BND",AX22,BH8,AX3)</f>
        <v>입력오류</v>
      </c>
      <c r="BI22" s="2">
        <v>46198</v>
      </c>
      <c r="BJ22" s="3" t="s">
        <v>392</v>
      </c>
      <c r="BK22" s="3" t="s">
        <v>393</v>
      </c>
      <c r="BL22" s="3" t="s">
        <v>394</v>
      </c>
      <c r="BM22" s="3">
        <v>0</v>
      </c>
      <c r="BN22" s="3">
        <v>0.92</v>
      </c>
      <c r="BO22" s="3">
        <v>0</v>
      </c>
      <c r="BP22" s="3">
        <v>1152110</v>
      </c>
      <c r="BQ22" s="3">
        <v>10015.370000000001</v>
      </c>
      <c r="BR22" s="3">
        <v>1.4968999999999999</v>
      </c>
      <c r="BS22" s="21">
        <f ca="1">_xll.IMDP("BND",BJ22,BS8,BJ3)</f>
        <v>20280121</v>
      </c>
      <c r="BT22" s="23">
        <f ca="1">_xll.IMDP("BND",BJ22,BT8,BJ3)</f>
        <v>3.9910000000000001</v>
      </c>
      <c r="BU22" s="2">
        <v>46198</v>
      </c>
      <c r="BV22" s="3" t="s">
        <v>976</v>
      </c>
      <c r="BW22" s="3" t="s">
        <v>977</v>
      </c>
      <c r="BX22" s="3" t="s">
        <v>978</v>
      </c>
      <c r="BY22" s="3">
        <v>0</v>
      </c>
      <c r="BZ22" s="3">
        <v>1.4</v>
      </c>
      <c r="CA22" s="3">
        <v>0</v>
      </c>
      <c r="CB22" s="3">
        <v>1872243</v>
      </c>
      <c r="CC22" s="3">
        <v>10034.17</v>
      </c>
      <c r="CD22" s="3">
        <v>0.31659999999999999</v>
      </c>
      <c r="CE22" s="21">
        <f ca="1">_xll.IMDP("BND",BV22,CE8,BV3)</f>
        <v>20261020</v>
      </c>
      <c r="CF22" s="23">
        <f ca="1">_xll.IMDP("BND",BV22,CF8,BV3)</f>
        <v>3.3570000000000002</v>
      </c>
      <c r="CG22" s="2">
        <v>46198</v>
      </c>
      <c r="CH22" s="3" t="s">
        <v>626</v>
      </c>
      <c r="CI22" s="3" t="s">
        <v>627</v>
      </c>
      <c r="CJ22" s="3" t="s">
        <v>628</v>
      </c>
      <c r="CK22" s="3">
        <v>0</v>
      </c>
      <c r="CL22" s="3">
        <v>2.44</v>
      </c>
      <c r="CM22" s="3">
        <v>0</v>
      </c>
      <c r="CN22" s="3">
        <v>2496840</v>
      </c>
      <c r="CO22" s="3">
        <v>9909.5300000000007</v>
      </c>
      <c r="CP22" s="3">
        <v>1.5001</v>
      </c>
      <c r="CQ22" s="21">
        <f ca="1">_xll.IMDP("BND",CH22,CQ8,CH3)</f>
        <v>20280114</v>
      </c>
      <c r="CR22" s="23">
        <f ca="1">_xll.IMDP("BND",CH22,CR8,CH3)</f>
        <v>4.1059999999999999</v>
      </c>
      <c r="CS22" s="2">
        <v>46198</v>
      </c>
      <c r="CT22" s="3" t="s">
        <v>86</v>
      </c>
      <c r="CU22" s="3" t="s">
        <v>29</v>
      </c>
      <c r="CV22" s="3" t="s">
        <v>162</v>
      </c>
      <c r="CW22" s="3">
        <v>0</v>
      </c>
      <c r="CX22" s="3">
        <v>0.71</v>
      </c>
      <c r="CY22" s="3">
        <v>0</v>
      </c>
      <c r="CZ22" s="3">
        <v>1028987</v>
      </c>
      <c r="DA22" s="3">
        <v>7495.71</v>
      </c>
      <c r="DB22" s="3">
        <v>17.665800000000001</v>
      </c>
      <c r="DC22" s="21">
        <f ca="1">_xll.IMDP("BND",CT22,DC8,CT3)</f>
        <v>20540910</v>
      </c>
      <c r="DD22" s="23">
        <f ca="1">_xll.IMDP("BND",CT22,DD8,CT3)</f>
        <v>4.3479999999999999</v>
      </c>
      <c r="DE22" s="2"/>
      <c r="DO22" s="21" t="str">
        <f ca="1">_xll.IMDP("BND",DF22,DO8,DF3)</f>
        <v>입력오류</v>
      </c>
      <c r="DP22" s="23" t="str">
        <f ca="1">_xll.IMDP("BND",DF22,DP8,DF3)</f>
        <v>입력오류</v>
      </c>
      <c r="DQ22" s="2">
        <v>46198</v>
      </c>
      <c r="DR22" s="3" t="s">
        <v>1210</v>
      </c>
      <c r="DS22" s="3" t="s">
        <v>241</v>
      </c>
      <c r="DT22" s="3" t="s">
        <v>1211</v>
      </c>
      <c r="DU22" s="3">
        <v>0</v>
      </c>
      <c r="DV22" s="3">
        <v>0.91</v>
      </c>
      <c r="DW22" s="3">
        <v>0</v>
      </c>
      <c r="DX22" s="3">
        <v>2093682</v>
      </c>
      <c r="DY22" s="3">
        <v>10052.06</v>
      </c>
      <c r="DZ22" s="3">
        <v>0.53410000000000002</v>
      </c>
      <c r="EA22" s="21">
        <f ca="1">_xll.IMDP("BND",DR22,EA8,DR3)</f>
        <v>20270111</v>
      </c>
      <c r="EB22" s="23">
        <f ca="1">_xll.IMDP("BND",DR22,EB8,DR3)</f>
        <v>4.0019999999999998</v>
      </c>
    </row>
    <row r="23" spans="1:132" ht="13.5" customHeight="1" x14ac:dyDescent="0.3">
      <c r="A23" s="2">
        <v>46198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845022</v>
      </c>
      <c r="I23" s="3">
        <v>8139.76</v>
      </c>
      <c r="J23" s="3">
        <v>16.4742</v>
      </c>
      <c r="K23" s="21">
        <f ca="1">_xll.IMDP("BND",B23,K8,B3)</f>
        <v>20520910</v>
      </c>
      <c r="L23" s="23">
        <f ca="1">_xll.IMDP("BND",B23,L8,B3)</f>
        <v>4.3840000000000003</v>
      </c>
      <c r="M23" s="2">
        <v>46198</v>
      </c>
      <c r="N23" s="3" t="s">
        <v>77</v>
      </c>
      <c r="O23" s="3" t="s">
        <v>29</v>
      </c>
      <c r="P23" s="3" t="s">
        <v>78</v>
      </c>
      <c r="Q23" s="3">
        <v>0</v>
      </c>
      <c r="R23" s="3">
        <v>1.74</v>
      </c>
      <c r="S23" s="3">
        <v>0</v>
      </c>
      <c r="T23" s="3">
        <v>2030199</v>
      </c>
      <c r="U23" s="3">
        <v>8139.76</v>
      </c>
      <c r="V23" s="3">
        <v>16.4742</v>
      </c>
      <c r="W23" s="21">
        <f ca="1">_xll.IMDP("BND",N23,W8,N3)</f>
        <v>20520910</v>
      </c>
      <c r="X23" s="23">
        <f ca="1">_xll.IMDP("BND",N23,X8,N3)</f>
        <v>4.3840000000000003</v>
      </c>
      <c r="Y23" s="2">
        <v>46198</v>
      </c>
      <c r="Z23" s="3" t="s">
        <v>58</v>
      </c>
      <c r="AA23" s="3" t="s">
        <v>29</v>
      </c>
      <c r="AB23" s="3" t="s">
        <v>59</v>
      </c>
      <c r="AC23" s="3">
        <v>0</v>
      </c>
      <c r="AD23" s="3">
        <v>1.35</v>
      </c>
      <c r="AE23" s="3">
        <v>0</v>
      </c>
      <c r="AF23" s="3">
        <v>1968198</v>
      </c>
      <c r="AG23" s="3">
        <v>8332.75</v>
      </c>
      <c r="AH23" s="3">
        <v>16.860099999999999</v>
      </c>
      <c r="AI23" s="21">
        <f ca="1">_xll.IMDP("BND",Z23,AI8,Z3)</f>
        <v>20540310</v>
      </c>
      <c r="AJ23" s="23">
        <f ca="1">_xll.IMDP("BND",Z23,AJ8,Z3)</f>
        <v>4.3490000000000002</v>
      </c>
      <c r="AK23" s="2"/>
      <c r="AU23" s="21" t="str">
        <f ca="1">_xll.IMDP("BND",AL23,AU8,AL3)</f>
        <v>입력오류</v>
      </c>
      <c r="AV23" s="23" t="str">
        <f ca="1">_xll.IMDP("BND",AL23,AV8,AL3)</f>
        <v>입력오류</v>
      </c>
      <c r="AW23" s="2"/>
      <c r="BG23" s="21" t="str">
        <f ca="1">_xll.IMDP("BND",AX23,BG8,AX3)</f>
        <v>입력오류</v>
      </c>
      <c r="BH23" s="23" t="str">
        <f ca="1">_xll.IMDP("BND",AX23,BH8,AX3)</f>
        <v>입력오류</v>
      </c>
      <c r="BI23" s="2">
        <v>46198</v>
      </c>
      <c r="BJ23" s="3" t="s">
        <v>35</v>
      </c>
      <c r="BK23" s="3" t="s">
        <v>36</v>
      </c>
      <c r="BL23" s="3" t="s">
        <v>37</v>
      </c>
      <c r="BM23" s="3">
        <v>0</v>
      </c>
      <c r="BN23" s="3">
        <v>0.85</v>
      </c>
      <c r="BO23" s="3">
        <v>0.01</v>
      </c>
      <c r="BP23" s="3">
        <v>1064000</v>
      </c>
      <c r="BS23" s="21" t="str">
        <f ca="1">_xll.IMDP("BND",BJ23,BS8,BJ3)</f>
        <v/>
      </c>
      <c r="BT23" s="23" t="str">
        <f ca="1">_xll.IMDP("BND",BJ23,BT8,BJ3)</f>
        <v/>
      </c>
      <c r="BU23" s="2">
        <v>46198</v>
      </c>
      <c r="BV23" s="3" t="s">
        <v>979</v>
      </c>
      <c r="BW23" s="3" t="s">
        <v>980</v>
      </c>
      <c r="BX23" s="3" t="s">
        <v>981</v>
      </c>
      <c r="BY23" s="3">
        <v>0</v>
      </c>
      <c r="BZ23" s="3">
        <v>1.4</v>
      </c>
      <c r="CA23" s="3">
        <v>0</v>
      </c>
      <c r="CB23" s="3">
        <v>1867986</v>
      </c>
      <c r="CC23" s="3">
        <v>10011.51</v>
      </c>
      <c r="CD23" s="3">
        <v>0.12790000000000001</v>
      </c>
      <c r="CE23" s="21">
        <f ca="1">_xll.IMDP("BND",BV23,CE8,BV3)</f>
        <v>20260811</v>
      </c>
      <c r="CF23" s="23">
        <f ca="1">_xll.IMDP("BND",BV23,CF8,BV3)</f>
        <v>3.2360000000000002</v>
      </c>
      <c r="CG23" s="2">
        <v>46198</v>
      </c>
      <c r="CH23" s="3" t="s">
        <v>629</v>
      </c>
      <c r="CI23" s="3" t="s">
        <v>630</v>
      </c>
      <c r="CJ23" s="3" t="s">
        <v>631</v>
      </c>
      <c r="CK23" s="3">
        <v>0</v>
      </c>
      <c r="CL23" s="3">
        <v>2.44</v>
      </c>
      <c r="CM23" s="3">
        <v>0</v>
      </c>
      <c r="CN23" s="3">
        <v>2495557</v>
      </c>
      <c r="CO23" s="3">
        <v>9904.2999999999993</v>
      </c>
      <c r="CP23" s="3">
        <v>2.4651999999999998</v>
      </c>
      <c r="CQ23" s="21">
        <f ca="1">_xll.IMDP("BND",CH23,CQ8,CH3)</f>
        <v>20290209</v>
      </c>
      <c r="CR23" s="23">
        <f ca="1">_xll.IMDP("BND",CH23,CR8,CH3)</f>
        <v>4.601</v>
      </c>
      <c r="CS23" s="2">
        <v>46198</v>
      </c>
      <c r="CT23" s="3" t="s">
        <v>55</v>
      </c>
      <c r="CU23" s="3" t="s">
        <v>56</v>
      </c>
      <c r="CV23" s="3" t="s">
        <v>163</v>
      </c>
      <c r="CW23" s="3">
        <v>0</v>
      </c>
      <c r="CX23" s="3">
        <v>0.69</v>
      </c>
      <c r="CY23" s="3">
        <v>0</v>
      </c>
      <c r="CZ23" s="3">
        <v>989480</v>
      </c>
      <c r="DA23" s="3">
        <v>9631.41</v>
      </c>
      <c r="DB23" s="3">
        <v>3.4603000000000002</v>
      </c>
      <c r="DC23" s="21">
        <f ca="1">_xll.IMDP("BND",CT23,DC8,CT3)</f>
        <v>20300310</v>
      </c>
      <c r="DD23" s="23">
        <f ca="1">_xll.IMDP("BND",CT23,DD8,CT3)</f>
        <v>3.923</v>
      </c>
      <c r="DE23" s="2"/>
      <c r="DO23" s="21" t="str">
        <f ca="1">_xll.IMDP("BND",DF23,DO8,DF3)</f>
        <v>입력오류</v>
      </c>
      <c r="DP23" s="23" t="str">
        <f ca="1">_xll.IMDP("BND",DF23,DP8,DF3)</f>
        <v>입력오류</v>
      </c>
      <c r="DQ23" s="2">
        <v>46198</v>
      </c>
      <c r="DR23" s="3" t="s">
        <v>1212</v>
      </c>
      <c r="DS23" s="3" t="s">
        <v>1213</v>
      </c>
      <c r="DT23" s="3" t="s">
        <v>1214</v>
      </c>
      <c r="DU23" s="3">
        <v>0</v>
      </c>
      <c r="DV23" s="3">
        <v>0.91</v>
      </c>
      <c r="DW23" s="3">
        <v>0</v>
      </c>
      <c r="DX23" s="3">
        <v>2089229</v>
      </c>
      <c r="DY23" s="3">
        <v>10030.51</v>
      </c>
      <c r="DZ23" s="3">
        <v>0.74080000000000001</v>
      </c>
      <c r="EA23" s="21">
        <f ca="1">_xll.IMDP("BND",DR23,EA8,DR3)</f>
        <v>20270328</v>
      </c>
      <c r="EB23" s="23">
        <f ca="1">_xll.IMDP("BND",DR23,EB8,DR3)</f>
        <v>3.5230000000000001</v>
      </c>
    </row>
    <row r="24" spans="1:132" ht="13.5" customHeight="1" x14ac:dyDescent="0.3">
      <c r="A24" s="2">
        <v>46198</v>
      </c>
      <c r="B24" s="3" t="s">
        <v>213</v>
      </c>
      <c r="C24" s="3" t="s">
        <v>29</v>
      </c>
      <c r="D24" s="3" t="s">
        <v>729</v>
      </c>
      <c r="E24" s="3">
        <v>0</v>
      </c>
      <c r="F24" s="3">
        <v>0.74</v>
      </c>
      <c r="G24" s="3">
        <v>0</v>
      </c>
      <c r="H24" s="3">
        <v>822758</v>
      </c>
      <c r="I24" s="3">
        <v>6705.37</v>
      </c>
      <c r="J24" s="3">
        <v>16.626200000000001</v>
      </c>
      <c r="K24" s="21">
        <f ca="1">_xll.IMDP("BND",B24,K8,B3)</f>
        <v>20490310</v>
      </c>
      <c r="L24" s="23">
        <f ca="1">_xll.IMDP("BND",B24,L8,B3)</f>
        <v>4.3339999999999996</v>
      </c>
      <c r="M24" s="2">
        <v>46198</v>
      </c>
      <c r="N24" s="3" t="s">
        <v>79</v>
      </c>
      <c r="O24" s="3" t="s">
        <v>29</v>
      </c>
      <c r="P24" s="3" t="s">
        <v>80</v>
      </c>
      <c r="Q24" s="3">
        <v>0</v>
      </c>
      <c r="R24" s="3">
        <v>1.67</v>
      </c>
      <c r="S24" s="3">
        <v>0</v>
      </c>
      <c r="T24" s="3">
        <v>1950028</v>
      </c>
      <c r="U24" s="3">
        <v>8936.58</v>
      </c>
      <c r="V24" s="3">
        <v>16.289400000000001</v>
      </c>
      <c r="W24" s="21">
        <f ca="1">_xll.IMDP("BND",N24,W8,N3)</f>
        <v>20530910</v>
      </c>
      <c r="X24" s="23">
        <f ca="1">_xll.IMDP("BND",N24,X8,N3)</f>
        <v>4.3620000000000001</v>
      </c>
      <c r="Y24" s="2">
        <v>46198</v>
      </c>
      <c r="Z24" s="3" t="s">
        <v>734</v>
      </c>
      <c r="AA24" s="3" t="s">
        <v>29</v>
      </c>
      <c r="AB24" s="3" t="s">
        <v>735</v>
      </c>
      <c r="AC24" s="3">
        <v>0</v>
      </c>
      <c r="AD24" s="3">
        <v>1.1399999999999999</v>
      </c>
      <c r="AE24" s="3">
        <v>0</v>
      </c>
      <c r="AF24" s="3">
        <v>1668352</v>
      </c>
      <c r="AG24" s="3">
        <v>7062.29</v>
      </c>
      <c r="AH24" s="3">
        <v>15.4528</v>
      </c>
      <c r="AI24" s="21">
        <f ca="1">_xll.IMDP("BND",Z24,AI8,Z3)</f>
        <v>20470310</v>
      </c>
      <c r="AJ24" s="23">
        <f ca="1">_xll.IMDP("BND",Z24,AJ8,Z3)</f>
        <v>4.3330000000000002</v>
      </c>
      <c r="AK24" s="2"/>
      <c r="AU24" s="21" t="str">
        <f ca="1">_xll.IMDP("BND",AL24,AU8,AL3)</f>
        <v>입력오류</v>
      </c>
      <c r="AV24" s="23" t="str">
        <f ca="1">_xll.IMDP("BND",AL24,AV8,AL3)</f>
        <v>입력오류</v>
      </c>
      <c r="AW24" s="2"/>
      <c r="BG24" s="21" t="str">
        <f ca="1">_xll.IMDP("BND",AX24,BG8,AX3)</f>
        <v>입력오류</v>
      </c>
      <c r="BH24" s="23" t="str">
        <f ca="1">_xll.IMDP("BND",AX24,BH8,AX3)</f>
        <v>입력오류</v>
      </c>
      <c r="BI24" s="2">
        <v>46198</v>
      </c>
      <c r="BJ24" s="3" t="s">
        <v>223</v>
      </c>
      <c r="BK24" s="3" t="s">
        <v>216</v>
      </c>
      <c r="BL24" s="3" t="s">
        <v>395</v>
      </c>
      <c r="BM24" s="3">
        <v>0</v>
      </c>
      <c r="BN24" s="3">
        <v>0.84</v>
      </c>
      <c r="BO24" s="3">
        <v>0</v>
      </c>
      <c r="BP24" s="3">
        <v>1057915</v>
      </c>
      <c r="BQ24" s="3">
        <v>10530.64</v>
      </c>
      <c r="BR24" s="3">
        <v>3.1387999999999998</v>
      </c>
      <c r="BS24" s="21">
        <f ca="1">_xll.IMDP("BND",BJ24,BS8,BJ3)</f>
        <v>20291210</v>
      </c>
      <c r="BT24" s="23">
        <f ca="1">_xll.IMDP("BND",BJ24,BT8,BJ3)</f>
        <v>3.9140000000000001</v>
      </c>
      <c r="BU24" s="2">
        <v>46198</v>
      </c>
      <c r="BV24" s="3" t="s">
        <v>982</v>
      </c>
      <c r="BW24" s="3" t="s">
        <v>983</v>
      </c>
      <c r="BX24" s="3" t="s">
        <v>984</v>
      </c>
      <c r="BY24" s="3">
        <v>0</v>
      </c>
      <c r="BZ24" s="3">
        <v>1.19</v>
      </c>
      <c r="CA24" s="3">
        <v>0</v>
      </c>
      <c r="CB24" s="3">
        <v>1595868</v>
      </c>
      <c r="CC24" s="3">
        <v>9991.1200000000008</v>
      </c>
      <c r="CD24" s="3">
        <v>0.21959999999999999</v>
      </c>
      <c r="CE24" s="21">
        <f ca="1">_xll.IMDP("BND",BV24,CE8,BV3)</f>
        <v>20260914</v>
      </c>
      <c r="CF24" s="23">
        <f ca="1">_xll.IMDP("BND",BV24,CF8,BV3)</f>
        <v>3.577</v>
      </c>
      <c r="CG24" s="2">
        <v>46198</v>
      </c>
      <c r="CH24" s="3" t="s">
        <v>632</v>
      </c>
      <c r="CI24" s="3" t="s">
        <v>633</v>
      </c>
      <c r="CJ24" s="3" t="s">
        <v>634</v>
      </c>
      <c r="CK24" s="3">
        <v>0</v>
      </c>
      <c r="CL24" s="3">
        <v>2.4300000000000002</v>
      </c>
      <c r="CM24" s="3">
        <v>0</v>
      </c>
      <c r="CN24" s="3">
        <v>2477694</v>
      </c>
      <c r="CO24" s="3">
        <v>9831.58</v>
      </c>
      <c r="CP24" s="3">
        <v>1.8177000000000001</v>
      </c>
      <c r="CQ24" s="21">
        <f ca="1">_xll.IMDP("BND",CH24,CQ8,CH3)</f>
        <v>20280526</v>
      </c>
      <c r="CR24" s="23">
        <f ca="1">_xll.IMDP("BND",CH24,CR8,CH3)</f>
        <v>5.61</v>
      </c>
      <c r="CS24" s="2">
        <v>46198</v>
      </c>
      <c r="CT24" s="3" t="s">
        <v>105</v>
      </c>
      <c r="CU24" s="3" t="s">
        <v>63</v>
      </c>
      <c r="CV24" s="3" t="s">
        <v>146</v>
      </c>
      <c r="CW24" s="3">
        <v>0</v>
      </c>
      <c r="CX24" s="3">
        <v>0.68</v>
      </c>
      <c r="CY24" s="3">
        <v>0</v>
      </c>
      <c r="CZ24" s="3">
        <v>978462</v>
      </c>
      <c r="DA24" s="3">
        <v>8059.33</v>
      </c>
      <c r="DB24" s="3">
        <v>14.0078</v>
      </c>
      <c r="DC24" s="21">
        <f ca="1">_xll.IMDP("BND",CT24,DC8,CT3)</f>
        <v>20450910</v>
      </c>
      <c r="DD24" s="23">
        <f ca="1">_xll.IMDP("BND",CT24,DD8,CT3)</f>
        <v>4.306</v>
      </c>
      <c r="DE24" s="2"/>
      <c r="DO24" s="21" t="str">
        <f ca="1">_xll.IMDP("BND",DF24,DO8,DF3)</f>
        <v>입력오류</v>
      </c>
      <c r="DP24" s="23" t="str">
        <f ca="1">_xll.IMDP("BND",DF24,DP8,DF3)</f>
        <v>입력오류</v>
      </c>
      <c r="DQ24" s="2">
        <v>46198</v>
      </c>
      <c r="DR24" s="3" t="s">
        <v>1215</v>
      </c>
      <c r="DS24" s="3" t="s">
        <v>1216</v>
      </c>
      <c r="DT24" s="3" t="s">
        <v>1217</v>
      </c>
      <c r="DU24" s="3">
        <v>0</v>
      </c>
      <c r="DV24" s="3">
        <v>0.91</v>
      </c>
      <c r="DW24" s="3">
        <v>0</v>
      </c>
      <c r="DX24" s="3">
        <v>2088402</v>
      </c>
      <c r="DY24" s="3">
        <v>10026.94</v>
      </c>
      <c r="DZ24" s="3">
        <v>0.68779999999999997</v>
      </c>
      <c r="EA24" s="21">
        <f ca="1">_xll.IMDP("BND",DR24,EA8,DR3)</f>
        <v>20270310</v>
      </c>
      <c r="EB24" s="23">
        <f ca="1">_xll.IMDP("BND",DR24,EB8,DR3)</f>
        <v>4.1740000000000004</v>
      </c>
    </row>
    <row r="25" spans="1:132" ht="13.5" customHeight="1" x14ac:dyDescent="0.3">
      <c r="A25" s="2">
        <v>46198</v>
      </c>
      <c r="B25" s="3" t="s">
        <v>748</v>
      </c>
      <c r="C25" s="3" t="s">
        <v>29</v>
      </c>
      <c r="D25" s="3" t="s">
        <v>749</v>
      </c>
      <c r="E25" s="3">
        <v>0</v>
      </c>
      <c r="F25" s="3">
        <v>0.73</v>
      </c>
      <c r="G25" s="3">
        <v>0</v>
      </c>
      <c r="H25" s="3">
        <v>810797</v>
      </c>
      <c r="I25" s="3">
        <v>7823.32</v>
      </c>
      <c r="J25" s="3">
        <v>9.1420999999999992</v>
      </c>
      <c r="K25" s="21">
        <f ca="1">_xll.IMDP("BND",B25,K8,B3)</f>
        <v>20360910</v>
      </c>
      <c r="L25" s="23">
        <f ca="1">_xll.IMDP("BND",B25,L8,B3)</f>
        <v>4.1950000000000003</v>
      </c>
      <c r="M25" s="2">
        <v>46198</v>
      </c>
      <c r="N25" s="3" t="s">
        <v>81</v>
      </c>
      <c r="O25" s="3" t="s">
        <v>29</v>
      </c>
      <c r="P25" s="3" t="s">
        <v>82</v>
      </c>
      <c r="Q25" s="3">
        <v>0</v>
      </c>
      <c r="R25" s="3">
        <v>1.48</v>
      </c>
      <c r="S25" s="3">
        <v>0</v>
      </c>
      <c r="T25" s="3">
        <v>1732720</v>
      </c>
      <c r="U25" s="3">
        <v>7127.31</v>
      </c>
      <c r="V25" s="3">
        <v>12.185600000000001</v>
      </c>
      <c r="W25" s="21">
        <f ca="1">_xll.IMDP("BND",N25,W8,N3)</f>
        <v>20400910</v>
      </c>
      <c r="X25" s="23">
        <f ca="1">_xll.IMDP("BND",N25,X8,N3)</f>
        <v>4.2549999999999999</v>
      </c>
      <c r="Y25" s="2">
        <v>46198</v>
      </c>
      <c r="Z25" s="3" t="s">
        <v>47</v>
      </c>
      <c r="AA25" s="3" t="s">
        <v>29</v>
      </c>
      <c r="AB25" s="3" t="s">
        <v>48</v>
      </c>
      <c r="AC25" s="3">
        <v>0</v>
      </c>
      <c r="AD25" s="3">
        <v>0.85</v>
      </c>
      <c r="AE25" s="3">
        <v>0</v>
      </c>
      <c r="AF25" s="3">
        <v>1247807</v>
      </c>
      <c r="AG25" s="3">
        <v>7264.13</v>
      </c>
      <c r="AH25" s="3">
        <v>18.0136</v>
      </c>
      <c r="AI25" s="21">
        <f ca="1">_xll.IMDP("BND",Z25,AI8,Z3)</f>
        <v>20550310</v>
      </c>
      <c r="AJ25" s="23">
        <f ca="1">_xll.IMDP("BND",Z25,AJ8,Z3)</f>
        <v>4.3490000000000002</v>
      </c>
      <c r="AK25" s="2"/>
      <c r="AU25" s="21" t="str">
        <f ca="1">_xll.IMDP("BND",AL25,AU8,AL3)</f>
        <v>입력오류</v>
      </c>
      <c r="AV25" s="23" t="str">
        <f ca="1">_xll.IMDP("BND",AL25,AV8,AL3)</f>
        <v>입력오류</v>
      </c>
      <c r="AW25" s="2"/>
      <c r="BG25" s="21" t="str">
        <f ca="1">_xll.IMDP("BND",AX25,BG8,AX3)</f>
        <v>입력오류</v>
      </c>
      <c r="BH25" s="23" t="str">
        <f ca="1">_xll.IMDP("BND",AX25,BH8,AX3)</f>
        <v>입력오류</v>
      </c>
      <c r="BI25" s="2">
        <v>46198</v>
      </c>
      <c r="BJ25" s="3" t="s">
        <v>396</v>
      </c>
      <c r="BK25" s="3" t="s">
        <v>56</v>
      </c>
      <c r="BL25" s="3" t="s">
        <v>397</v>
      </c>
      <c r="BM25" s="3">
        <v>0</v>
      </c>
      <c r="BN25" s="3">
        <v>0.83</v>
      </c>
      <c r="BO25" s="3">
        <v>0</v>
      </c>
      <c r="BP25" s="3">
        <v>1035739</v>
      </c>
      <c r="BQ25" s="3">
        <v>10079.31</v>
      </c>
      <c r="BR25" s="3">
        <v>8.0503</v>
      </c>
      <c r="BS25" s="21">
        <f ca="1">_xll.IMDP("BND",BJ25,BS8,BJ3)</f>
        <v>20360610</v>
      </c>
      <c r="BT25" s="23">
        <f ca="1">_xll.IMDP("BND",BJ25,BT8,BJ3)</f>
        <v>4.173</v>
      </c>
      <c r="BU25" s="2">
        <v>46198</v>
      </c>
      <c r="BV25" s="3" t="s">
        <v>985</v>
      </c>
      <c r="BW25" s="3" t="s">
        <v>986</v>
      </c>
      <c r="BX25" s="3" t="s">
        <v>987</v>
      </c>
      <c r="BY25" s="3">
        <v>0</v>
      </c>
      <c r="BZ25" s="3">
        <v>1.06</v>
      </c>
      <c r="CA25" s="3">
        <v>0</v>
      </c>
      <c r="CB25" s="3">
        <v>1414121</v>
      </c>
      <c r="CE25" s="21" t="str">
        <f ca="1">_xll.IMDP("BND",BV25,CE8,BV3)</f>
        <v/>
      </c>
      <c r="CF25" s="23" t="str">
        <f ca="1">_xll.IMDP("BND",BV25,CF8,BV3)</f>
        <v/>
      </c>
      <c r="CG25" s="2">
        <v>46198</v>
      </c>
      <c r="CH25" s="3" t="s">
        <v>635</v>
      </c>
      <c r="CI25" s="3" t="s">
        <v>636</v>
      </c>
      <c r="CJ25" s="3" t="s">
        <v>637</v>
      </c>
      <c r="CK25" s="3">
        <v>0</v>
      </c>
      <c r="CL25" s="3">
        <v>2.42</v>
      </c>
      <c r="CM25" s="3">
        <v>0</v>
      </c>
      <c r="CN25" s="3">
        <v>2475429</v>
      </c>
      <c r="CO25" s="3">
        <v>9824.9</v>
      </c>
      <c r="CP25" s="3">
        <v>1.9474</v>
      </c>
      <c r="CQ25" s="21">
        <f ca="1">_xll.IMDP("BND",CH25,CQ8,CH3)</f>
        <v>20280721</v>
      </c>
      <c r="CR25" s="23">
        <f ca="1">_xll.IMDP("BND",CH25,CR8,CH3)</f>
        <v>5.7279999999999998</v>
      </c>
      <c r="CS25" s="2">
        <v>46198</v>
      </c>
      <c r="CT25" s="3" t="s">
        <v>164</v>
      </c>
      <c r="CU25" s="3" t="s">
        <v>165</v>
      </c>
      <c r="CV25" s="3" t="s">
        <v>166</v>
      </c>
      <c r="CW25" s="3">
        <v>0</v>
      </c>
      <c r="CX25" s="3">
        <v>0.65</v>
      </c>
      <c r="CY25" s="3">
        <v>0</v>
      </c>
      <c r="CZ25" s="3">
        <v>943122</v>
      </c>
      <c r="DA25" s="3">
        <v>10098.36</v>
      </c>
      <c r="DB25" s="3">
        <v>0.40600000000000003</v>
      </c>
      <c r="DC25" s="21">
        <f ca="1">_xll.IMDP("BND",CT25,DC8,CT3)</f>
        <v>20261123</v>
      </c>
      <c r="DD25" s="23">
        <f ca="1">_xll.IMDP("BND",CT25,DD8,CT3)</f>
        <v>3.3559999999999999</v>
      </c>
      <c r="DE25" s="2"/>
      <c r="DO25" s="21" t="str">
        <f ca="1">_xll.IMDP("BND",DF25,DO8,DF3)</f>
        <v>입력오류</v>
      </c>
      <c r="DP25" s="23" t="str">
        <f ca="1">_xll.IMDP("BND",DF25,DP8,DF3)</f>
        <v>입력오류</v>
      </c>
      <c r="DQ25" s="2">
        <v>46198</v>
      </c>
      <c r="DR25" s="3" t="s">
        <v>1218</v>
      </c>
      <c r="DS25" s="3" t="s">
        <v>604</v>
      </c>
      <c r="DT25" s="3" t="s">
        <v>1219</v>
      </c>
      <c r="DU25" s="3">
        <v>0</v>
      </c>
      <c r="DV25" s="3">
        <v>0.9</v>
      </c>
      <c r="DW25" s="3">
        <v>0</v>
      </c>
      <c r="DX25" s="3">
        <v>2081810</v>
      </c>
      <c r="DY25" s="3">
        <v>9994.9699999999993</v>
      </c>
      <c r="DZ25" s="3">
        <v>0.96709999999999996</v>
      </c>
      <c r="EA25" s="21">
        <f ca="1">_xll.IMDP("BND",DR25,EA8,DR3)</f>
        <v>20270625</v>
      </c>
      <c r="EB25" s="23">
        <f ca="1">_xll.IMDP("BND",DR25,EB8,DR3)</f>
        <v>4.8250000000000002</v>
      </c>
    </row>
    <row r="26" spans="1:132" ht="13.5" customHeight="1" x14ac:dyDescent="0.3">
      <c r="A26" s="2">
        <v>46198</v>
      </c>
      <c r="B26" s="3" t="s">
        <v>753</v>
      </c>
      <c r="C26" s="3" t="s">
        <v>754</v>
      </c>
      <c r="D26" s="3" t="s">
        <v>755</v>
      </c>
      <c r="E26" s="3">
        <v>0</v>
      </c>
      <c r="F26" s="3">
        <v>0.72</v>
      </c>
      <c r="G26" s="3">
        <v>0</v>
      </c>
      <c r="H26" s="3">
        <v>795573</v>
      </c>
      <c r="I26" s="3">
        <v>9987.32</v>
      </c>
      <c r="J26" s="3">
        <v>4.3830999999999998</v>
      </c>
      <c r="K26" s="21">
        <f ca="1">_xll.IMDP("BND",B26,K8,B3)</f>
        <v>20310526</v>
      </c>
      <c r="L26" s="23">
        <f ca="1">_xll.IMDP("BND",B26,L8,B3)</f>
        <v>4.3319999999999999</v>
      </c>
      <c r="M26" s="2">
        <v>46198</v>
      </c>
      <c r="N26" s="3" t="s">
        <v>83</v>
      </c>
      <c r="O26" s="3" t="s">
        <v>84</v>
      </c>
      <c r="P26" s="3" t="s">
        <v>85</v>
      </c>
      <c r="Q26" s="3">
        <v>0</v>
      </c>
      <c r="R26" s="3">
        <v>1.45</v>
      </c>
      <c r="S26" s="3">
        <v>0</v>
      </c>
      <c r="T26" s="3">
        <v>1692669</v>
      </c>
      <c r="U26" s="3">
        <v>9049.24</v>
      </c>
      <c r="V26" s="3">
        <v>3.7374999999999998</v>
      </c>
      <c r="W26" s="21">
        <f ca="1">_xll.IMDP("BND",N26,W8,N3)</f>
        <v>20300528</v>
      </c>
      <c r="X26" s="23">
        <f ca="1">_xll.IMDP("BND",N26,X8,N3)</f>
        <v>4.1870000000000003</v>
      </c>
      <c r="Y26" s="2">
        <v>46198</v>
      </c>
      <c r="Z26" s="3" t="s">
        <v>736</v>
      </c>
      <c r="AA26" s="3" t="s">
        <v>29</v>
      </c>
      <c r="AB26" s="3" t="s">
        <v>737</v>
      </c>
      <c r="AC26" s="3">
        <v>0</v>
      </c>
      <c r="AD26" s="3">
        <v>0.71</v>
      </c>
      <c r="AE26" s="3">
        <v>0</v>
      </c>
      <c r="AF26" s="3">
        <v>1036327</v>
      </c>
      <c r="AG26" s="3">
        <v>8044.09</v>
      </c>
      <c r="AH26" s="3">
        <v>13.7432</v>
      </c>
      <c r="AI26" s="21">
        <f ca="1">_xll.IMDP("BND",Z26,AI8,Z3)</f>
        <v>20441210</v>
      </c>
      <c r="AJ26" s="23">
        <f ca="1">_xll.IMDP("BND",Z26,AJ8,Z3)</f>
        <v>4.3049999999999997</v>
      </c>
      <c r="AK26" s="2"/>
      <c r="AU26" s="21" t="str">
        <f ca="1">_xll.IMDP("BND",AL26,AU8,AL3)</f>
        <v>입력오류</v>
      </c>
      <c r="AV26" s="23" t="str">
        <f ca="1">_xll.IMDP("BND",AL26,AV8,AL3)</f>
        <v>입력오류</v>
      </c>
      <c r="AW26" s="2"/>
      <c r="BG26" s="21" t="str">
        <f ca="1">_xll.IMDP("BND",AX26,BG8,AX3)</f>
        <v>입력오류</v>
      </c>
      <c r="BH26" s="23" t="str">
        <f ca="1">_xll.IMDP("BND",AX26,BH8,AX3)</f>
        <v>입력오류</v>
      </c>
      <c r="BI26" s="2">
        <v>46198</v>
      </c>
      <c r="BJ26" s="3" t="s">
        <v>137</v>
      </c>
      <c r="BK26" s="3" t="s">
        <v>138</v>
      </c>
      <c r="BL26" s="3" t="s">
        <v>139</v>
      </c>
      <c r="BM26" s="3">
        <v>0</v>
      </c>
      <c r="BN26" s="3">
        <v>0.82</v>
      </c>
      <c r="BO26" s="3">
        <v>0.01</v>
      </c>
      <c r="BP26" s="3">
        <v>1030300</v>
      </c>
      <c r="BS26" s="21" t="str">
        <f ca="1">_xll.IMDP("BND",BJ26,BS8,BJ3)</f>
        <v/>
      </c>
      <c r="BT26" s="23" t="str">
        <f ca="1">_xll.IMDP("BND",BJ26,BT8,BJ3)</f>
        <v/>
      </c>
      <c r="BU26" s="2">
        <v>46198</v>
      </c>
      <c r="BV26" s="3" t="s">
        <v>988</v>
      </c>
      <c r="BW26" s="3" t="s">
        <v>989</v>
      </c>
      <c r="BX26" s="3" t="s">
        <v>990</v>
      </c>
      <c r="BY26" s="3">
        <v>0</v>
      </c>
      <c r="BZ26" s="3">
        <v>0.99</v>
      </c>
      <c r="CA26" s="3">
        <v>0</v>
      </c>
      <c r="CB26" s="3">
        <v>1325364</v>
      </c>
      <c r="CE26" s="21" t="str">
        <f ca="1">_xll.IMDP("BND",BV26,CE8,BV3)</f>
        <v/>
      </c>
      <c r="CF26" s="23" t="str">
        <f ca="1">_xll.IMDP("BND",BV26,CF8,BV3)</f>
        <v/>
      </c>
      <c r="CG26" s="2">
        <v>46198</v>
      </c>
      <c r="CH26" s="3" t="s">
        <v>638</v>
      </c>
      <c r="CI26" s="3" t="s">
        <v>639</v>
      </c>
      <c r="CJ26" s="3" t="s">
        <v>640</v>
      </c>
      <c r="CK26" s="3">
        <v>0</v>
      </c>
      <c r="CL26" s="3">
        <v>2.42</v>
      </c>
      <c r="CM26" s="3">
        <v>0</v>
      </c>
      <c r="CN26" s="3">
        <v>2474922</v>
      </c>
      <c r="CO26" s="3">
        <v>9822.41</v>
      </c>
      <c r="CP26" s="3">
        <v>1.7232000000000001</v>
      </c>
      <c r="CQ26" s="21">
        <f ca="1">_xll.IMDP("BND",CH26,CQ8,CH3)</f>
        <v>20280414</v>
      </c>
      <c r="CR26" s="23">
        <f ca="1">_xll.IMDP("BND",CH26,CR8,CH3)</f>
        <v>4.8719999999999999</v>
      </c>
      <c r="CS26" s="2">
        <v>46198</v>
      </c>
      <c r="CT26" s="3" t="s">
        <v>167</v>
      </c>
      <c r="CU26" s="3" t="s">
        <v>29</v>
      </c>
      <c r="CV26" s="3" t="s">
        <v>168</v>
      </c>
      <c r="CW26" s="3">
        <v>0</v>
      </c>
      <c r="CX26" s="3">
        <v>0.65</v>
      </c>
      <c r="CY26" s="3">
        <v>0</v>
      </c>
      <c r="CZ26" s="3">
        <v>942088</v>
      </c>
      <c r="DA26" s="3">
        <v>8986.56</v>
      </c>
      <c r="DB26" s="3">
        <v>4.2351000000000001</v>
      </c>
      <c r="DC26" s="21">
        <f ca="1">_xll.IMDP("BND",CT26,DC8,CT3)</f>
        <v>20301210</v>
      </c>
      <c r="DD26" s="23">
        <f ca="1">_xll.IMDP("BND",CT26,DD8,CT3)</f>
        <v>4.0199999999999996</v>
      </c>
      <c r="DE26" s="2"/>
      <c r="DO26" s="21" t="str">
        <f ca="1">_xll.IMDP("BND",DF26,DO8,DF3)</f>
        <v>입력오류</v>
      </c>
      <c r="DP26" s="23" t="str">
        <f ca="1">_xll.IMDP("BND",DF26,DP8,DF3)</f>
        <v>입력오류</v>
      </c>
      <c r="DQ26" s="2">
        <v>46198</v>
      </c>
      <c r="DR26" s="3" t="s">
        <v>1220</v>
      </c>
      <c r="DS26" s="3" t="s">
        <v>1221</v>
      </c>
      <c r="DT26" s="3" t="s">
        <v>1222</v>
      </c>
      <c r="DU26" s="3">
        <v>0</v>
      </c>
      <c r="DV26" s="3">
        <v>0.9</v>
      </c>
      <c r="DW26" s="3">
        <v>0</v>
      </c>
      <c r="DX26" s="3">
        <v>2081560</v>
      </c>
      <c r="DY26" s="3">
        <v>9993.61</v>
      </c>
      <c r="DZ26" s="3">
        <v>1.0898000000000001</v>
      </c>
      <c r="EA26" s="21">
        <f ca="1">_xll.IMDP("BND",DR26,EA8,DR3)</f>
        <v>20270810</v>
      </c>
      <c r="EB26" s="23">
        <f ca="1">_xll.IMDP("BND",DR26,EB8,DR3)</f>
        <v>4.4560000000000004</v>
      </c>
    </row>
    <row r="27" spans="1:132" ht="13.5" customHeight="1" x14ac:dyDescent="0.3">
      <c r="A27" s="2">
        <v>46198</v>
      </c>
      <c r="B27" s="3" t="s">
        <v>756</v>
      </c>
      <c r="C27" s="3" t="s">
        <v>757</v>
      </c>
      <c r="D27" s="3" t="s">
        <v>758</v>
      </c>
      <c r="E27" s="3">
        <v>0</v>
      </c>
      <c r="F27" s="3">
        <v>0.71</v>
      </c>
      <c r="G27" s="3">
        <v>0</v>
      </c>
      <c r="H27" s="3">
        <v>790651</v>
      </c>
      <c r="I27" s="3">
        <v>9925.59</v>
      </c>
      <c r="J27" s="3">
        <v>4.1752000000000002</v>
      </c>
      <c r="K27" s="21">
        <f ca="1">_xll.IMDP("BND",B27,K8,B3)</f>
        <v>20310216</v>
      </c>
      <c r="L27" s="23">
        <f ca="1">_xll.IMDP("BND",B27,L8,B3)</f>
        <v>4.4889999999999999</v>
      </c>
      <c r="M27" s="2">
        <v>46198</v>
      </c>
      <c r="N27" s="3" t="s">
        <v>86</v>
      </c>
      <c r="O27" s="3" t="s">
        <v>29</v>
      </c>
      <c r="P27" s="3" t="s">
        <v>87</v>
      </c>
      <c r="Q27" s="3">
        <v>0</v>
      </c>
      <c r="R27" s="3">
        <v>1.4</v>
      </c>
      <c r="S27" s="3">
        <v>0</v>
      </c>
      <c r="T27" s="3">
        <v>1635477</v>
      </c>
      <c r="U27" s="3">
        <v>7495.71</v>
      </c>
      <c r="V27" s="3">
        <v>17.665800000000001</v>
      </c>
      <c r="W27" s="21">
        <f ca="1">_xll.IMDP("BND",N27,W8,N3)</f>
        <v>20540910</v>
      </c>
      <c r="X27" s="23">
        <f ca="1">_xll.IMDP("BND",N27,X8,N3)</f>
        <v>4.3479999999999999</v>
      </c>
      <c r="Y27" s="2">
        <v>46198</v>
      </c>
      <c r="Z27" s="3" t="s">
        <v>117</v>
      </c>
      <c r="AA27" s="3" t="s">
        <v>56</v>
      </c>
      <c r="AB27" s="3" t="s">
        <v>118</v>
      </c>
      <c r="AC27" s="3">
        <v>0</v>
      </c>
      <c r="AD27" s="3">
        <v>0.54</v>
      </c>
      <c r="AE27" s="3">
        <v>0</v>
      </c>
      <c r="AF27" s="3">
        <v>793846</v>
      </c>
      <c r="AG27" s="3">
        <v>7394.2</v>
      </c>
      <c r="AH27" s="3">
        <v>12.537100000000001</v>
      </c>
      <c r="AI27" s="21">
        <f ca="1">_xll.IMDP("BND",Z27,AI8,Z3)</f>
        <v>20410910</v>
      </c>
      <c r="AJ27" s="23">
        <f ca="1">_xll.IMDP("BND",Z27,AJ8,Z3)</f>
        <v>4.2699999999999996</v>
      </c>
      <c r="AK27" s="2"/>
      <c r="AU27" s="21" t="str">
        <f ca="1">_xll.IMDP("BND",AL27,AU8,AL3)</f>
        <v>입력오류</v>
      </c>
      <c r="AV27" s="23" t="str">
        <f ca="1">_xll.IMDP("BND",AL27,AV8,AL3)</f>
        <v>입력오류</v>
      </c>
      <c r="AW27" s="2"/>
      <c r="BG27" s="21" t="str">
        <f ca="1">_xll.IMDP("BND",AX27,BG8,AX3)</f>
        <v>입력오류</v>
      </c>
      <c r="BH27" s="23" t="str">
        <f ca="1">_xll.IMDP("BND",AX27,BH8,AX3)</f>
        <v>입력오류</v>
      </c>
      <c r="BI27" s="2">
        <v>46198</v>
      </c>
      <c r="BJ27" s="3" t="s">
        <v>119</v>
      </c>
      <c r="BK27" s="3" t="s">
        <v>29</v>
      </c>
      <c r="BL27" s="3" t="s">
        <v>120</v>
      </c>
      <c r="BM27" s="3">
        <v>0</v>
      </c>
      <c r="BN27" s="3">
        <v>0.82</v>
      </c>
      <c r="BO27" s="3">
        <v>0</v>
      </c>
      <c r="BP27" s="3">
        <v>1021649</v>
      </c>
      <c r="BQ27" s="3">
        <v>7199.4</v>
      </c>
      <c r="BR27" s="3">
        <v>17.1205</v>
      </c>
      <c r="BS27" s="21">
        <f ca="1">_xll.IMDP("BND",BJ27,BS8,BJ3)</f>
        <v>20520310</v>
      </c>
      <c r="BT27" s="23">
        <f ca="1">_xll.IMDP("BND",BJ27,BT8,BJ3)</f>
        <v>4.3710000000000004</v>
      </c>
      <c r="BU27" s="2">
        <v>46198</v>
      </c>
      <c r="BV27" s="3" t="s">
        <v>991</v>
      </c>
      <c r="BW27" s="3" t="s">
        <v>992</v>
      </c>
      <c r="BX27" s="3" t="s">
        <v>993</v>
      </c>
      <c r="BY27" s="3">
        <v>0</v>
      </c>
      <c r="BZ27" s="3">
        <v>0.86</v>
      </c>
      <c r="CA27" s="3">
        <v>0</v>
      </c>
      <c r="CB27" s="3">
        <v>1154280</v>
      </c>
      <c r="CE27" s="21" t="str">
        <f ca="1">_xll.IMDP("BND",BV27,CE8,BV3)</f>
        <v/>
      </c>
      <c r="CF27" s="23" t="str">
        <f ca="1">_xll.IMDP("BND",BV27,CF8,BV3)</f>
        <v/>
      </c>
      <c r="CG27" s="2">
        <v>46198</v>
      </c>
      <c r="CH27" s="3" t="s">
        <v>641</v>
      </c>
      <c r="CI27" s="3" t="s">
        <v>642</v>
      </c>
      <c r="CJ27" s="3" t="s">
        <v>643</v>
      </c>
      <c r="CK27" s="3">
        <v>0</v>
      </c>
      <c r="CL27" s="3">
        <v>2.42</v>
      </c>
      <c r="CM27" s="3">
        <v>0</v>
      </c>
      <c r="CN27" s="3">
        <v>2469672</v>
      </c>
      <c r="CO27" s="3">
        <v>9801.86</v>
      </c>
      <c r="CP27" s="3">
        <v>1.8328</v>
      </c>
      <c r="CQ27" s="21">
        <f ca="1">_xll.IMDP("BND",CH27,CQ8,CH3)</f>
        <v>20280526</v>
      </c>
      <c r="CR27" s="23">
        <f ca="1">_xll.IMDP("BND",CH27,CR8,CH3)</f>
        <v>4.8849999999999998</v>
      </c>
      <c r="CS27" s="2">
        <v>46198</v>
      </c>
      <c r="CT27" s="3" t="s">
        <v>169</v>
      </c>
      <c r="CU27" s="3" t="s">
        <v>170</v>
      </c>
      <c r="CV27" s="3" t="s">
        <v>171</v>
      </c>
      <c r="CW27" s="3">
        <v>0</v>
      </c>
      <c r="CX27" s="3">
        <v>0.65</v>
      </c>
      <c r="CY27" s="3">
        <v>0</v>
      </c>
      <c r="CZ27" s="3">
        <v>939137</v>
      </c>
      <c r="DA27" s="3">
        <v>10056.02</v>
      </c>
      <c r="DB27" s="3">
        <v>0.89959999999999996</v>
      </c>
      <c r="DC27" s="21">
        <f ca="1">_xll.IMDP("BND",CT27,DC8,CT3)</f>
        <v>20270528</v>
      </c>
      <c r="DD27" s="23">
        <f ca="1">_xll.IMDP("BND",CT27,DD8,CT3)</f>
        <v>4.0620000000000003</v>
      </c>
      <c r="DE27" s="2"/>
      <c r="DO27" s="21" t="str">
        <f ca="1">_xll.IMDP("BND",DF27,DO8,DF3)</f>
        <v>입력오류</v>
      </c>
      <c r="DP27" s="23" t="str">
        <f ca="1">_xll.IMDP("BND",DF27,DP8,DF3)</f>
        <v>입력오류</v>
      </c>
      <c r="DQ27" s="2">
        <v>46198</v>
      </c>
      <c r="DR27" s="3" t="s">
        <v>1223</v>
      </c>
      <c r="DS27" s="3" t="s">
        <v>1224</v>
      </c>
      <c r="DT27" s="3" t="s">
        <v>1225</v>
      </c>
      <c r="DU27" s="3">
        <v>0</v>
      </c>
      <c r="DV27" s="3">
        <v>0.9</v>
      </c>
      <c r="DW27" s="3">
        <v>0</v>
      </c>
      <c r="DX27" s="3">
        <v>2079597</v>
      </c>
      <c r="EA27" s="21" t="str">
        <f ca="1">_xll.IMDP("BND",DR27,EA8,DR3)</f>
        <v/>
      </c>
      <c r="EB27" s="23" t="str">
        <f ca="1">_xll.IMDP("BND",DR27,EB8,DR3)</f>
        <v/>
      </c>
    </row>
    <row r="28" spans="1:132" ht="13.5" customHeight="1" x14ac:dyDescent="0.3">
      <c r="A28" s="2">
        <v>46198</v>
      </c>
      <c r="B28" s="3" t="s">
        <v>750</v>
      </c>
      <c r="C28" s="3" t="s">
        <v>751</v>
      </c>
      <c r="D28" s="3" t="s">
        <v>752</v>
      </c>
      <c r="E28" s="3">
        <v>0</v>
      </c>
      <c r="F28" s="3">
        <v>0.71</v>
      </c>
      <c r="G28" s="3">
        <v>0</v>
      </c>
      <c r="H28" s="3">
        <v>790440</v>
      </c>
      <c r="I28" s="3">
        <v>9923.2199999999993</v>
      </c>
      <c r="J28" s="3">
        <v>0.97719999999999996</v>
      </c>
      <c r="K28" s="21">
        <f ca="1">_xll.IMDP("BND",B28,K8,B3)</f>
        <v>20270624</v>
      </c>
      <c r="L28" s="23">
        <f ca="1">_xll.IMDP("BND",B28,L8,B3)</f>
        <v>3.8769999999999998</v>
      </c>
      <c r="M28" s="2">
        <v>46198</v>
      </c>
      <c r="N28" s="3" t="s">
        <v>88</v>
      </c>
      <c r="O28" s="3" t="s">
        <v>89</v>
      </c>
      <c r="P28" s="3" t="s">
        <v>90</v>
      </c>
      <c r="Q28" s="3">
        <v>0</v>
      </c>
      <c r="R28" s="3">
        <v>1.31</v>
      </c>
      <c r="S28" s="3">
        <v>0</v>
      </c>
      <c r="T28" s="3">
        <v>1534605</v>
      </c>
      <c r="U28" s="3">
        <v>9845.26</v>
      </c>
      <c r="V28" s="3">
        <v>2.7843</v>
      </c>
      <c r="W28" s="21">
        <f ca="1">_xll.IMDP("BND",N28,W8,N3)</f>
        <v>20290612</v>
      </c>
      <c r="X28" s="23">
        <f ca="1">_xll.IMDP("BND",N28,X8,N3)</f>
        <v>4.3899999999999997</v>
      </c>
      <c r="Y28" s="2">
        <v>46198</v>
      </c>
      <c r="Z28" s="3" t="s">
        <v>210</v>
      </c>
      <c r="AA28" s="3" t="s">
        <v>29</v>
      </c>
      <c r="AB28" s="3" t="s">
        <v>385</v>
      </c>
      <c r="AC28" s="3">
        <v>0</v>
      </c>
      <c r="AD28" s="3">
        <v>0.36</v>
      </c>
      <c r="AE28" s="3">
        <v>0</v>
      </c>
      <c r="AF28" s="3">
        <v>529079</v>
      </c>
      <c r="AG28" s="3">
        <v>7246.18</v>
      </c>
      <c r="AH28" s="3">
        <v>18.180700000000002</v>
      </c>
      <c r="AI28" s="21">
        <f ca="1">_xll.IMDP("BND",Z28,AI8,Z3)</f>
        <v>20550910</v>
      </c>
      <c r="AJ28" s="23">
        <f ca="1">_xll.IMDP("BND",Z28,AJ8,Z3)</f>
        <v>4.3440000000000003</v>
      </c>
      <c r="AK28" s="2"/>
      <c r="AU28" s="21" t="str">
        <f ca="1">_xll.IMDP("BND",AL28,AU8,AL3)</f>
        <v>입력오류</v>
      </c>
      <c r="AV28" s="23" t="str">
        <f ca="1">_xll.IMDP("BND",AL28,AV8,AL3)</f>
        <v>입력오류</v>
      </c>
      <c r="AW28" s="2"/>
      <c r="BG28" s="21" t="str">
        <f ca="1">_xll.IMDP("BND",AX28,BG8,AX3)</f>
        <v>입력오류</v>
      </c>
      <c r="BH28" s="23" t="str">
        <f ca="1">_xll.IMDP("BND",AX28,BH8,AX3)</f>
        <v>입력오류</v>
      </c>
      <c r="BI28" s="2">
        <v>46198</v>
      </c>
      <c r="BJ28" s="3" t="s">
        <v>124</v>
      </c>
      <c r="BK28" s="3" t="s">
        <v>29</v>
      </c>
      <c r="BL28" s="3" t="s">
        <v>125</v>
      </c>
      <c r="BM28" s="3">
        <v>0</v>
      </c>
      <c r="BN28" s="3">
        <v>0.74</v>
      </c>
      <c r="BO28" s="3">
        <v>0</v>
      </c>
      <c r="BP28" s="3">
        <v>924505</v>
      </c>
      <c r="BQ28" s="3">
        <v>9185.3799999999992</v>
      </c>
      <c r="BR28" s="3">
        <v>5.0297999999999998</v>
      </c>
      <c r="BS28" s="21">
        <f ca="1">_xll.IMDP("BND",BJ28,BS8,BJ3)</f>
        <v>20311210</v>
      </c>
      <c r="BT28" s="23">
        <f ca="1">_xll.IMDP("BND",BJ28,BT8,BJ3)</f>
        <v>4.0739999999999998</v>
      </c>
      <c r="BU28" s="2">
        <v>46198</v>
      </c>
      <c r="BV28" s="3" t="s">
        <v>994</v>
      </c>
      <c r="BW28" s="3" t="s">
        <v>995</v>
      </c>
      <c r="BX28" s="3" t="s">
        <v>996</v>
      </c>
      <c r="BY28" s="3">
        <v>0</v>
      </c>
      <c r="BZ28" s="3">
        <v>0.72</v>
      </c>
      <c r="CA28" s="3">
        <v>0</v>
      </c>
      <c r="CB28" s="3">
        <v>966051</v>
      </c>
      <c r="CE28" s="21" t="str">
        <f ca="1">_xll.IMDP("BND",BV28,CE8,BV3)</f>
        <v/>
      </c>
      <c r="CF28" s="23" t="str">
        <f ca="1">_xll.IMDP("BND",BV28,CF8,BV3)</f>
        <v/>
      </c>
      <c r="CG28" s="2">
        <v>46198</v>
      </c>
      <c r="CH28" s="3" t="s">
        <v>644</v>
      </c>
      <c r="CI28" s="3" t="s">
        <v>482</v>
      </c>
      <c r="CJ28" s="3" t="s">
        <v>645</v>
      </c>
      <c r="CK28" s="3">
        <v>0</v>
      </c>
      <c r="CL28" s="3">
        <v>2.41</v>
      </c>
      <c r="CM28" s="3">
        <v>0</v>
      </c>
      <c r="CN28" s="3">
        <v>2465318</v>
      </c>
      <c r="CO28" s="3">
        <v>9783.67</v>
      </c>
      <c r="CP28" s="3">
        <v>1.9321999999999999</v>
      </c>
      <c r="CQ28" s="21">
        <f ca="1">_xll.IMDP("BND",CH28,CQ8,CH3)</f>
        <v>20280630</v>
      </c>
      <c r="CR28" s="23">
        <f ca="1">_xll.IMDP("BND",CH28,CR8,CH3)</f>
        <v>4.2569999999999997</v>
      </c>
      <c r="CS28" s="2">
        <v>46198</v>
      </c>
      <c r="CT28" s="3" t="s">
        <v>172</v>
      </c>
      <c r="CU28" s="3" t="s">
        <v>173</v>
      </c>
      <c r="CV28" s="3" t="s">
        <v>174</v>
      </c>
      <c r="CW28" s="3">
        <v>0</v>
      </c>
      <c r="CX28" s="3">
        <v>0.65</v>
      </c>
      <c r="CY28" s="3">
        <v>0</v>
      </c>
      <c r="CZ28" s="3">
        <v>936800</v>
      </c>
      <c r="DA28" s="3">
        <v>10030.530000000001</v>
      </c>
      <c r="DB28" s="3">
        <v>0.68049999999999999</v>
      </c>
      <c r="DC28" s="21">
        <f ca="1">_xll.IMDP("BND",CT28,DC8,CT3)</f>
        <v>20270305</v>
      </c>
      <c r="DD28" s="23">
        <f ca="1">_xll.IMDP("BND",CT28,DD8,CT3)</f>
        <v>3.5720000000000001</v>
      </c>
      <c r="DE28" s="2"/>
      <c r="DO28" s="21" t="str">
        <f ca="1">_xll.IMDP("BND",DF28,DO8,DF3)</f>
        <v>입력오류</v>
      </c>
      <c r="DP28" s="23" t="str">
        <f ca="1">_xll.IMDP("BND",DF28,DP8,DF3)</f>
        <v>입력오류</v>
      </c>
      <c r="DQ28" s="2">
        <v>46198</v>
      </c>
      <c r="DR28" s="3" t="s">
        <v>1226</v>
      </c>
      <c r="DS28" s="3" t="s">
        <v>1227</v>
      </c>
      <c r="DT28" s="3" t="s">
        <v>1228</v>
      </c>
      <c r="DU28" s="3">
        <v>0</v>
      </c>
      <c r="DV28" s="3">
        <v>0.9</v>
      </c>
      <c r="DW28" s="3">
        <v>0</v>
      </c>
      <c r="DX28" s="3">
        <v>2078596</v>
      </c>
      <c r="DY28" s="3">
        <v>9979.34</v>
      </c>
      <c r="DZ28" s="3">
        <v>1.099</v>
      </c>
      <c r="EA28" s="21">
        <f ca="1">_xll.IMDP("BND",DR28,EA8,DR3)</f>
        <v>20270812</v>
      </c>
      <c r="EB28" s="23">
        <f ca="1">_xll.IMDP("BND",DR28,EB8,DR3)</f>
        <v>4.0529999999999999</v>
      </c>
    </row>
    <row r="29" spans="1:132" ht="13.5" customHeight="1" x14ac:dyDescent="0.3">
      <c r="A29" s="2">
        <v>46198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782619</v>
      </c>
      <c r="I29" s="3">
        <v>9824.5499999999993</v>
      </c>
      <c r="J29" s="3">
        <v>4.2609000000000004</v>
      </c>
      <c r="K29" s="21">
        <f ca="1">_xll.IMDP("BND",B29,K8,B3)</f>
        <v>20310310</v>
      </c>
      <c r="L29" s="23">
        <f ca="1">_xll.IMDP("BND",B29,L8,B3)</f>
        <v>4.016</v>
      </c>
      <c r="M29" s="2">
        <v>46198</v>
      </c>
      <c r="N29" s="3" t="s">
        <v>91</v>
      </c>
      <c r="O29" s="3" t="s">
        <v>92</v>
      </c>
      <c r="P29" s="3" t="s">
        <v>93</v>
      </c>
      <c r="Q29" s="3">
        <v>0</v>
      </c>
      <c r="R29" s="3">
        <v>1.3</v>
      </c>
      <c r="S29" s="3">
        <v>0</v>
      </c>
      <c r="T29" s="3">
        <v>1520569</v>
      </c>
      <c r="U29" s="3">
        <v>9755.33</v>
      </c>
      <c r="V29" s="3">
        <v>2.9544000000000001</v>
      </c>
      <c r="W29" s="21">
        <f ca="1">_xll.IMDP("BND",N29,W8,N3)</f>
        <v>20290814</v>
      </c>
      <c r="X29" s="23">
        <f ca="1">_xll.IMDP("BND",N29,X8,N3)</f>
        <v>4.1550000000000002</v>
      </c>
      <c r="Y29" s="2">
        <v>46198</v>
      </c>
      <c r="Z29" s="3" t="s">
        <v>7</v>
      </c>
      <c r="AA29" s="3" t="s">
        <v>7</v>
      </c>
      <c r="AB29" s="3" t="s">
        <v>46</v>
      </c>
      <c r="AD29" s="3">
        <v>14.31</v>
      </c>
      <c r="AF29" s="3">
        <v>-20929387</v>
      </c>
      <c r="AI29" s="21" t="str">
        <f ca="1">_xll.IMDP("BND",Z29,AI8,Z3)</f>
        <v/>
      </c>
      <c r="AJ29" s="23" t="str">
        <f ca="1">_xll.IMDP("BND",Z29,AJ8,Z3)</f>
        <v/>
      </c>
      <c r="AK29" s="2"/>
      <c r="AU29" s="21" t="str">
        <f ca="1">_xll.IMDP("BND",AL29,AU8,AL3)</f>
        <v>입력오류</v>
      </c>
      <c r="AV29" s="23" t="str">
        <f ca="1">_xll.IMDP("BND",AL29,AV8,AL3)</f>
        <v>입력오류</v>
      </c>
      <c r="AW29" s="2"/>
      <c r="BG29" s="21" t="str">
        <f ca="1">_xll.IMDP("BND",AX29,BG8,AX3)</f>
        <v>입력오류</v>
      </c>
      <c r="BH29" s="23" t="str">
        <f ca="1">_xll.IMDP("BND",AX29,BH8,AX3)</f>
        <v>입력오류</v>
      </c>
      <c r="BI29" s="2">
        <v>46198</v>
      </c>
      <c r="BJ29" s="3" t="s">
        <v>398</v>
      </c>
      <c r="BK29" s="3" t="s">
        <v>399</v>
      </c>
      <c r="BL29" s="3" t="s">
        <v>400</v>
      </c>
      <c r="BM29" s="3">
        <v>0</v>
      </c>
      <c r="BN29" s="3">
        <v>0.68</v>
      </c>
      <c r="BO29" s="3">
        <v>0</v>
      </c>
      <c r="BP29" s="3">
        <v>847212</v>
      </c>
      <c r="BS29" s="21" t="str">
        <f ca="1">_xll.IMDP("BND",BJ29,BS8,BJ3)</f>
        <v/>
      </c>
      <c r="BT29" s="23" t="str">
        <f ca="1">_xll.IMDP("BND",BJ29,BT8,BJ3)</f>
        <v/>
      </c>
      <c r="BU29" s="2">
        <v>46198</v>
      </c>
      <c r="BV29" s="3" t="s">
        <v>997</v>
      </c>
      <c r="BW29" s="3" t="s">
        <v>998</v>
      </c>
      <c r="BX29" s="3" t="s">
        <v>999</v>
      </c>
      <c r="BY29" s="3">
        <v>0</v>
      </c>
      <c r="BZ29" s="3">
        <v>0.71</v>
      </c>
      <c r="CA29" s="3">
        <v>0</v>
      </c>
      <c r="CB29" s="3">
        <v>949550</v>
      </c>
      <c r="CC29" s="3">
        <v>10178.030000000001</v>
      </c>
      <c r="CD29" s="3">
        <v>0.24229999999999999</v>
      </c>
      <c r="CE29" s="21">
        <f ca="1">_xll.IMDP("BND",BV29,CE8,BV3)</f>
        <v>20260923</v>
      </c>
      <c r="CF29" s="23">
        <f ca="1">_xll.IMDP("BND",BV29,CF8,BV3)</f>
        <v>3.3319999999999999</v>
      </c>
      <c r="CG29" s="2">
        <v>46198</v>
      </c>
      <c r="CH29" s="3" t="s">
        <v>646</v>
      </c>
      <c r="CI29" s="3" t="s">
        <v>355</v>
      </c>
      <c r="CJ29" s="3" t="s">
        <v>647</v>
      </c>
      <c r="CK29" s="3">
        <v>0</v>
      </c>
      <c r="CL29" s="3">
        <v>2.41</v>
      </c>
      <c r="CM29" s="3">
        <v>0</v>
      </c>
      <c r="CN29" s="3">
        <v>2458702</v>
      </c>
      <c r="CO29" s="3">
        <v>9757.76</v>
      </c>
      <c r="CP29" s="3">
        <v>1.7936000000000001</v>
      </c>
      <c r="CQ29" s="21">
        <f ca="1">_xll.IMDP("BND",CH29,CQ8,CH3)</f>
        <v>20280504</v>
      </c>
      <c r="CR29" s="23">
        <f ca="1">_xll.IMDP("BND",CH29,CR8,CH3)</f>
        <v>4.4340000000000002</v>
      </c>
      <c r="CS29" s="2">
        <v>46198</v>
      </c>
      <c r="CT29" s="3" t="s">
        <v>175</v>
      </c>
      <c r="CU29" s="3" t="s">
        <v>176</v>
      </c>
      <c r="CV29" s="3" t="s">
        <v>177</v>
      </c>
      <c r="CW29" s="3">
        <v>0</v>
      </c>
      <c r="CX29" s="3">
        <v>0.65</v>
      </c>
      <c r="CY29" s="3">
        <v>0</v>
      </c>
      <c r="CZ29" s="3">
        <v>934397</v>
      </c>
      <c r="DA29" s="3">
        <v>10005.09</v>
      </c>
      <c r="DB29" s="3">
        <v>1.2986</v>
      </c>
      <c r="DC29" s="21">
        <f ca="1">_xll.IMDP("BND",CT29,DC8,CT3)</f>
        <v>20271029</v>
      </c>
      <c r="DD29" s="23">
        <f ca="1">_xll.IMDP("BND",CT29,DD8,CT3)</f>
        <v>4.1260000000000003</v>
      </c>
      <c r="DE29" s="2"/>
      <c r="DO29" s="21" t="str">
        <f ca="1">_xll.IMDP("BND",DF29,DO8,DF3)</f>
        <v>입력오류</v>
      </c>
      <c r="DP29" s="23" t="str">
        <f ca="1">_xll.IMDP("BND",DF29,DP8,DF3)</f>
        <v>입력오류</v>
      </c>
      <c r="DQ29" s="2">
        <v>46198</v>
      </c>
      <c r="DR29" s="3" t="s">
        <v>1229</v>
      </c>
      <c r="DS29" s="3" t="s">
        <v>426</v>
      </c>
      <c r="DT29" s="3" t="s">
        <v>1230</v>
      </c>
      <c r="DU29" s="3">
        <v>0</v>
      </c>
      <c r="DV29" s="3">
        <v>0.9</v>
      </c>
      <c r="DW29" s="3">
        <v>0</v>
      </c>
      <c r="DX29" s="3">
        <v>2078300</v>
      </c>
      <c r="DY29" s="3">
        <v>9977.84</v>
      </c>
      <c r="DZ29" s="3">
        <v>1.0854999999999999</v>
      </c>
      <c r="EA29" s="21">
        <f ca="1">_xll.IMDP("BND",DR29,EA8,DR3)</f>
        <v>20270806</v>
      </c>
      <c r="EB29" s="23">
        <f ca="1">_xll.IMDP("BND",DR29,EB8,DR3)</f>
        <v>3.774</v>
      </c>
    </row>
    <row r="30" spans="1:132" ht="13.5" customHeight="1" x14ac:dyDescent="0.3">
      <c r="A30" s="2">
        <v>46198</v>
      </c>
      <c r="B30" s="3" t="s">
        <v>759</v>
      </c>
      <c r="C30" s="3" t="s">
        <v>760</v>
      </c>
      <c r="D30" s="3" t="s">
        <v>761</v>
      </c>
      <c r="E30" s="3">
        <v>0</v>
      </c>
      <c r="F30" s="3">
        <v>0.7</v>
      </c>
      <c r="G30" s="3">
        <v>0</v>
      </c>
      <c r="H30" s="3">
        <v>780278</v>
      </c>
      <c r="I30" s="3">
        <v>9794.56</v>
      </c>
      <c r="J30" s="3">
        <v>3.113</v>
      </c>
      <c r="K30" s="21">
        <f ca="1">_xll.IMDP("BND",B30,K8,B3)</f>
        <v>20291023</v>
      </c>
      <c r="L30" s="23">
        <f ca="1">_xll.IMDP("BND",B30,L8,B3)</f>
        <v>4.1589999999999998</v>
      </c>
      <c r="M30" s="2">
        <v>46198</v>
      </c>
      <c r="N30" s="3" t="s">
        <v>94</v>
      </c>
      <c r="O30" s="3" t="s">
        <v>95</v>
      </c>
      <c r="P30" s="3" t="s">
        <v>96</v>
      </c>
      <c r="Q30" s="3">
        <v>0</v>
      </c>
      <c r="R30" s="3">
        <v>1.24</v>
      </c>
      <c r="S30" s="3">
        <v>0</v>
      </c>
      <c r="T30" s="3">
        <v>1453578</v>
      </c>
      <c r="U30" s="3">
        <v>9325.4599999999991</v>
      </c>
      <c r="V30" s="3">
        <v>6.8688000000000002</v>
      </c>
      <c r="W30" s="21">
        <f ca="1">_xll.IMDP("BND",N30,W8,N3)</f>
        <v>20340616</v>
      </c>
      <c r="X30" s="23">
        <f ca="1">_xll.IMDP("BND",N30,X8,N3)</f>
        <v>4.5250000000000004</v>
      </c>
      <c r="Y30" s="2"/>
      <c r="AI30" s="21" t="str">
        <f ca="1">_xll.IMDP("BND",Z30,AI8,Z3)</f>
        <v>입력오류</v>
      </c>
      <c r="AJ30" s="23" t="str">
        <f ca="1">_xll.IMDP("BND",Z30,AJ8,Z3)</f>
        <v>입력오류</v>
      </c>
      <c r="AK30" s="2"/>
      <c r="AU30" s="21" t="str">
        <f ca="1">_xll.IMDP("BND",AL30,AU8,AL3)</f>
        <v>입력오류</v>
      </c>
      <c r="AV30" s="23" t="str">
        <f ca="1">_xll.IMDP("BND",AL30,AV8,AL3)</f>
        <v>입력오류</v>
      </c>
      <c r="AW30" s="2"/>
      <c r="BG30" s="21" t="str">
        <f ca="1">_xll.IMDP("BND",AX30,BG8,AX3)</f>
        <v>입력오류</v>
      </c>
      <c r="BH30" s="23" t="str">
        <f ca="1">_xll.IMDP("BND",AX30,BH8,AX3)</f>
        <v>입력오류</v>
      </c>
      <c r="BI30" s="2">
        <v>46198</v>
      </c>
      <c r="BJ30" s="3" t="s">
        <v>401</v>
      </c>
      <c r="BK30" s="3" t="s">
        <v>402</v>
      </c>
      <c r="BL30" s="3" t="s">
        <v>403</v>
      </c>
      <c r="BM30" s="3">
        <v>0</v>
      </c>
      <c r="BN30" s="3">
        <v>0.67</v>
      </c>
      <c r="BO30" s="3">
        <v>0</v>
      </c>
      <c r="BP30" s="3">
        <v>833624</v>
      </c>
      <c r="BQ30" s="3">
        <v>10102.5</v>
      </c>
      <c r="BR30" s="3">
        <v>0.54659999999999997</v>
      </c>
      <c r="BS30" s="21">
        <f ca="1">_xll.IMDP("BND",BJ30,BS8,BJ3)</f>
        <v>20270115</v>
      </c>
      <c r="BT30" s="23">
        <f ca="1">_xll.IMDP("BND",BJ30,BT8,BJ3)</f>
        <v>3.4470000000000001</v>
      </c>
      <c r="BU30" s="2">
        <v>46198</v>
      </c>
      <c r="BV30" s="3" t="s">
        <v>1000</v>
      </c>
      <c r="BW30" s="3" t="s">
        <v>1001</v>
      </c>
      <c r="BX30" s="3" t="s">
        <v>1002</v>
      </c>
      <c r="BY30" s="3">
        <v>0</v>
      </c>
      <c r="BZ30" s="3">
        <v>0.71</v>
      </c>
      <c r="CA30" s="3">
        <v>0</v>
      </c>
      <c r="CB30" s="3">
        <v>948987</v>
      </c>
      <c r="CC30" s="3">
        <v>10043.719999999999</v>
      </c>
      <c r="CD30" s="3">
        <v>0.24329999999999999</v>
      </c>
      <c r="CE30" s="21">
        <f ca="1">_xll.IMDP("BND",BV30,CE8,BV3)</f>
        <v>20260923</v>
      </c>
      <c r="CF30" s="23">
        <f ca="1">_xll.IMDP("BND",BV30,CF8,BV3)</f>
        <v>3.3519999999999999</v>
      </c>
      <c r="CG30" s="2">
        <v>46198</v>
      </c>
      <c r="CH30" s="3" t="s">
        <v>648</v>
      </c>
      <c r="CI30" s="3" t="s">
        <v>649</v>
      </c>
      <c r="CJ30" s="3" t="s">
        <v>650</v>
      </c>
      <c r="CK30" s="3">
        <v>0</v>
      </c>
      <c r="CL30" s="3">
        <v>2.4</v>
      </c>
      <c r="CM30" s="3">
        <v>0</v>
      </c>
      <c r="CN30" s="3">
        <v>2455043</v>
      </c>
      <c r="CO30" s="3">
        <v>9744.0499999999993</v>
      </c>
      <c r="CP30" s="3">
        <v>2.0710999999999999</v>
      </c>
      <c r="CQ30" s="21">
        <f ca="1">_xll.IMDP("BND",CH30,CQ8,CH3)</f>
        <v>20280828</v>
      </c>
      <c r="CR30" s="23">
        <f ca="1">_xll.IMDP("BND",CH30,CR8,CH3)</f>
        <v>4.95</v>
      </c>
      <c r="CS30" s="2">
        <v>46198</v>
      </c>
      <c r="CT30" s="3" t="s">
        <v>178</v>
      </c>
      <c r="CU30" s="3" t="s">
        <v>179</v>
      </c>
      <c r="CV30" s="3" t="s">
        <v>180</v>
      </c>
      <c r="CW30" s="3">
        <v>0</v>
      </c>
      <c r="CX30" s="3">
        <v>0.65</v>
      </c>
      <c r="CY30" s="3">
        <v>0</v>
      </c>
      <c r="CZ30" s="3">
        <v>934084</v>
      </c>
      <c r="DA30" s="3">
        <v>10002.33</v>
      </c>
      <c r="DB30" s="3">
        <v>1.9097</v>
      </c>
      <c r="DC30" s="21">
        <f ca="1">_xll.IMDP("BND",CT30,DC8,CT3)</f>
        <v>20280623</v>
      </c>
      <c r="DD30" s="23">
        <f ca="1">_xll.IMDP("BND",CT30,DD8,CT3)</f>
        <v>3.9790000000000001</v>
      </c>
      <c r="DE30" s="2"/>
      <c r="DO30" s="21" t="str">
        <f ca="1">_xll.IMDP("BND",DF30,DO8,DF3)</f>
        <v>입력오류</v>
      </c>
      <c r="DP30" s="23" t="str">
        <f ca="1">_xll.IMDP("BND",DF30,DP8,DF3)</f>
        <v>입력오류</v>
      </c>
      <c r="DQ30" s="2">
        <v>46198</v>
      </c>
      <c r="DR30" s="3" t="s">
        <v>1231</v>
      </c>
      <c r="DS30" s="3" t="s">
        <v>1232</v>
      </c>
      <c r="DT30" s="3" t="s">
        <v>1233</v>
      </c>
      <c r="DU30" s="3">
        <v>0</v>
      </c>
      <c r="DV30" s="3">
        <v>0.9</v>
      </c>
      <c r="DW30" s="3">
        <v>0</v>
      </c>
      <c r="DX30" s="3">
        <v>2077846</v>
      </c>
      <c r="DY30" s="3">
        <v>9974.98</v>
      </c>
      <c r="DZ30" s="3">
        <v>1.3535999999999999</v>
      </c>
      <c r="EA30" s="21">
        <f ca="1">_xll.IMDP("BND",DR30,EA8,DR3)</f>
        <v>20271119</v>
      </c>
      <c r="EB30" s="23">
        <f ca="1">_xll.IMDP("BND",DR30,EB8,DR3)</f>
        <v>4.2450000000000001</v>
      </c>
    </row>
    <row r="31" spans="1:132" ht="13.5" customHeight="1" x14ac:dyDescent="0.3">
      <c r="A31" s="2">
        <v>46198</v>
      </c>
      <c r="B31" s="3" t="s">
        <v>732</v>
      </c>
      <c r="C31" s="3" t="s">
        <v>29</v>
      </c>
      <c r="D31" s="3" t="s">
        <v>733</v>
      </c>
      <c r="E31" s="3">
        <v>0</v>
      </c>
      <c r="F31" s="3">
        <v>0.7</v>
      </c>
      <c r="G31" s="3">
        <v>0</v>
      </c>
      <c r="H31" s="3">
        <v>778336</v>
      </c>
      <c r="I31" s="3">
        <v>5848.96</v>
      </c>
      <c r="J31" s="3">
        <v>18.0258</v>
      </c>
      <c r="K31" s="21">
        <f ca="1">_xll.IMDP("BND",B31,K8,B3)</f>
        <v>20500310</v>
      </c>
      <c r="L31" s="23">
        <f ca="1">_xll.IMDP("BND",B31,L8,B3)</f>
        <v>4.3540000000000001</v>
      </c>
      <c r="M31" s="2">
        <v>46198</v>
      </c>
      <c r="N31" s="3" t="s">
        <v>97</v>
      </c>
      <c r="O31" s="3" t="s">
        <v>98</v>
      </c>
      <c r="P31" s="3" t="s">
        <v>99</v>
      </c>
      <c r="Q31" s="3">
        <v>0</v>
      </c>
      <c r="R31" s="3">
        <v>1.1299999999999999</v>
      </c>
      <c r="S31" s="3">
        <v>0</v>
      </c>
      <c r="T31" s="3">
        <v>1320534</v>
      </c>
      <c r="U31" s="3">
        <v>8472.0400000000009</v>
      </c>
      <c r="V31" s="3">
        <v>4.0502000000000002</v>
      </c>
      <c r="W31" s="21">
        <f ca="1">_xll.IMDP("BND",N31,W8,N3)</f>
        <v>20300910</v>
      </c>
      <c r="X31" s="23">
        <f ca="1">_xll.IMDP("BND",N31,X8,N3)</f>
        <v>4.0129999999999999</v>
      </c>
      <c r="Y31" s="2"/>
      <c r="AI31" s="21" t="str">
        <f ca="1">_xll.IMDP("BND",Z31,AI8,Z3)</f>
        <v>입력오류</v>
      </c>
      <c r="AJ31" s="23" t="str">
        <f ca="1">_xll.IMDP("BND",Z31,AJ8,Z3)</f>
        <v>입력오류</v>
      </c>
      <c r="AK31" s="2"/>
      <c r="AU31" s="21" t="str">
        <f ca="1">_xll.IMDP("BND",AL31,AU8,AL3)</f>
        <v>입력오류</v>
      </c>
      <c r="AV31" s="23" t="str">
        <f ca="1">_xll.IMDP("BND",AL31,AV8,AL3)</f>
        <v>입력오류</v>
      </c>
      <c r="AW31" s="2"/>
      <c r="BG31" s="21" t="str">
        <f ca="1">_xll.IMDP("BND",AX31,BG8,AX3)</f>
        <v>입력오류</v>
      </c>
      <c r="BH31" s="23" t="str">
        <f ca="1">_xll.IMDP("BND",AX31,BH8,AX3)</f>
        <v>입력오류</v>
      </c>
      <c r="BI31" s="2">
        <v>46198</v>
      </c>
      <c r="BJ31" s="3" t="s">
        <v>404</v>
      </c>
      <c r="BK31" s="3" t="s">
        <v>405</v>
      </c>
      <c r="BL31" s="3" t="s">
        <v>406</v>
      </c>
      <c r="BM31" s="3">
        <v>0</v>
      </c>
      <c r="BN31" s="3">
        <v>0.65</v>
      </c>
      <c r="BO31" s="3">
        <v>0</v>
      </c>
      <c r="BP31" s="3">
        <v>815344</v>
      </c>
      <c r="BQ31" s="3">
        <v>9880.17</v>
      </c>
      <c r="BR31" s="3">
        <v>1.3064</v>
      </c>
      <c r="BS31" s="21">
        <f ca="1">_xll.IMDP("BND",BJ31,BS8,BJ3)</f>
        <v>20271029</v>
      </c>
      <c r="BT31" s="23">
        <f ca="1">_xll.IMDP("BND",BJ31,BT8,BJ3)</f>
        <v>3.9769999999999999</v>
      </c>
      <c r="BU31" s="2">
        <v>46198</v>
      </c>
      <c r="BV31" s="3" t="s">
        <v>1003</v>
      </c>
      <c r="BW31" s="3" t="s">
        <v>1004</v>
      </c>
      <c r="BX31" s="3" t="s">
        <v>1005</v>
      </c>
      <c r="BY31" s="3">
        <v>0</v>
      </c>
      <c r="BZ31" s="3">
        <v>0.71</v>
      </c>
      <c r="CA31" s="3">
        <v>0</v>
      </c>
      <c r="CB31" s="3">
        <v>947563</v>
      </c>
      <c r="CC31" s="3">
        <v>10156.93</v>
      </c>
      <c r="CD31" s="3">
        <v>0.1285</v>
      </c>
      <c r="CE31" s="21">
        <f ca="1">_xll.IMDP("BND",BV31,CE8,BV3)</f>
        <v>20260811</v>
      </c>
      <c r="CF31" s="23">
        <f ca="1">_xll.IMDP("BND",BV31,CF8,BV3)</f>
        <v>2.8479999999999999</v>
      </c>
      <c r="CG31" s="2">
        <v>46198</v>
      </c>
      <c r="CH31" s="3" t="s">
        <v>651</v>
      </c>
      <c r="CI31" s="3" t="s">
        <v>652</v>
      </c>
      <c r="CJ31" s="3" t="s">
        <v>653</v>
      </c>
      <c r="CK31" s="3">
        <v>0</v>
      </c>
      <c r="CL31" s="3">
        <v>2.4</v>
      </c>
      <c r="CM31" s="3">
        <v>0</v>
      </c>
      <c r="CN31" s="3">
        <v>2453887</v>
      </c>
      <c r="CO31" s="3">
        <v>9739.7800000000007</v>
      </c>
      <c r="CP31" s="3">
        <v>1.8838999999999999</v>
      </c>
      <c r="CQ31" s="21">
        <f ca="1">_xll.IMDP("BND",CH31,CQ8,CH3)</f>
        <v>20280609</v>
      </c>
      <c r="CR31" s="23">
        <f ca="1">_xll.IMDP("BND",CH31,CR8,CH3)</f>
        <v>4.5129999999999999</v>
      </c>
      <c r="CS31" s="2">
        <v>46198</v>
      </c>
      <c r="CT31" s="3" t="s">
        <v>181</v>
      </c>
      <c r="CU31" s="3" t="s">
        <v>182</v>
      </c>
      <c r="CV31" s="3" t="s">
        <v>183</v>
      </c>
      <c r="CW31" s="3">
        <v>0</v>
      </c>
      <c r="CX31" s="3">
        <v>0.65</v>
      </c>
      <c r="CY31" s="3">
        <v>0</v>
      </c>
      <c r="CZ31" s="3">
        <v>933889</v>
      </c>
      <c r="DA31" s="3">
        <v>9999.91</v>
      </c>
      <c r="DB31" s="3">
        <v>0.6401</v>
      </c>
      <c r="DC31" s="21">
        <f ca="1">_xll.IMDP("BND",CT31,DC8,CT3)</f>
        <v>20270219</v>
      </c>
      <c r="DD31" s="23">
        <f ca="1">_xll.IMDP("BND",CT31,DD8,CT3)</f>
        <v>3.6850000000000001</v>
      </c>
      <c r="DE31" s="2"/>
      <c r="DO31" s="21" t="str">
        <f ca="1">_xll.IMDP("BND",DF31,DO8,DF3)</f>
        <v>입력오류</v>
      </c>
      <c r="DP31" s="23" t="str">
        <f ca="1">_xll.IMDP("BND",DF31,DP8,DF3)</f>
        <v>입력오류</v>
      </c>
      <c r="DQ31" s="2">
        <v>46198</v>
      </c>
      <c r="DR31" s="3" t="s">
        <v>1234</v>
      </c>
      <c r="DS31" s="3" t="s">
        <v>1235</v>
      </c>
      <c r="DT31" s="3" t="s">
        <v>1236</v>
      </c>
      <c r="DU31" s="3">
        <v>0</v>
      </c>
      <c r="DV31" s="3">
        <v>0.9</v>
      </c>
      <c r="DW31" s="3">
        <v>0</v>
      </c>
      <c r="DX31" s="3">
        <v>2075846</v>
      </c>
      <c r="EA31" s="21" t="str">
        <f ca="1">_xll.IMDP("BND",DR31,EA8,DR3)</f>
        <v/>
      </c>
      <c r="EB31" s="23" t="str">
        <f ca="1">_xll.IMDP("BND",DR31,EB8,DR3)</f>
        <v/>
      </c>
    </row>
    <row r="32" spans="1:132" ht="13.5" customHeight="1" x14ac:dyDescent="0.3">
      <c r="A32" s="2">
        <v>46198</v>
      </c>
      <c r="B32" s="3" t="s">
        <v>762</v>
      </c>
      <c r="C32" s="3" t="s">
        <v>763</v>
      </c>
      <c r="D32" s="3" t="s">
        <v>764</v>
      </c>
      <c r="E32" s="3">
        <v>0</v>
      </c>
      <c r="F32" s="3">
        <v>0.7</v>
      </c>
      <c r="G32" s="3">
        <v>0</v>
      </c>
      <c r="H32" s="3">
        <v>777984</v>
      </c>
      <c r="I32" s="3">
        <v>9765.6299999999992</v>
      </c>
      <c r="J32" s="3">
        <v>3.13</v>
      </c>
      <c r="K32" s="21">
        <f ca="1">_xll.IMDP("BND",B32,K8,B3)</f>
        <v>20291028</v>
      </c>
      <c r="L32" s="23">
        <f ca="1">_xll.IMDP("BND",B32,L8,B3)</f>
        <v>4.16</v>
      </c>
      <c r="M32" s="2">
        <v>46198</v>
      </c>
      <c r="N32" s="3" t="s">
        <v>100</v>
      </c>
      <c r="O32" s="3" t="s">
        <v>101</v>
      </c>
      <c r="P32" s="3" t="s">
        <v>102</v>
      </c>
      <c r="Q32" s="3">
        <v>0</v>
      </c>
      <c r="R32" s="3">
        <v>1.1200000000000001</v>
      </c>
      <c r="S32" s="3">
        <v>0</v>
      </c>
      <c r="T32" s="3">
        <v>1304845</v>
      </c>
      <c r="U32" s="3">
        <v>8371.41</v>
      </c>
      <c r="V32" s="3">
        <v>4.2878999999999996</v>
      </c>
      <c r="W32" s="21">
        <f ca="1">_xll.IMDP("BND",N32,W8,N3)</f>
        <v>20301210</v>
      </c>
      <c r="X32" s="23">
        <f ca="1">_xll.IMDP("BND",N32,X8,N3)</f>
        <v>4.0609999999999999</v>
      </c>
      <c r="Y32" s="2"/>
      <c r="AI32" s="21" t="str">
        <f ca="1">_xll.IMDP("BND",Z32,AI8,Z3)</f>
        <v>입력오류</v>
      </c>
      <c r="AJ32" s="23" t="str">
        <f ca="1">_xll.IMDP("BND",Z32,AJ8,Z3)</f>
        <v>입력오류</v>
      </c>
      <c r="AK32" s="2"/>
      <c r="AU32" s="21" t="str">
        <f ca="1">_xll.IMDP("BND",AL32,AU8,AL3)</f>
        <v>입력오류</v>
      </c>
      <c r="AV32" s="23" t="str">
        <f ca="1">_xll.IMDP("BND",AL32,AV8,AL3)</f>
        <v>입력오류</v>
      </c>
      <c r="AW32" s="2"/>
      <c r="BG32" s="21" t="str">
        <f ca="1">_xll.IMDP("BND",AX32,BG8,AX3)</f>
        <v>입력오류</v>
      </c>
      <c r="BH32" s="23" t="str">
        <f ca="1">_xll.IMDP("BND",AX32,BH8,AX3)</f>
        <v>입력오류</v>
      </c>
      <c r="BI32" s="2">
        <v>46198</v>
      </c>
      <c r="BJ32" s="3" t="s">
        <v>407</v>
      </c>
      <c r="BK32" s="3" t="s">
        <v>408</v>
      </c>
      <c r="BL32" s="3" t="s">
        <v>409</v>
      </c>
      <c r="BM32" s="3">
        <v>0</v>
      </c>
      <c r="BN32" s="3">
        <v>0.63</v>
      </c>
      <c r="BO32" s="3">
        <v>0</v>
      </c>
      <c r="BP32" s="3">
        <v>787131</v>
      </c>
      <c r="BQ32" s="3">
        <v>10262.24</v>
      </c>
      <c r="BR32" s="3">
        <v>3.8593999999999999</v>
      </c>
      <c r="BS32" s="21">
        <f ca="1">_xll.IMDP("BND",BJ32,BS8,BJ3)</f>
        <v>20301018</v>
      </c>
      <c r="BT32" s="23">
        <f ca="1">_xll.IMDP("BND",BJ32,BT8,BJ3)</f>
        <v>4.2750000000000004</v>
      </c>
      <c r="BU32" s="2">
        <v>46198</v>
      </c>
      <c r="BV32" s="3" t="s">
        <v>1006</v>
      </c>
      <c r="BW32" s="3" t="s">
        <v>1007</v>
      </c>
      <c r="BX32" s="3" t="s">
        <v>1008</v>
      </c>
      <c r="BY32" s="3">
        <v>0</v>
      </c>
      <c r="BZ32" s="3">
        <v>0.71</v>
      </c>
      <c r="CA32" s="3">
        <v>0</v>
      </c>
      <c r="CB32" s="3">
        <v>947055</v>
      </c>
      <c r="CC32" s="3">
        <v>10151.26</v>
      </c>
      <c r="CD32" s="3">
        <v>0.27339999999999998</v>
      </c>
      <c r="CE32" s="21">
        <f ca="1">_xll.IMDP("BND",BV32,CE8,BV3)</f>
        <v>20261005</v>
      </c>
      <c r="CF32" s="23">
        <f ca="1">_xll.IMDP("BND",BV32,CF8,BV3)</f>
        <v>3.6419999999999999</v>
      </c>
      <c r="CG32" s="2">
        <v>46198</v>
      </c>
      <c r="CH32" s="3" t="s">
        <v>654</v>
      </c>
      <c r="CI32" s="3" t="s">
        <v>655</v>
      </c>
      <c r="CJ32" s="3" t="s">
        <v>656</v>
      </c>
      <c r="CK32" s="3">
        <v>0</v>
      </c>
      <c r="CL32" s="3">
        <v>2.4</v>
      </c>
      <c r="CM32" s="3">
        <v>0</v>
      </c>
      <c r="CN32" s="3">
        <v>2452141</v>
      </c>
      <c r="CO32" s="3">
        <v>9733.51</v>
      </c>
      <c r="CP32" s="3">
        <v>2.0323000000000002</v>
      </c>
      <c r="CQ32" s="21">
        <f ca="1">_xll.IMDP("BND",CH32,CQ8,CH3)</f>
        <v>20280811</v>
      </c>
      <c r="CR32" s="23">
        <f ca="1">_xll.IMDP("BND",CH32,CR8,CH3)</f>
        <v>4.7939999999999996</v>
      </c>
      <c r="CS32" s="2">
        <v>46198</v>
      </c>
      <c r="CT32" s="3" t="s">
        <v>184</v>
      </c>
      <c r="CU32" s="3" t="s">
        <v>185</v>
      </c>
      <c r="CV32" s="3" t="s">
        <v>186</v>
      </c>
      <c r="CW32" s="3">
        <v>0</v>
      </c>
      <c r="CX32" s="3">
        <v>0.65</v>
      </c>
      <c r="CY32" s="3">
        <v>0</v>
      </c>
      <c r="CZ32" s="3">
        <v>933640</v>
      </c>
      <c r="DA32" s="3">
        <v>9996.3700000000008</v>
      </c>
      <c r="DB32" s="3">
        <v>1.3726</v>
      </c>
      <c r="DC32" s="21">
        <f ca="1">_xll.IMDP("BND",CT32,DC8,CT3)</f>
        <v>20271126</v>
      </c>
      <c r="DD32" s="23">
        <f ca="1">_xll.IMDP("BND",CT32,DD8,CT3)</f>
        <v>4.0880000000000001</v>
      </c>
      <c r="DE32" s="2"/>
      <c r="DO32" s="21" t="str">
        <f ca="1">_xll.IMDP("BND",DF32,DO8,DF3)</f>
        <v>입력오류</v>
      </c>
      <c r="DP32" s="23" t="str">
        <f ca="1">_xll.IMDP("BND",DF32,DP8,DF3)</f>
        <v>입력오류</v>
      </c>
      <c r="DQ32" s="2">
        <v>46198</v>
      </c>
      <c r="DR32" s="3" t="s">
        <v>1237</v>
      </c>
      <c r="DS32" s="3" t="s">
        <v>1238</v>
      </c>
      <c r="DT32" s="3" t="s">
        <v>1239</v>
      </c>
      <c r="DU32" s="3">
        <v>0</v>
      </c>
      <c r="DV32" s="3">
        <v>0.9</v>
      </c>
      <c r="DW32" s="3">
        <v>0</v>
      </c>
      <c r="DX32" s="3">
        <v>2071999</v>
      </c>
      <c r="DY32" s="3">
        <v>9948.15</v>
      </c>
      <c r="DZ32" s="3">
        <v>0.85270000000000001</v>
      </c>
      <c r="EA32" s="21">
        <f ca="1">_xll.IMDP("BND",DR32,EA8,DR3)</f>
        <v>20270510</v>
      </c>
      <c r="EB32" s="23">
        <f ca="1">_xll.IMDP("BND",DR32,EB8,DR3)</f>
        <v>3.855</v>
      </c>
    </row>
    <row r="33" spans="1:132" ht="13.5" customHeight="1" x14ac:dyDescent="0.3">
      <c r="A33" s="2">
        <v>46198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0.64</v>
      </c>
      <c r="G33" s="3">
        <v>0</v>
      </c>
      <c r="H33" s="3">
        <v>706965</v>
      </c>
      <c r="I33" s="3">
        <v>9646.5</v>
      </c>
      <c r="J33" s="3">
        <v>5.3224999999999998</v>
      </c>
      <c r="K33" s="21">
        <f ca="1">_xll.IMDP("BND",B33,K8,B3)</f>
        <v>20320610</v>
      </c>
      <c r="L33" s="23">
        <f ca="1">_xll.IMDP("BND",B33,L8,B3)</f>
        <v>4.0750000000000002</v>
      </c>
      <c r="M33" s="2">
        <v>46198</v>
      </c>
      <c r="N33" s="3" t="s">
        <v>103</v>
      </c>
      <c r="O33" s="3" t="s">
        <v>63</v>
      </c>
      <c r="P33" s="3" t="s">
        <v>104</v>
      </c>
      <c r="Q33" s="3">
        <v>0</v>
      </c>
      <c r="R33" s="3">
        <v>1.02</v>
      </c>
      <c r="S33" s="3">
        <v>0</v>
      </c>
      <c r="T33" s="3">
        <v>1195006</v>
      </c>
      <c r="U33" s="3">
        <v>9584.92</v>
      </c>
      <c r="V33" s="3">
        <v>12.1684</v>
      </c>
      <c r="W33" s="21">
        <f ca="1">_xll.IMDP("BND",N33,W8,N3)</f>
        <v>20430910</v>
      </c>
      <c r="X33" s="23">
        <f ca="1">_xll.IMDP("BND",N33,X8,N3)</f>
        <v>4.3109999999999999</v>
      </c>
      <c r="Y33" s="2"/>
      <c r="AI33" s="21" t="str">
        <f ca="1">_xll.IMDP("BND",Z33,AI8,Z3)</f>
        <v>입력오류</v>
      </c>
      <c r="AJ33" s="23" t="str">
        <f ca="1">_xll.IMDP("BND",Z33,AJ8,Z3)</f>
        <v>입력오류</v>
      </c>
      <c r="AK33" s="2"/>
      <c r="AU33" s="21" t="str">
        <f ca="1">_xll.IMDP("BND",AL33,AU8,AL3)</f>
        <v>입력오류</v>
      </c>
      <c r="AV33" s="23" t="str">
        <f ca="1">_xll.IMDP("BND",AL33,AV8,AL3)</f>
        <v>입력오류</v>
      </c>
      <c r="AW33" s="2"/>
      <c r="BG33" s="21" t="str">
        <f ca="1">_xll.IMDP("BND",AX33,BG8,AX3)</f>
        <v>입력오류</v>
      </c>
      <c r="BH33" s="23" t="str">
        <f ca="1">_xll.IMDP("BND",AX33,BH8,AX3)</f>
        <v>입력오류</v>
      </c>
      <c r="BI33" s="2">
        <v>46198</v>
      </c>
      <c r="BJ33" s="3" t="s">
        <v>410</v>
      </c>
      <c r="BK33" s="3" t="s">
        <v>411</v>
      </c>
      <c r="BL33" s="3" t="s">
        <v>412</v>
      </c>
      <c r="BM33" s="3">
        <v>0</v>
      </c>
      <c r="BN33" s="3">
        <v>0.62</v>
      </c>
      <c r="BO33" s="3">
        <v>0</v>
      </c>
      <c r="BP33" s="3">
        <v>773857</v>
      </c>
      <c r="BQ33" s="3">
        <v>10091.57</v>
      </c>
      <c r="BR33" s="3">
        <v>0.80359999999999998</v>
      </c>
      <c r="BS33" s="21">
        <f ca="1">_xll.IMDP("BND",BJ33,BS8,BJ3)</f>
        <v>20270423</v>
      </c>
      <c r="BT33" s="23">
        <f ca="1">_xll.IMDP("BND",BJ33,BT8,BJ3)</f>
        <v>3.7170000000000001</v>
      </c>
      <c r="BU33" s="2">
        <v>46198</v>
      </c>
      <c r="BV33" s="3" t="s">
        <v>1009</v>
      </c>
      <c r="BW33" s="3" t="s">
        <v>1010</v>
      </c>
      <c r="BX33" s="3" t="s">
        <v>1011</v>
      </c>
      <c r="BY33" s="3">
        <v>0</v>
      </c>
      <c r="BZ33" s="3">
        <v>0.71</v>
      </c>
      <c r="CA33" s="3">
        <v>0</v>
      </c>
      <c r="CB33" s="3">
        <v>946806</v>
      </c>
      <c r="CC33" s="3">
        <v>10148.82</v>
      </c>
      <c r="CD33" s="3">
        <v>0.32400000000000001</v>
      </c>
      <c r="CE33" s="21">
        <f ca="1">_xll.IMDP("BND",BV33,CE8,BV3)</f>
        <v>20261023</v>
      </c>
      <c r="CF33" s="23">
        <f ca="1">_xll.IMDP("BND",BV33,CF8,BV3)</f>
        <v>3.266</v>
      </c>
      <c r="CG33" s="2">
        <v>46198</v>
      </c>
      <c r="CH33" s="3" t="s">
        <v>657</v>
      </c>
      <c r="CI33" s="3" t="s">
        <v>658</v>
      </c>
      <c r="CJ33" s="3" t="s">
        <v>659</v>
      </c>
      <c r="CK33" s="3">
        <v>0</v>
      </c>
      <c r="CL33" s="3">
        <v>2.4</v>
      </c>
      <c r="CM33" s="3">
        <v>0</v>
      </c>
      <c r="CN33" s="3">
        <v>2450755</v>
      </c>
      <c r="CO33" s="3">
        <v>9727.9599999999991</v>
      </c>
      <c r="CP33" s="3">
        <v>2.2328999999999999</v>
      </c>
      <c r="CQ33" s="21">
        <f ca="1">_xll.IMDP("BND",CH33,CQ8,CH3)</f>
        <v>20281027</v>
      </c>
      <c r="CR33" s="23">
        <f ca="1">_xll.IMDP("BND",CH33,CR8,CH3)</f>
        <v>4.407</v>
      </c>
      <c r="CS33" s="2">
        <v>46198</v>
      </c>
      <c r="CT33" s="3" t="s">
        <v>187</v>
      </c>
      <c r="CU33" s="3" t="s">
        <v>188</v>
      </c>
      <c r="CV33" s="3" t="s">
        <v>189</v>
      </c>
      <c r="CW33" s="3">
        <v>0</v>
      </c>
      <c r="CX33" s="3">
        <v>0.65</v>
      </c>
      <c r="CY33" s="3">
        <v>0</v>
      </c>
      <c r="CZ33" s="3">
        <v>933625</v>
      </c>
      <c r="DA33" s="3">
        <v>9996.9599999999991</v>
      </c>
      <c r="DB33" s="3">
        <v>2.6456</v>
      </c>
      <c r="DC33" s="21">
        <f ca="1">_xll.IMDP("BND",CT33,DC8,CT3)</f>
        <v>20290427</v>
      </c>
      <c r="DD33" s="23">
        <f ca="1">_xll.IMDP("BND",CT33,DD8,CT3)</f>
        <v>4.3849999999999998</v>
      </c>
      <c r="DE33" s="2"/>
      <c r="DO33" s="21" t="str">
        <f ca="1">_xll.IMDP("BND",DF33,DO8,DF3)</f>
        <v>입력오류</v>
      </c>
      <c r="DP33" s="23" t="str">
        <f ca="1">_xll.IMDP("BND",DF33,DP8,DF3)</f>
        <v>입력오류</v>
      </c>
      <c r="DQ33" s="2">
        <v>46198</v>
      </c>
      <c r="DR33" s="3" t="s">
        <v>1240</v>
      </c>
      <c r="DS33" s="3" t="s">
        <v>1241</v>
      </c>
      <c r="DT33" s="3" t="s">
        <v>1242</v>
      </c>
      <c r="DU33" s="3">
        <v>0</v>
      </c>
      <c r="DV33" s="3">
        <v>0.9</v>
      </c>
      <c r="DW33" s="3">
        <v>0</v>
      </c>
      <c r="DX33" s="3">
        <v>2066746</v>
      </c>
      <c r="DY33" s="3">
        <v>9922.36</v>
      </c>
      <c r="DZ33" s="3">
        <v>1.2887999999999999</v>
      </c>
      <c r="EA33" s="21">
        <f ca="1">_xll.IMDP("BND",DR33,EA8,DR3)</f>
        <v>20271025</v>
      </c>
      <c r="EB33" s="23">
        <f ca="1">_xll.IMDP("BND",DR33,EB8,DR3)</f>
        <v>4.5730000000000004</v>
      </c>
    </row>
    <row r="34" spans="1:132" ht="13.5" customHeight="1" x14ac:dyDescent="0.3">
      <c r="A34" s="2">
        <v>46198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674924</v>
      </c>
      <c r="I34" s="3">
        <v>8472.0400000000009</v>
      </c>
      <c r="J34" s="3">
        <v>4.0502000000000002</v>
      </c>
      <c r="K34" s="21">
        <f ca="1">_xll.IMDP("BND",B34,K8,B3)</f>
        <v>20300910</v>
      </c>
      <c r="L34" s="23">
        <f ca="1">_xll.IMDP("BND",B34,L8,B3)</f>
        <v>4.0129999999999999</v>
      </c>
      <c r="M34" s="2">
        <v>46198</v>
      </c>
      <c r="N34" s="3" t="s">
        <v>105</v>
      </c>
      <c r="O34" s="3" t="s">
        <v>63</v>
      </c>
      <c r="P34" s="3" t="s">
        <v>106</v>
      </c>
      <c r="Q34" s="3">
        <v>0</v>
      </c>
      <c r="R34" s="3">
        <v>0.86</v>
      </c>
      <c r="S34" s="3">
        <v>0</v>
      </c>
      <c r="T34" s="3">
        <v>1004880</v>
      </c>
      <c r="U34" s="3">
        <v>8059.33</v>
      </c>
      <c r="V34" s="3">
        <v>14.0078</v>
      </c>
      <c r="W34" s="21">
        <f ca="1">_xll.IMDP("BND",N34,W8,N3)</f>
        <v>20450910</v>
      </c>
      <c r="X34" s="23">
        <f ca="1">_xll.IMDP("BND",N34,X8,N3)</f>
        <v>4.306</v>
      </c>
      <c r="Y34" s="2"/>
      <c r="AI34" s="21" t="str">
        <f ca="1">_xll.IMDP("BND",Z34,AI8,Z3)</f>
        <v>입력오류</v>
      </c>
      <c r="AJ34" s="23" t="str">
        <f ca="1">_xll.IMDP("BND",Z34,AJ8,Z3)</f>
        <v>입력오류</v>
      </c>
      <c r="AK34" s="2"/>
      <c r="AU34" s="21" t="str">
        <f ca="1">_xll.IMDP("BND",AL34,AU8,AL3)</f>
        <v>입력오류</v>
      </c>
      <c r="AV34" s="23" t="str">
        <f ca="1">_xll.IMDP("BND",AL34,AV8,AL3)</f>
        <v>입력오류</v>
      </c>
      <c r="AW34" s="2"/>
      <c r="BG34" s="21" t="str">
        <f ca="1">_xll.IMDP("BND",AX34,BG8,AX3)</f>
        <v>입력오류</v>
      </c>
      <c r="BH34" s="23" t="str">
        <f ca="1">_xll.IMDP("BND",AX34,BH8,AX3)</f>
        <v>입력오류</v>
      </c>
      <c r="BI34" s="2">
        <v>46198</v>
      </c>
      <c r="BJ34" s="3" t="s">
        <v>413</v>
      </c>
      <c r="BK34" s="3" t="s">
        <v>414</v>
      </c>
      <c r="BL34" s="3" t="s">
        <v>415</v>
      </c>
      <c r="BM34" s="3">
        <v>0</v>
      </c>
      <c r="BN34" s="3">
        <v>0.62</v>
      </c>
      <c r="BO34" s="3">
        <v>0</v>
      </c>
      <c r="BP34" s="3">
        <v>773518</v>
      </c>
      <c r="BQ34" s="3">
        <v>10087.06</v>
      </c>
      <c r="BR34" s="3">
        <v>0.60640000000000005</v>
      </c>
      <c r="BS34" s="21">
        <f ca="1">_xll.IMDP("BND",BJ34,BS8,BJ3)</f>
        <v>20270207</v>
      </c>
      <c r="BT34" s="23">
        <f ca="1">_xll.IMDP("BND",BJ34,BT8,BJ3)</f>
        <v>3.5569999999999999</v>
      </c>
      <c r="BU34" s="2">
        <v>46198</v>
      </c>
      <c r="BV34" s="3" t="s">
        <v>1012</v>
      </c>
      <c r="BW34" s="3" t="s">
        <v>613</v>
      </c>
      <c r="BX34" s="3" t="s">
        <v>1013</v>
      </c>
      <c r="BY34" s="3">
        <v>0</v>
      </c>
      <c r="BZ34" s="3">
        <v>0.71</v>
      </c>
      <c r="CA34" s="3">
        <v>0</v>
      </c>
      <c r="CB34" s="3">
        <v>943324</v>
      </c>
      <c r="CC34" s="3">
        <v>10111.469999999999</v>
      </c>
      <c r="CD34" s="3">
        <v>3.3500000000000002E-2</v>
      </c>
      <c r="CE34" s="21">
        <f ca="1">_xll.IMDP("BND",BV34,CE8,BV3)</f>
        <v>20260707</v>
      </c>
      <c r="CF34" s="23">
        <f ca="1">_xll.IMDP("BND",BV34,CF8,BV3)</f>
        <v>4.0410000000000004</v>
      </c>
      <c r="CG34" s="2">
        <v>46198</v>
      </c>
      <c r="CH34" s="3" t="s">
        <v>663</v>
      </c>
      <c r="CI34" s="3" t="s">
        <v>313</v>
      </c>
      <c r="CJ34" s="3" t="s">
        <v>664</v>
      </c>
      <c r="CK34" s="3">
        <v>0</v>
      </c>
      <c r="CL34" s="3">
        <v>2.4</v>
      </c>
      <c r="CM34" s="3">
        <v>0</v>
      </c>
      <c r="CN34" s="3">
        <v>2449954</v>
      </c>
      <c r="CO34" s="3">
        <v>9722.92</v>
      </c>
      <c r="CP34" s="3">
        <v>1.9134</v>
      </c>
      <c r="CQ34" s="21">
        <f ca="1">_xll.IMDP("BND",CH34,CQ8,CH3)</f>
        <v>20280619</v>
      </c>
      <c r="CR34" s="23">
        <f ca="1">_xll.IMDP("BND",CH34,CR8,CH3)</f>
        <v>4.4119999999999999</v>
      </c>
      <c r="CS34" s="2">
        <v>46198</v>
      </c>
      <c r="CT34" s="3" t="s">
        <v>190</v>
      </c>
      <c r="CU34" s="3" t="s">
        <v>191</v>
      </c>
      <c r="CV34" s="3" t="s">
        <v>192</v>
      </c>
      <c r="CW34" s="3">
        <v>0</v>
      </c>
      <c r="CX34" s="3">
        <v>0.65</v>
      </c>
      <c r="CY34" s="3">
        <v>0</v>
      </c>
      <c r="CZ34" s="3">
        <v>932568</v>
      </c>
      <c r="DA34" s="3">
        <v>9984.7099999999991</v>
      </c>
      <c r="DB34" s="3">
        <v>1.8189</v>
      </c>
      <c r="DC34" s="21">
        <f ca="1">_xll.IMDP("BND",CT34,DC8,CT3)</f>
        <v>20280524</v>
      </c>
      <c r="DD34" s="23">
        <f ca="1">_xll.IMDP("BND",CT34,DD8,CT3)</f>
        <v>4.4550000000000001</v>
      </c>
      <c r="DE34" s="2"/>
      <c r="DO34" s="21" t="str">
        <f ca="1">_xll.IMDP("BND",DF34,DO8,DF3)</f>
        <v>입력오류</v>
      </c>
      <c r="DP34" s="23" t="str">
        <f ca="1">_xll.IMDP("BND",DF34,DP8,DF3)</f>
        <v>입력오류</v>
      </c>
      <c r="DQ34" s="2">
        <v>46198</v>
      </c>
      <c r="DR34" s="3" t="s">
        <v>1243</v>
      </c>
      <c r="DS34" s="3" t="s">
        <v>776</v>
      </c>
      <c r="DT34" s="3" t="s">
        <v>1244</v>
      </c>
      <c r="DU34" s="3">
        <v>0</v>
      </c>
      <c r="DV34" s="3">
        <v>0.9</v>
      </c>
      <c r="DW34" s="3">
        <v>0</v>
      </c>
      <c r="DX34" s="3">
        <v>2066563</v>
      </c>
      <c r="DY34" s="3">
        <v>9920.58</v>
      </c>
      <c r="DZ34" s="3">
        <v>1.0492999999999999</v>
      </c>
      <c r="EA34" s="21">
        <f ca="1">_xll.IMDP("BND",DR34,EA8,DR3)</f>
        <v>20270722</v>
      </c>
      <c r="EB34" s="23">
        <f ca="1">_xll.IMDP("BND",DR34,EB8,DR3)</f>
        <v>3.7360000000000002</v>
      </c>
    </row>
    <row r="35" spans="1:132" ht="13.5" customHeight="1" x14ac:dyDescent="0.3">
      <c r="A35" s="2">
        <v>46198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670479</v>
      </c>
      <c r="I35" s="3">
        <v>9185.3799999999992</v>
      </c>
      <c r="J35" s="3">
        <v>5.0297999999999998</v>
      </c>
      <c r="K35" s="21">
        <f ca="1">_xll.IMDP("BND",B35,K8,B3)</f>
        <v>20311210</v>
      </c>
      <c r="L35" s="23">
        <f ca="1">_xll.IMDP("BND",B35,L8,B3)</f>
        <v>4.0739999999999998</v>
      </c>
      <c r="M35" s="2">
        <v>46198</v>
      </c>
      <c r="N35" s="3" t="s">
        <v>107</v>
      </c>
      <c r="O35" s="3" t="s">
        <v>108</v>
      </c>
      <c r="P35" s="3" t="s">
        <v>109</v>
      </c>
      <c r="Q35" s="3">
        <v>0</v>
      </c>
      <c r="R35" s="3">
        <v>0.81</v>
      </c>
      <c r="S35" s="3">
        <v>0</v>
      </c>
      <c r="T35" s="3">
        <v>945218</v>
      </c>
      <c r="U35" s="3">
        <v>9188.09</v>
      </c>
      <c r="V35" s="3">
        <v>3.5809000000000002</v>
      </c>
      <c r="W35" s="21">
        <f ca="1">_xll.IMDP("BND",N35,W8,N3)</f>
        <v>20300407</v>
      </c>
      <c r="X35" s="23">
        <f ca="1">_xll.IMDP("BND",N35,X8,N3)</f>
        <v>4.2389999999999999</v>
      </c>
      <c r="Y35" s="2"/>
      <c r="AI35" s="21" t="str">
        <f ca="1">_xll.IMDP("BND",Z35,AI8,Z3)</f>
        <v>입력오류</v>
      </c>
      <c r="AJ35" s="23" t="str">
        <f ca="1">_xll.IMDP("BND",Z35,AJ8,Z3)</f>
        <v>입력오류</v>
      </c>
      <c r="AK35" s="2"/>
      <c r="AU35" s="21" t="str">
        <f ca="1">_xll.IMDP("BND",AL35,AU8,AL3)</f>
        <v>입력오류</v>
      </c>
      <c r="AV35" s="23" t="str">
        <f ca="1">_xll.IMDP("BND",AL35,AV8,AL3)</f>
        <v>입력오류</v>
      </c>
      <c r="AW35" s="2"/>
      <c r="BG35" s="21" t="str">
        <f ca="1">_xll.IMDP("BND",AX35,BG8,AX3)</f>
        <v>입력오류</v>
      </c>
      <c r="BH35" s="23" t="str">
        <f ca="1">_xll.IMDP("BND",AX35,BH8,AX3)</f>
        <v>입력오류</v>
      </c>
      <c r="BI35" s="2">
        <v>46198</v>
      </c>
      <c r="BJ35" s="3" t="s">
        <v>416</v>
      </c>
      <c r="BK35" s="3" t="s">
        <v>417</v>
      </c>
      <c r="BL35" s="3" t="s">
        <v>418</v>
      </c>
      <c r="BM35" s="3">
        <v>0</v>
      </c>
      <c r="BN35" s="3">
        <v>0.62</v>
      </c>
      <c r="BO35" s="3">
        <v>0</v>
      </c>
      <c r="BP35" s="3">
        <v>771824</v>
      </c>
      <c r="BQ35" s="3">
        <v>9961.1200000000008</v>
      </c>
      <c r="BR35" s="3">
        <v>2.4823</v>
      </c>
      <c r="BS35" s="21">
        <f ca="1">_xll.IMDP("BND",BJ35,BS8,BJ3)</f>
        <v>20290223</v>
      </c>
      <c r="BT35" s="23">
        <f ca="1">_xll.IMDP("BND",BJ35,BT8,BJ3)</f>
        <v>4.3650000000000002</v>
      </c>
      <c r="BU35" s="2">
        <v>46198</v>
      </c>
      <c r="BV35" s="3" t="s">
        <v>1014</v>
      </c>
      <c r="BW35" s="3" t="s">
        <v>1015</v>
      </c>
      <c r="BX35" s="3" t="s">
        <v>1016</v>
      </c>
      <c r="BY35" s="3">
        <v>0</v>
      </c>
      <c r="BZ35" s="3">
        <v>0.71</v>
      </c>
      <c r="CA35" s="3">
        <v>0</v>
      </c>
      <c r="CB35" s="3">
        <v>943215</v>
      </c>
      <c r="CC35" s="3">
        <v>10110.19</v>
      </c>
      <c r="CD35" s="3">
        <v>0.33379999999999999</v>
      </c>
      <c r="CE35" s="21">
        <f ca="1">_xll.IMDP("BND",BV35,CE8,BV3)</f>
        <v>20261028</v>
      </c>
      <c r="CF35" s="23">
        <f ca="1">_xll.IMDP("BND",BV35,CF8,BV3)</f>
        <v>4.3010000000000002</v>
      </c>
      <c r="CG35" s="2">
        <v>46198</v>
      </c>
      <c r="CH35" s="3" t="s">
        <v>660</v>
      </c>
      <c r="CI35" s="3" t="s">
        <v>661</v>
      </c>
      <c r="CJ35" s="3" t="s">
        <v>662</v>
      </c>
      <c r="CK35" s="3">
        <v>0</v>
      </c>
      <c r="CL35" s="3">
        <v>2.4</v>
      </c>
      <c r="CM35" s="3">
        <v>0</v>
      </c>
      <c r="CN35" s="3">
        <v>2449712</v>
      </c>
      <c r="CO35" s="3">
        <v>9721.42</v>
      </c>
      <c r="CP35" s="3">
        <v>1.9103000000000001</v>
      </c>
      <c r="CQ35" s="21">
        <f ca="1">_xll.IMDP("BND",CH35,CQ8,CH3)</f>
        <v>20280616</v>
      </c>
      <c r="CR35" s="23">
        <f ca="1">_xll.IMDP("BND",CH35,CR8,CH3)</f>
        <v>4.26</v>
      </c>
      <c r="CS35" s="2">
        <v>46198</v>
      </c>
      <c r="CT35" s="3" t="s">
        <v>193</v>
      </c>
      <c r="CU35" s="3" t="s">
        <v>194</v>
      </c>
      <c r="CV35" s="3" t="s">
        <v>195</v>
      </c>
      <c r="CW35" s="3">
        <v>0</v>
      </c>
      <c r="CX35" s="3">
        <v>0.64</v>
      </c>
      <c r="CY35" s="3">
        <v>0</v>
      </c>
      <c r="CZ35" s="3">
        <v>923989</v>
      </c>
      <c r="DA35" s="3">
        <v>9893.77</v>
      </c>
      <c r="DB35" s="3">
        <v>0.97640000000000005</v>
      </c>
      <c r="DC35" s="21">
        <f ca="1">_xll.IMDP("BND",CT35,DC8,CT3)</f>
        <v>20270623</v>
      </c>
      <c r="DD35" s="23">
        <f ca="1">_xll.IMDP("BND",CT35,DD8,CT3)</f>
        <v>3.7480000000000002</v>
      </c>
      <c r="DE35" s="2"/>
      <c r="DO35" s="21" t="str">
        <f ca="1">_xll.IMDP("BND",DF35,DO8,DF3)</f>
        <v>입력오류</v>
      </c>
      <c r="DP35" s="23" t="str">
        <f ca="1">_xll.IMDP("BND",DF35,DP8,DF3)</f>
        <v>입력오류</v>
      </c>
      <c r="DQ35" s="2">
        <v>46198</v>
      </c>
      <c r="DR35" s="3" t="s">
        <v>1245</v>
      </c>
      <c r="DS35" s="3" t="s">
        <v>1246</v>
      </c>
      <c r="DT35" s="3" t="s">
        <v>1247</v>
      </c>
      <c r="DU35" s="3">
        <v>0</v>
      </c>
      <c r="DV35" s="3">
        <v>0.9</v>
      </c>
      <c r="DW35" s="3">
        <v>0</v>
      </c>
      <c r="DX35" s="3">
        <v>2065288</v>
      </c>
      <c r="DY35" s="3">
        <v>9914.7000000000007</v>
      </c>
      <c r="DZ35" s="3">
        <v>1.5009999999999999</v>
      </c>
      <c r="EA35" s="21">
        <f ca="1">_xll.IMDP("BND",DR35,EA8,DR3)</f>
        <v>20280114</v>
      </c>
      <c r="EB35" s="23">
        <f ca="1">_xll.IMDP("BND",DR35,EB8,DR3)</f>
        <v>4.0229999999999997</v>
      </c>
    </row>
    <row r="36" spans="1:132" ht="13.5" customHeight="1" x14ac:dyDescent="0.3">
      <c r="A36" s="2">
        <v>46198</v>
      </c>
      <c r="B36" s="3" t="s">
        <v>220</v>
      </c>
      <c r="C36" s="3" t="s">
        <v>56</v>
      </c>
      <c r="D36" s="3" t="s">
        <v>765</v>
      </c>
      <c r="E36" s="3">
        <v>0</v>
      </c>
      <c r="F36" s="3">
        <v>0.55000000000000004</v>
      </c>
      <c r="G36" s="3">
        <v>0</v>
      </c>
      <c r="H36" s="3">
        <v>611543</v>
      </c>
      <c r="I36" s="3">
        <v>12381.72</v>
      </c>
      <c r="J36" s="3">
        <v>1.931</v>
      </c>
      <c r="K36" s="21">
        <f ca="1">_xll.IMDP("BND",B36,K8,B3)</f>
        <v>20280610</v>
      </c>
      <c r="L36" s="23">
        <f ca="1">_xll.IMDP("BND",B36,L8,B3)</f>
        <v>0.439</v>
      </c>
      <c r="M36" s="2">
        <v>46198</v>
      </c>
      <c r="N36" s="3" t="s">
        <v>38</v>
      </c>
      <c r="O36" s="3" t="s">
        <v>29</v>
      </c>
      <c r="P36" s="3" t="s">
        <v>39</v>
      </c>
      <c r="Q36" s="3">
        <v>0</v>
      </c>
      <c r="R36" s="3">
        <v>0.8</v>
      </c>
      <c r="S36" s="3">
        <v>0</v>
      </c>
      <c r="T36" s="3">
        <v>936488</v>
      </c>
      <c r="U36" s="3">
        <v>10014.459999999999</v>
      </c>
      <c r="V36" s="3">
        <v>6.3571</v>
      </c>
      <c r="W36" s="21">
        <f ca="1">_xll.IMDP("BND",N36,W8,N3)</f>
        <v>20331210</v>
      </c>
      <c r="X36" s="23">
        <f ca="1">_xll.IMDP("BND",N36,X8,N3)</f>
        <v>4.1280000000000001</v>
      </c>
      <c r="Y36" s="2"/>
      <c r="AI36" s="21" t="str">
        <f ca="1">_xll.IMDP("BND",Z36,AI8,Z3)</f>
        <v>입력오류</v>
      </c>
      <c r="AJ36" s="23" t="str">
        <f ca="1">_xll.IMDP("BND",Z36,AJ8,Z3)</f>
        <v>입력오류</v>
      </c>
      <c r="AK36" s="2"/>
      <c r="AU36" s="21" t="str">
        <f ca="1">_xll.IMDP("BND",AL36,AU8,AL3)</f>
        <v>입력오류</v>
      </c>
      <c r="AV36" s="23" t="str">
        <f ca="1">_xll.IMDP("BND",AL36,AV8,AL3)</f>
        <v>입력오류</v>
      </c>
      <c r="AW36" s="2"/>
      <c r="BG36" s="21" t="str">
        <f ca="1">_xll.IMDP("BND",AX36,BG8,AX3)</f>
        <v>입력오류</v>
      </c>
      <c r="BH36" s="23" t="str">
        <f ca="1">_xll.IMDP("BND",AX36,BH8,AX3)</f>
        <v>입력오류</v>
      </c>
      <c r="BI36" s="2">
        <v>46198</v>
      </c>
      <c r="BJ36" s="3" t="s">
        <v>419</v>
      </c>
      <c r="BK36" s="3" t="s">
        <v>420</v>
      </c>
      <c r="BL36" s="3" t="s">
        <v>421</v>
      </c>
      <c r="BM36" s="3">
        <v>0</v>
      </c>
      <c r="BN36" s="3">
        <v>0.61</v>
      </c>
      <c r="BO36" s="3">
        <v>0</v>
      </c>
      <c r="BP36" s="3">
        <v>769410</v>
      </c>
      <c r="BQ36" s="3">
        <v>10032.76</v>
      </c>
      <c r="BR36" s="3">
        <v>2.5785</v>
      </c>
      <c r="BS36" s="21">
        <f ca="1">_xll.IMDP("BND",BJ36,BS8,BJ3)</f>
        <v>20290326</v>
      </c>
      <c r="BT36" s="23">
        <f ca="1">_xll.IMDP("BND",BJ36,BT8,BJ3)</f>
        <v>3.992</v>
      </c>
      <c r="BU36" s="2">
        <v>46198</v>
      </c>
      <c r="BV36" s="3" t="s">
        <v>1017</v>
      </c>
      <c r="BW36" s="3" t="s">
        <v>1018</v>
      </c>
      <c r="BX36" s="3" t="s">
        <v>1019</v>
      </c>
      <c r="BY36" s="3">
        <v>0</v>
      </c>
      <c r="BZ36" s="3">
        <v>0.71</v>
      </c>
      <c r="CA36" s="3">
        <v>0</v>
      </c>
      <c r="CB36" s="3">
        <v>943186</v>
      </c>
      <c r="CC36" s="3">
        <v>10110.02</v>
      </c>
      <c r="CD36" s="3">
        <v>0.23980000000000001</v>
      </c>
      <c r="CE36" s="21">
        <f ca="1">_xll.IMDP("BND",BV36,CE8,BV3)</f>
        <v>20260922</v>
      </c>
      <c r="CF36" s="23">
        <f ca="1">_xll.IMDP("BND",BV36,CF8,BV3)</f>
        <v>3.972</v>
      </c>
      <c r="CG36" s="2">
        <v>46198</v>
      </c>
      <c r="CH36" s="3" t="s">
        <v>665</v>
      </c>
      <c r="CI36" s="3" t="s">
        <v>666</v>
      </c>
      <c r="CJ36" s="3" t="s">
        <v>667</v>
      </c>
      <c r="CK36" s="3">
        <v>0</v>
      </c>
      <c r="CL36" s="3">
        <v>2.4</v>
      </c>
      <c r="CM36" s="3">
        <v>0</v>
      </c>
      <c r="CN36" s="3">
        <v>2449158</v>
      </c>
      <c r="CO36" s="3">
        <v>9719.94</v>
      </c>
      <c r="CP36" s="3">
        <v>2.0446</v>
      </c>
      <c r="CQ36" s="21">
        <f ca="1">_xll.IMDP("BND",CH36,CQ8,CH3)</f>
        <v>20280811</v>
      </c>
      <c r="CR36" s="23">
        <f ca="1">_xll.IMDP("BND",CH36,CR8,CH3)</f>
        <v>4.41</v>
      </c>
      <c r="CS36" s="2">
        <v>46198</v>
      </c>
      <c r="CT36" s="3" t="s">
        <v>196</v>
      </c>
      <c r="CU36" s="3" t="s">
        <v>197</v>
      </c>
      <c r="CV36" s="3" t="s">
        <v>198</v>
      </c>
      <c r="CW36" s="3">
        <v>0</v>
      </c>
      <c r="CX36" s="3">
        <v>0.63</v>
      </c>
      <c r="CY36" s="3">
        <v>0</v>
      </c>
      <c r="CZ36" s="3">
        <v>914194</v>
      </c>
      <c r="DA36" s="3">
        <v>9788.06</v>
      </c>
      <c r="DB36" s="3">
        <v>2.1617000000000002</v>
      </c>
      <c r="DC36" s="21">
        <f ca="1">_xll.IMDP("BND",CT36,DC8,CT3)</f>
        <v>20280929</v>
      </c>
      <c r="DD36" s="23">
        <f ca="1">_xll.IMDP("BND",CT36,DD8,CT3)</f>
        <v>4.1349999999999998</v>
      </c>
      <c r="DE36" s="2"/>
      <c r="DO36" s="21" t="str">
        <f ca="1">_xll.IMDP("BND",DF36,DO8,DF3)</f>
        <v>입력오류</v>
      </c>
      <c r="DP36" s="23" t="str">
        <f ca="1">_xll.IMDP("BND",DF36,DP8,DF3)</f>
        <v>입력오류</v>
      </c>
      <c r="DQ36" s="2">
        <v>46198</v>
      </c>
      <c r="DR36" s="3" t="s">
        <v>1248</v>
      </c>
      <c r="DS36" s="3" t="s">
        <v>1249</v>
      </c>
      <c r="DT36" s="3" t="s">
        <v>1250</v>
      </c>
      <c r="DU36" s="3">
        <v>0</v>
      </c>
      <c r="DV36" s="3">
        <v>0.9</v>
      </c>
      <c r="DW36" s="3">
        <v>0</v>
      </c>
      <c r="DX36" s="3">
        <v>2062711</v>
      </c>
      <c r="DY36" s="3">
        <v>9905.41</v>
      </c>
      <c r="DZ36" s="3">
        <v>1.7661</v>
      </c>
      <c r="EA36" s="21">
        <f ca="1">_xll.IMDP("BND",DR36,EA8,DR3)</f>
        <v>20280425</v>
      </c>
      <c r="EB36" s="23">
        <f ca="1">_xll.IMDP("BND",DR36,EB8,DR3)</f>
        <v>4.1630000000000003</v>
      </c>
    </row>
    <row r="37" spans="1:132" ht="13.5" customHeight="1" x14ac:dyDescent="0.3">
      <c r="A37" s="2">
        <v>46198</v>
      </c>
      <c r="B37" s="3" t="s">
        <v>215</v>
      </c>
      <c r="C37" s="3" t="s">
        <v>216</v>
      </c>
      <c r="D37" s="3" t="s">
        <v>766</v>
      </c>
      <c r="E37" s="3">
        <v>0</v>
      </c>
      <c r="F37" s="3">
        <v>0.54</v>
      </c>
      <c r="G37" s="3">
        <v>0</v>
      </c>
      <c r="H37" s="3">
        <v>598231</v>
      </c>
      <c r="I37" s="3">
        <v>9979.8700000000008</v>
      </c>
      <c r="J37" s="3">
        <v>4.8524000000000003</v>
      </c>
      <c r="K37" s="21">
        <f ca="1">_xll.IMDP("BND",B37,K8,B3)</f>
        <v>20311210</v>
      </c>
      <c r="L37" s="23">
        <f ca="1">_xll.IMDP("BND",B37,L8,B3)</f>
        <v>4.0739999999999998</v>
      </c>
      <c r="M37" s="2">
        <v>46198</v>
      </c>
      <c r="N37" s="3" t="s">
        <v>110</v>
      </c>
      <c r="O37" s="3" t="s">
        <v>63</v>
      </c>
      <c r="P37" s="3" t="s">
        <v>111</v>
      </c>
      <c r="Q37" s="3">
        <v>0</v>
      </c>
      <c r="R37" s="3">
        <v>0.74</v>
      </c>
      <c r="S37" s="3">
        <v>0</v>
      </c>
      <c r="T37" s="3">
        <v>860273</v>
      </c>
      <c r="U37" s="3">
        <v>8902</v>
      </c>
      <c r="V37" s="3">
        <v>12.0678</v>
      </c>
      <c r="W37" s="21">
        <f ca="1">_xll.IMDP("BND",N37,W8,N3)</f>
        <v>20420910</v>
      </c>
      <c r="X37" s="23">
        <f ca="1">_xll.IMDP("BND",N37,X8,N3)</f>
        <v>4.2759999999999998</v>
      </c>
      <c r="Y37" s="2"/>
      <c r="AI37" s="21" t="str">
        <f ca="1">_xll.IMDP("BND",Z37,AI8,Z3)</f>
        <v>입력오류</v>
      </c>
      <c r="AJ37" s="23" t="str">
        <f ca="1">_xll.IMDP("BND",Z37,AJ8,Z3)</f>
        <v>입력오류</v>
      </c>
      <c r="AK37" s="2"/>
      <c r="AU37" s="21" t="str">
        <f ca="1">_xll.IMDP("BND",AL37,AU8,AL3)</f>
        <v>입력오류</v>
      </c>
      <c r="AV37" s="23" t="str">
        <f ca="1">_xll.IMDP("BND",AL37,AV8,AL3)</f>
        <v>입력오류</v>
      </c>
      <c r="AW37" s="2"/>
      <c r="BG37" s="21" t="str">
        <f ca="1">_xll.IMDP("BND",AX37,BG8,AX3)</f>
        <v>입력오류</v>
      </c>
      <c r="BH37" s="23" t="str">
        <f ca="1">_xll.IMDP("BND",AX37,BH8,AX3)</f>
        <v>입력오류</v>
      </c>
      <c r="BI37" s="2">
        <v>46198</v>
      </c>
      <c r="BJ37" s="3" t="s">
        <v>284</v>
      </c>
      <c r="BK37" s="3" t="s">
        <v>285</v>
      </c>
      <c r="BL37" s="3" t="s">
        <v>286</v>
      </c>
      <c r="BM37" s="3">
        <v>0</v>
      </c>
      <c r="BN37" s="3">
        <v>0.61</v>
      </c>
      <c r="BO37" s="3">
        <v>0</v>
      </c>
      <c r="BP37" s="3">
        <v>767147</v>
      </c>
      <c r="BQ37" s="3">
        <v>10002.99</v>
      </c>
      <c r="BR37" s="3">
        <v>2.6547000000000001</v>
      </c>
      <c r="BS37" s="21">
        <f ca="1">_xll.IMDP("BND",BJ37,BS8,BJ3)</f>
        <v>20290430</v>
      </c>
      <c r="BT37" s="23">
        <f ca="1">_xll.IMDP("BND",BJ37,BT8,BJ3)</f>
        <v>4.3739999999999997</v>
      </c>
      <c r="BU37" s="2">
        <v>46198</v>
      </c>
      <c r="BV37" s="3" t="s">
        <v>1020</v>
      </c>
      <c r="BW37" s="3" t="s">
        <v>607</v>
      </c>
      <c r="BX37" s="3" t="s">
        <v>1021</v>
      </c>
      <c r="BY37" s="3">
        <v>0</v>
      </c>
      <c r="BZ37" s="3">
        <v>0.71</v>
      </c>
      <c r="CA37" s="3">
        <v>0</v>
      </c>
      <c r="CB37" s="3">
        <v>942840</v>
      </c>
      <c r="CC37" s="3">
        <v>10106.15</v>
      </c>
      <c r="CD37" s="3">
        <v>0.26619999999999999</v>
      </c>
      <c r="CE37" s="21">
        <f ca="1">_xll.IMDP("BND",BV37,CE8,BV3)</f>
        <v>20261002</v>
      </c>
      <c r="CF37" s="23">
        <f ca="1">_xll.IMDP("BND",BV37,CF8,BV3)</f>
        <v>3.2890000000000001</v>
      </c>
      <c r="CG37" s="2">
        <v>46198</v>
      </c>
      <c r="CH37" s="3" t="s">
        <v>668</v>
      </c>
      <c r="CI37" s="3" t="s">
        <v>642</v>
      </c>
      <c r="CJ37" s="3" t="s">
        <v>669</v>
      </c>
      <c r="CK37" s="3">
        <v>0</v>
      </c>
      <c r="CL37" s="3">
        <v>2.4</v>
      </c>
      <c r="CM37" s="3">
        <v>0</v>
      </c>
      <c r="CN37" s="3">
        <v>2448208</v>
      </c>
      <c r="CO37" s="3">
        <v>9716.7900000000009</v>
      </c>
      <c r="CP37" s="3">
        <v>2.121</v>
      </c>
      <c r="CQ37" s="21">
        <f ca="1">_xll.IMDP("BND",CH37,CQ8,CH3)</f>
        <v>20280915</v>
      </c>
      <c r="CR37" s="23">
        <f ca="1">_xll.IMDP("BND",CH37,CR8,CH3)</f>
        <v>4.9569999999999999</v>
      </c>
      <c r="CS37" s="2">
        <v>46198</v>
      </c>
      <c r="CT37" s="3" t="s">
        <v>199</v>
      </c>
      <c r="CU37" s="3" t="s">
        <v>200</v>
      </c>
      <c r="CV37" s="3" t="s">
        <v>201</v>
      </c>
      <c r="CW37" s="3">
        <v>0</v>
      </c>
      <c r="CX37" s="3">
        <v>0.63</v>
      </c>
      <c r="CY37" s="3">
        <v>0</v>
      </c>
      <c r="CZ37" s="3">
        <v>912477</v>
      </c>
      <c r="DA37" s="3">
        <v>9769.58</v>
      </c>
      <c r="DB37" s="3">
        <v>2.9853000000000001</v>
      </c>
      <c r="DC37" s="21">
        <f ca="1">_xll.IMDP("BND",CT37,DC8,CT3)</f>
        <v>20290828</v>
      </c>
      <c r="DD37" s="23">
        <f ca="1">_xll.IMDP("BND",CT37,DD8,CT3)</f>
        <v>4.2069999999999999</v>
      </c>
      <c r="DE37" s="2"/>
      <c r="DO37" s="21" t="str">
        <f ca="1">_xll.IMDP("BND",DF37,DO8,DF3)</f>
        <v>입력오류</v>
      </c>
      <c r="DP37" s="23" t="str">
        <f ca="1">_xll.IMDP("BND",DF37,DP8,DF3)</f>
        <v>입력오류</v>
      </c>
      <c r="DQ37" s="2">
        <v>46198</v>
      </c>
      <c r="DR37" s="3" t="s">
        <v>1251</v>
      </c>
      <c r="DS37" s="3" t="s">
        <v>1252</v>
      </c>
      <c r="DT37" s="3" t="s">
        <v>1253</v>
      </c>
      <c r="DU37" s="3">
        <v>0</v>
      </c>
      <c r="DV37" s="3">
        <v>0.9</v>
      </c>
      <c r="DW37" s="3">
        <v>0</v>
      </c>
      <c r="DX37" s="3">
        <v>2062159</v>
      </c>
      <c r="DY37" s="3">
        <v>9900.43</v>
      </c>
      <c r="DZ37" s="3">
        <v>1.5408999999999999</v>
      </c>
      <c r="EA37" s="21">
        <f ca="1">_xll.IMDP("BND",DR37,EA8,DR3)</f>
        <v>20280131</v>
      </c>
      <c r="EB37" s="23">
        <f ca="1">_xll.IMDP("BND",DR37,EB8,DR3)</f>
        <v>4.2809999999999997</v>
      </c>
    </row>
    <row r="38" spans="1:132" ht="13.5" customHeight="1" x14ac:dyDescent="0.3">
      <c r="A38" s="2">
        <v>46198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577187</v>
      </c>
      <c r="I38" s="3">
        <v>7199.4</v>
      </c>
      <c r="J38" s="3">
        <v>17.1205</v>
      </c>
      <c r="K38" s="21">
        <f ca="1">_xll.IMDP("BND",B38,K8,B3)</f>
        <v>20520310</v>
      </c>
      <c r="L38" s="23">
        <f ca="1">_xll.IMDP("BND",B38,L8,B3)</f>
        <v>4.3710000000000004</v>
      </c>
      <c r="M38" s="2">
        <v>46198</v>
      </c>
      <c r="N38" s="3" t="s">
        <v>112</v>
      </c>
      <c r="O38" s="3" t="s">
        <v>113</v>
      </c>
      <c r="P38" s="3" t="s">
        <v>114</v>
      </c>
      <c r="Q38" s="3">
        <v>0</v>
      </c>
      <c r="R38" s="3">
        <v>0.73</v>
      </c>
      <c r="S38" s="3">
        <v>0</v>
      </c>
      <c r="T38" s="3">
        <v>849024</v>
      </c>
      <c r="U38" s="3">
        <v>9904.2099999999991</v>
      </c>
      <c r="V38" s="3">
        <v>0.69889999999999997</v>
      </c>
      <c r="W38" s="21">
        <f ca="1">_xll.IMDP("BND",N38,W8,N3)</f>
        <v>20270312</v>
      </c>
      <c r="X38" s="23">
        <f ca="1">_xll.IMDP("BND",N38,X8,N3)</f>
        <v>3.468</v>
      </c>
      <c r="Y38" s="2"/>
      <c r="AI38" s="21" t="str">
        <f ca="1">_xll.IMDP("BND",Z38,AI8,Z3)</f>
        <v>입력오류</v>
      </c>
      <c r="AJ38" s="23" t="str">
        <f ca="1">_xll.IMDP("BND",Z38,AJ8,Z3)</f>
        <v>입력오류</v>
      </c>
      <c r="AK38" s="2"/>
      <c r="AU38" s="21" t="str">
        <f ca="1">_xll.IMDP("BND",AL38,AU8,AL3)</f>
        <v>입력오류</v>
      </c>
      <c r="AV38" s="23" t="str">
        <f ca="1">_xll.IMDP("BND",AL38,AV8,AL3)</f>
        <v>입력오류</v>
      </c>
      <c r="AW38" s="2"/>
      <c r="BG38" s="21" t="str">
        <f ca="1">_xll.IMDP("BND",AX38,BG8,AX3)</f>
        <v>입력오류</v>
      </c>
      <c r="BH38" s="23" t="str">
        <f ca="1">_xll.IMDP("BND",AX38,BH8,AX3)</f>
        <v>입력오류</v>
      </c>
      <c r="BI38" s="2">
        <v>46198</v>
      </c>
      <c r="BJ38" s="3" t="s">
        <v>422</v>
      </c>
      <c r="BK38" s="3" t="s">
        <v>423</v>
      </c>
      <c r="BL38" s="3" t="s">
        <v>424</v>
      </c>
      <c r="BM38" s="3">
        <v>0</v>
      </c>
      <c r="BN38" s="3">
        <v>0.61</v>
      </c>
      <c r="BO38" s="3">
        <v>0</v>
      </c>
      <c r="BP38" s="3">
        <v>766978</v>
      </c>
      <c r="BQ38" s="3">
        <v>10001.42</v>
      </c>
      <c r="BR38" s="3">
        <v>0.94120000000000004</v>
      </c>
      <c r="BS38" s="21">
        <f ca="1">_xll.IMDP("BND",BJ38,BS8,BJ3)</f>
        <v>20270611</v>
      </c>
      <c r="BT38" s="23">
        <f ca="1">_xll.IMDP("BND",BJ38,BT8,BJ3)</f>
        <v>3.875</v>
      </c>
      <c r="BU38" s="2">
        <v>46198</v>
      </c>
      <c r="BV38" s="3" t="s">
        <v>1022</v>
      </c>
      <c r="BW38" s="3" t="s">
        <v>1023</v>
      </c>
      <c r="BX38" s="3" t="s">
        <v>1024</v>
      </c>
      <c r="BY38" s="3">
        <v>0</v>
      </c>
      <c r="BZ38" s="3">
        <v>0.7</v>
      </c>
      <c r="CA38" s="3">
        <v>0</v>
      </c>
      <c r="CB38" s="3">
        <v>941522</v>
      </c>
      <c r="CC38" s="3">
        <v>10092.16</v>
      </c>
      <c r="CD38" s="3">
        <v>4.9799999999999997E-2</v>
      </c>
      <c r="CE38" s="21">
        <f ca="1">_xll.IMDP("BND",BV38,CE8,BV3)</f>
        <v>20260713</v>
      </c>
      <c r="CF38" s="23">
        <f ca="1">_xll.IMDP("BND",BV38,CF8,BV3)</f>
        <v>4.0890000000000004</v>
      </c>
      <c r="CG38" s="2">
        <v>46198</v>
      </c>
      <c r="CH38" s="3" t="s">
        <v>670</v>
      </c>
      <c r="CI38" s="3" t="s">
        <v>671</v>
      </c>
      <c r="CJ38" s="3" t="s">
        <v>672</v>
      </c>
      <c r="CK38" s="3">
        <v>0</v>
      </c>
      <c r="CL38" s="3">
        <v>2.36</v>
      </c>
      <c r="CM38" s="3">
        <v>0</v>
      </c>
      <c r="CN38" s="3">
        <v>2414136</v>
      </c>
      <c r="CO38" s="3">
        <v>9580.18</v>
      </c>
      <c r="CP38" s="3">
        <v>2.7395</v>
      </c>
      <c r="CQ38" s="21">
        <f ca="1">_xll.IMDP("BND",CH38,CQ8,CH3)</f>
        <v>20290509</v>
      </c>
      <c r="CR38" s="23">
        <f ca="1">_xll.IMDP("BND",CH38,CR8,CH3)</f>
        <v>4.2229999999999999</v>
      </c>
      <c r="CS38" s="2">
        <v>46198</v>
      </c>
      <c r="CT38" s="3" t="s">
        <v>202</v>
      </c>
      <c r="CU38" s="3" t="s">
        <v>29</v>
      </c>
      <c r="CV38" s="3" t="s">
        <v>203</v>
      </c>
      <c r="CW38" s="3">
        <v>0</v>
      </c>
      <c r="CX38" s="3">
        <v>0.61</v>
      </c>
      <c r="CY38" s="3">
        <v>0</v>
      </c>
      <c r="CZ38" s="3">
        <v>884535</v>
      </c>
      <c r="DA38" s="3">
        <v>9471.27</v>
      </c>
      <c r="DB38" s="3">
        <v>2.8355999999999999</v>
      </c>
      <c r="DC38" s="21">
        <f ca="1">_xll.IMDP("BND",CT38,DC8,CT3)</f>
        <v>20290610</v>
      </c>
      <c r="DD38" s="23">
        <f ca="1">_xll.IMDP("BND",CT38,DD8,CT3)</f>
        <v>3.8079999999999998</v>
      </c>
      <c r="DE38" s="2"/>
      <c r="DO38" s="21" t="str">
        <f ca="1">_xll.IMDP("BND",DF38,DO8,DF3)</f>
        <v>입력오류</v>
      </c>
      <c r="DP38" s="23" t="str">
        <f ca="1">_xll.IMDP("BND",DF38,DP8,DF3)</f>
        <v>입력오류</v>
      </c>
      <c r="DQ38" s="2">
        <v>46198</v>
      </c>
      <c r="DR38" s="3" t="s">
        <v>1254</v>
      </c>
      <c r="DS38" s="3" t="s">
        <v>1255</v>
      </c>
      <c r="DT38" s="3" t="s">
        <v>1256</v>
      </c>
      <c r="DU38" s="3">
        <v>0</v>
      </c>
      <c r="DV38" s="3">
        <v>0.89</v>
      </c>
      <c r="DW38" s="3">
        <v>0</v>
      </c>
      <c r="DX38" s="3">
        <v>2058208</v>
      </c>
      <c r="DY38" s="3">
        <v>9885.84</v>
      </c>
      <c r="DZ38" s="3">
        <v>4.9032999999999998</v>
      </c>
      <c r="EA38" s="21">
        <f ca="1">_xll.IMDP("BND",DR38,EA8,DR3)</f>
        <v>20351209</v>
      </c>
      <c r="EB38" s="23">
        <f ca="1">_xll.IMDP("BND",DR38,EB8,DR3)</f>
        <v>4.6740000000000004</v>
      </c>
    </row>
    <row r="39" spans="1:132" ht="13.5" customHeight="1" x14ac:dyDescent="0.3">
      <c r="A39" s="2">
        <v>46198</v>
      </c>
      <c r="B39" s="3" t="s">
        <v>767</v>
      </c>
      <c r="C39" s="3" t="s">
        <v>383</v>
      </c>
      <c r="D39" s="3" t="s">
        <v>768</v>
      </c>
      <c r="E39" s="3">
        <v>0</v>
      </c>
      <c r="F39" s="3">
        <v>0.48</v>
      </c>
      <c r="G39" s="3">
        <v>0</v>
      </c>
      <c r="H39" s="3">
        <v>533909</v>
      </c>
      <c r="I39" s="3">
        <v>10054.16</v>
      </c>
      <c r="J39" s="3">
        <v>0.76949999999999996</v>
      </c>
      <c r="K39" s="21">
        <f ca="1">_xll.IMDP("BND",B39,K8,B3)</f>
        <v>20270409</v>
      </c>
      <c r="L39" s="23">
        <f ca="1">_xll.IMDP("BND",B39,L8,B3)</f>
        <v>3.7160000000000002</v>
      </c>
      <c r="M39" s="2">
        <v>46198</v>
      </c>
      <c r="N39" s="3" t="s">
        <v>115</v>
      </c>
      <c r="O39" s="3" t="s">
        <v>29</v>
      </c>
      <c r="P39" s="3" t="s">
        <v>116</v>
      </c>
      <c r="Q39" s="3">
        <v>0</v>
      </c>
      <c r="R39" s="3">
        <v>0.7</v>
      </c>
      <c r="S39" s="3">
        <v>0</v>
      </c>
      <c r="T39" s="3">
        <v>821356</v>
      </c>
      <c r="U39" s="3">
        <v>9085.8700000000008</v>
      </c>
      <c r="V39" s="3">
        <v>4.6357999999999997</v>
      </c>
      <c r="W39" s="21">
        <f ca="1">_xll.IMDP("BND",N39,W8,N3)</f>
        <v>20310610</v>
      </c>
      <c r="X39" s="23">
        <f ca="1">_xll.IMDP("BND",N39,X8,N3)</f>
        <v>4.0720000000000001</v>
      </c>
      <c r="Y39" s="2"/>
      <c r="AI39" s="21" t="str">
        <f ca="1">_xll.IMDP("BND",Z39,AI8,Z3)</f>
        <v>입력오류</v>
      </c>
      <c r="AJ39" s="23" t="str">
        <f ca="1">_xll.IMDP("BND",Z39,AJ8,Z3)</f>
        <v>입력오류</v>
      </c>
      <c r="AK39" s="2"/>
      <c r="AU39" s="21" t="str">
        <f ca="1">_xll.IMDP("BND",AL39,AU8,AL3)</f>
        <v>입력오류</v>
      </c>
      <c r="AV39" s="23" t="str">
        <f ca="1">_xll.IMDP("BND",AL39,AV8,AL3)</f>
        <v>입력오류</v>
      </c>
      <c r="AW39" s="2"/>
      <c r="BG39" s="21" t="str">
        <f ca="1">_xll.IMDP("BND",AX39,BG8,AX3)</f>
        <v>입력오류</v>
      </c>
      <c r="BH39" s="23" t="str">
        <f ca="1">_xll.IMDP("BND",AX39,BH8,AX3)</f>
        <v>입력오류</v>
      </c>
      <c r="BI39" s="2">
        <v>46198</v>
      </c>
      <c r="BJ39" s="3" t="s">
        <v>425</v>
      </c>
      <c r="BK39" s="3" t="s">
        <v>426</v>
      </c>
      <c r="BL39" s="3" t="s">
        <v>427</v>
      </c>
      <c r="BM39" s="3">
        <v>0</v>
      </c>
      <c r="BN39" s="3">
        <v>0.61</v>
      </c>
      <c r="BO39" s="3">
        <v>0</v>
      </c>
      <c r="BP39" s="3">
        <v>766695</v>
      </c>
      <c r="BQ39" s="3">
        <v>9997.9699999999993</v>
      </c>
      <c r="BR39" s="3">
        <v>2.7812000000000001</v>
      </c>
      <c r="BS39" s="21">
        <f ca="1">_xll.IMDP("BND",BJ39,BS8,BJ3)</f>
        <v>20290618</v>
      </c>
      <c r="BT39" s="23">
        <f ca="1">_xll.IMDP("BND",BJ39,BT8,BJ3)</f>
        <v>4.3760000000000003</v>
      </c>
      <c r="BU39" s="2">
        <v>46198</v>
      </c>
      <c r="BV39" s="3" t="s">
        <v>1025</v>
      </c>
      <c r="BW39" s="3" t="s">
        <v>1026</v>
      </c>
      <c r="BX39" s="3" t="s">
        <v>1027</v>
      </c>
      <c r="BY39" s="3">
        <v>0</v>
      </c>
      <c r="BZ39" s="3">
        <v>0.7</v>
      </c>
      <c r="CA39" s="3">
        <v>0</v>
      </c>
      <c r="CB39" s="3">
        <v>941201</v>
      </c>
      <c r="CC39" s="3">
        <v>10088.709999999999</v>
      </c>
      <c r="CD39" s="3">
        <v>0.16300000000000001</v>
      </c>
      <c r="CE39" s="21">
        <f ca="1">_xll.IMDP("BND",BV39,CE8,BV3)</f>
        <v>20260824</v>
      </c>
      <c r="CF39" s="23">
        <f ca="1">_xll.IMDP("BND",BV39,CF8,BV3)</f>
        <v>3.262</v>
      </c>
      <c r="CG39" s="2">
        <v>46198</v>
      </c>
      <c r="CH39" s="3" t="s">
        <v>673</v>
      </c>
      <c r="CI39" s="3" t="s">
        <v>674</v>
      </c>
      <c r="CJ39" s="3" t="s">
        <v>675</v>
      </c>
      <c r="CK39" s="3">
        <v>0</v>
      </c>
      <c r="CL39" s="3">
        <v>1.7</v>
      </c>
      <c r="CM39" s="3">
        <v>0</v>
      </c>
      <c r="CN39" s="3">
        <v>1733824</v>
      </c>
      <c r="CO39" s="3">
        <v>9830.17</v>
      </c>
      <c r="CP39" s="3">
        <v>1.6501999999999999</v>
      </c>
      <c r="CQ39" s="21">
        <f ca="1">_xll.IMDP("BND",CH39,CQ8,CH3)</f>
        <v>20280313</v>
      </c>
      <c r="CR39" s="23">
        <f ca="1">_xll.IMDP("BND",CH39,CR8,CH3)</f>
        <v>4.8330000000000002</v>
      </c>
      <c r="CS39" s="2">
        <v>46198</v>
      </c>
      <c r="CT39" s="3" t="s">
        <v>130</v>
      </c>
      <c r="CU39" s="3" t="s">
        <v>131</v>
      </c>
      <c r="CV39" s="3" t="s">
        <v>204</v>
      </c>
      <c r="CW39" s="3">
        <v>0</v>
      </c>
      <c r="CX39" s="3">
        <v>0.61</v>
      </c>
      <c r="CY39" s="3">
        <v>0</v>
      </c>
      <c r="CZ39" s="3">
        <v>878803</v>
      </c>
      <c r="DA39" s="3">
        <v>9410.18</v>
      </c>
      <c r="DB39" s="3">
        <v>1.649</v>
      </c>
      <c r="DC39" s="21">
        <f ca="1">_xll.IMDP("BND",CT39,DC8,CT3)</f>
        <v>20280310</v>
      </c>
      <c r="DD39" s="23">
        <f ca="1">_xll.IMDP("BND",CT39,DD8,CT3)</f>
        <v>3.6179999999999999</v>
      </c>
      <c r="DE39" s="2"/>
      <c r="DO39" s="21" t="str">
        <f ca="1">_xll.IMDP("BND",DF39,DO8,DF3)</f>
        <v>입력오류</v>
      </c>
      <c r="DP39" s="23" t="str">
        <f ca="1">_xll.IMDP("BND",DF39,DP8,DF3)</f>
        <v>입력오류</v>
      </c>
      <c r="DQ39" s="2">
        <v>46198</v>
      </c>
      <c r="DR39" s="3" t="s">
        <v>1257</v>
      </c>
      <c r="DS39" s="3" t="s">
        <v>1258</v>
      </c>
      <c r="DT39" s="3" t="s">
        <v>1259</v>
      </c>
      <c r="DU39" s="3">
        <v>0</v>
      </c>
      <c r="DV39" s="3">
        <v>0.89</v>
      </c>
      <c r="DW39" s="3">
        <v>0</v>
      </c>
      <c r="DX39" s="3">
        <v>2057067</v>
      </c>
      <c r="DY39" s="3">
        <v>9875.19</v>
      </c>
      <c r="DZ39" s="3">
        <v>1.1606000000000001</v>
      </c>
      <c r="EA39" s="21">
        <f ca="1">_xll.IMDP("BND",DR39,EA8,DR3)</f>
        <v>20270902</v>
      </c>
      <c r="EB39" s="23">
        <f ca="1">_xll.IMDP("BND",DR39,EB8,DR3)</f>
        <v>3.9260000000000002</v>
      </c>
    </row>
    <row r="40" spans="1:132" ht="13.5" customHeight="1" x14ac:dyDescent="0.3">
      <c r="A40" s="2">
        <v>46198</v>
      </c>
      <c r="B40" s="3" t="s">
        <v>769</v>
      </c>
      <c r="C40" s="3" t="s">
        <v>770</v>
      </c>
      <c r="D40" s="3" t="s">
        <v>771</v>
      </c>
      <c r="E40" s="3">
        <v>0</v>
      </c>
      <c r="F40" s="3">
        <v>0.48</v>
      </c>
      <c r="G40" s="3">
        <v>0</v>
      </c>
      <c r="H40" s="3">
        <v>532332</v>
      </c>
      <c r="I40" s="3">
        <v>10023.25</v>
      </c>
      <c r="J40" s="3">
        <v>2.5727000000000002</v>
      </c>
      <c r="K40" s="21">
        <f ca="1">_xll.IMDP("BND",B40,K8,B3)</f>
        <v>20290326</v>
      </c>
      <c r="L40" s="23">
        <f ca="1">_xll.IMDP("BND",B40,L8,B3)</f>
        <v>4.1630000000000003</v>
      </c>
      <c r="M40" s="2">
        <v>46198</v>
      </c>
      <c r="N40" s="3" t="s">
        <v>117</v>
      </c>
      <c r="O40" s="3" t="s">
        <v>56</v>
      </c>
      <c r="P40" s="3" t="s">
        <v>118</v>
      </c>
      <c r="Q40" s="3">
        <v>0</v>
      </c>
      <c r="R40" s="3">
        <v>0.59</v>
      </c>
      <c r="S40" s="3">
        <v>0</v>
      </c>
      <c r="T40" s="3">
        <v>691448</v>
      </c>
      <c r="U40" s="3">
        <v>7394.2</v>
      </c>
      <c r="V40" s="3">
        <v>12.537100000000001</v>
      </c>
      <c r="W40" s="21">
        <f ca="1">_xll.IMDP("BND",N40,W8,N3)</f>
        <v>20410910</v>
      </c>
      <c r="X40" s="23">
        <f ca="1">_xll.IMDP("BND",N40,X8,N3)</f>
        <v>4.2699999999999996</v>
      </c>
      <c r="Y40" s="2"/>
      <c r="AI40" s="21" t="str">
        <f ca="1">_xll.IMDP("BND",Z40,AI8,Z3)</f>
        <v>입력오류</v>
      </c>
      <c r="AJ40" s="23" t="str">
        <f ca="1">_xll.IMDP("BND",Z40,AJ8,Z3)</f>
        <v>입력오류</v>
      </c>
      <c r="AK40" s="2"/>
      <c r="AU40" s="21" t="str">
        <f ca="1">_xll.IMDP("BND",AL40,AU8,AL3)</f>
        <v>입력오류</v>
      </c>
      <c r="AV40" s="23" t="str">
        <f ca="1">_xll.IMDP("BND",AL40,AV8,AL3)</f>
        <v>입력오류</v>
      </c>
      <c r="AW40" s="2"/>
      <c r="BG40" s="21" t="str">
        <f ca="1">_xll.IMDP("BND",AX40,BG8,AX3)</f>
        <v>입력오류</v>
      </c>
      <c r="BH40" s="23" t="str">
        <f ca="1">_xll.IMDP("BND",AX40,BH8,AX3)</f>
        <v>입력오류</v>
      </c>
      <c r="BI40" s="2">
        <v>46198</v>
      </c>
      <c r="BJ40" s="3" t="s">
        <v>187</v>
      </c>
      <c r="BK40" s="3" t="s">
        <v>188</v>
      </c>
      <c r="BL40" s="3" t="s">
        <v>189</v>
      </c>
      <c r="BM40" s="3">
        <v>0</v>
      </c>
      <c r="BN40" s="3">
        <v>0.61</v>
      </c>
      <c r="BO40" s="3">
        <v>0</v>
      </c>
      <c r="BP40" s="3">
        <v>766660</v>
      </c>
      <c r="BQ40" s="3">
        <v>9996.9599999999991</v>
      </c>
      <c r="BR40" s="3">
        <v>2.6456</v>
      </c>
      <c r="BS40" s="21">
        <f ca="1">_xll.IMDP("BND",BJ40,BS8,BJ3)</f>
        <v>20290427</v>
      </c>
      <c r="BT40" s="23">
        <f ca="1">_xll.IMDP("BND",BJ40,BT8,BJ3)</f>
        <v>4.3849999999999998</v>
      </c>
      <c r="BU40" s="2">
        <v>46198</v>
      </c>
      <c r="BV40" s="3" t="s">
        <v>1028</v>
      </c>
      <c r="BW40" s="3" t="s">
        <v>1029</v>
      </c>
      <c r="BX40" s="3" t="s">
        <v>1030</v>
      </c>
      <c r="BY40" s="3">
        <v>0</v>
      </c>
      <c r="BZ40" s="3">
        <v>0.7</v>
      </c>
      <c r="CA40" s="3">
        <v>0</v>
      </c>
      <c r="CB40" s="3">
        <v>941147</v>
      </c>
      <c r="CC40" s="3">
        <v>10088.16</v>
      </c>
      <c r="CD40" s="3">
        <v>3.5999999999999999E-3</v>
      </c>
      <c r="CE40" s="21">
        <f ca="1">_xll.IMDP("BND",BV40,CE8,BV3)</f>
        <v>20260626</v>
      </c>
      <c r="CF40" s="23">
        <f ca="1">_xll.IMDP("BND",BV40,CF8,BV3)</f>
        <v>3.1190000000000002</v>
      </c>
      <c r="CG40" s="2">
        <v>46198</v>
      </c>
      <c r="CH40" s="3" t="s">
        <v>676</v>
      </c>
      <c r="CI40" s="3" t="s">
        <v>677</v>
      </c>
      <c r="CJ40" s="3" t="s">
        <v>678</v>
      </c>
      <c r="CK40" s="3">
        <v>0</v>
      </c>
      <c r="CL40" s="3">
        <v>1.48</v>
      </c>
      <c r="CM40" s="3">
        <v>0</v>
      </c>
      <c r="CN40" s="3">
        <v>1509008</v>
      </c>
      <c r="CO40" s="3">
        <v>9980.3700000000008</v>
      </c>
      <c r="CP40" s="3">
        <v>1.3286</v>
      </c>
      <c r="CQ40" s="21">
        <f ca="1">_xll.IMDP("BND",CH40,CQ8,CH3)</f>
        <v>20271108</v>
      </c>
      <c r="CR40" s="23">
        <f ca="1">_xll.IMDP("BND",CH40,CR8,CH3)</f>
        <v>4.3769999999999998</v>
      </c>
      <c r="CS40" s="2">
        <v>46198</v>
      </c>
      <c r="CT40" s="3" t="s">
        <v>28</v>
      </c>
      <c r="CU40" s="3" t="s">
        <v>29</v>
      </c>
      <c r="CV40" s="3" t="s">
        <v>205</v>
      </c>
      <c r="CW40" s="3">
        <v>0</v>
      </c>
      <c r="CX40" s="3">
        <v>0.59</v>
      </c>
      <c r="CY40" s="3">
        <v>0</v>
      </c>
      <c r="CZ40" s="3">
        <v>855519</v>
      </c>
      <c r="DA40" s="3">
        <v>9299.98</v>
      </c>
      <c r="DB40" s="3">
        <v>7.9861000000000004</v>
      </c>
      <c r="DC40" s="21">
        <f ca="1">_xll.IMDP("BND",CT40,DC8,CT3)</f>
        <v>20351210</v>
      </c>
      <c r="DD40" s="23">
        <f ca="1">_xll.IMDP("BND",CT40,DD8,CT3)</f>
        <v>4.17</v>
      </c>
      <c r="DE40" s="2"/>
      <c r="DO40" s="21" t="str">
        <f ca="1">_xll.IMDP("BND",DF40,DO8,DF3)</f>
        <v>입력오류</v>
      </c>
      <c r="DP40" s="23" t="str">
        <f ca="1">_xll.IMDP("BND",DF40,DP8,DF3)</f>
        <v>입력오류</v>
      </c>
      <c r="DQ40" s="2">
        <v>46198</v>
      </c>
      <c r="DR40" s="3" t="s">
        <v>1260</v>
      </c>
      <c r="DS40" s="3" t="s">
        <v>1261</v>
      </c>
      <c r="DT40" s="3" t="s">
        <v>1262</v>
      </c>
      <c r="DU40" s="3">
        <v>0</v>
      </c>
      <c r="DV40" s="3">
        <v>0.89</v>
      </c>
      <c r="DW40" s="3">
        <v>0</v>
      </c>
      <c r="DX40" s="3">
        <v>2054724</v>
      </c>
      <c r="DY40" s="3">
        <v>9864.44</v>
      </c>
      <c r="DZ40" s="3">
        <v>1.6104000000000001</v>
      </c>
      <c r="EA40" s="21">
        <f ca="1">_xll.IMDP("BND",DR40,EA8,DR3)</f>
        <v>20280225</v>
      </c>
      <c r="EB40" s="23">
        <f ca="1">_xll.IMDP("BND",DR40,EB8,DR3)</f>
        <v>4.2690000000000001</v>
      </c>
    </row>
    <row r="41" spans="1:132" ht="13.5" customHeight="1" x14ac:dyDescent="0.3">
      <c r="A41" s="2">
        <v>46198</v>
      </c>
      <c r="B41" s="3" t="s">
        <v>772</v>
      </c>
      <c r="C41" s="3" t="s">
        <v>773</v>
      </c>
      <c r="D41" s="3" t="s">
        <v>774</v>
      </c>
      <c r="E41" s="3">
        <v>0</v>
      </c>
      <c r="F41" s="3">
        <v>0.48</v>
      </c>
      <c r="G41" s="3">
        <v>0</v>
      </c>
      <c r="H41" s="3">
        <v>531558</v>
      </c>
      <c r="I41" s="3">
        <v>10009.25</v>
      </c>
      <c r="J41" s="3">
        <v>0.86119999999999997</v>
      </c>
      <c r="K41" s="21">
        <f ca="1">_xll.IMDP("BND",B41,K8,B3)</f>
        <v>20270512</v>
      </c>
      <c r="L41" s="23">
        <f ca="1">_xll.IMDP("BND",B41,L8,B3)</f>
        <v>3.5920000000000001</v>
      </c>
      <c r="M41" s="2">
        <v>46198</v>
      </c>
      <c r="N41" s="3" t="s">
        <v>119</v>
      </c>
      <c r="O41" s="3" t="s">
        <v>29</v>
      </c>
      <c r="P41" s="3" t="s">
        <v>120</v>
      </c>
      <c r="Q41" s="3">
        <v>0</v>
      </c>
      <c r="R41" s="3">
        <v>0.57999999999999996</v>
      </c>
      <c r="S41" s="3">
        <v>0</v>
      </c>
      <c r="T41" s="3">
        <v>673096</v>
      </c>
      <c r="U41" s="3">
        <v>7199.4</v>
      </c>
      <c r="V41" s="3">
        <v>17.1205</v>
      </c>
      <c r="W41" s="21">
        <f ca="1">_xll.IMDP("BND",N41,W8,N3)</f>
        <v>20520310</v>
      </c>
      <c r="X41" s="23">
        <f ca="1">_xll.IMDP("BND",N41,X8,N3)</f>
        <v>4.3710000000000004</v>
      </c>
      <c r="Y41" s="2"/>
      <c r="AI41" s="21" t="str">
        <f ca="1">_xll.IMDP("BND",Z41,AI8,Z3)</f>
        <v>입력오류</v>
      </c>
      <c r="AJ41" s="23" t="str">
        <f ca="1">_xll.IMDP("BND",Z41,AJ8,Z3)</f>
        <v>입력오류</v>
      </c>
      <c r="AK41" s="2"/>
      <c r="AU41" s="21" t="str">
        <f ca="1">_xll.IMDP("BND",AL41,AU8,AL3)</f>
        <v>입력오류</v>
      </c>
      <c r="AV41" s="23" t="str">
        <f ca="1">_xll.IMDP("BND",AL41,AV8,AL3)</f>
        <v>입력오류</v>
      </c>
      <c r="AW41" s="2"/>
      <c r="BG41" s="21" t="str">
        <f ca="1">_xll.IMDP("BND",AX41,BG8,AX3)</f>
        <v>입력오류</v>
      </c>
      <c r="BH41" s="23" t="str">
        <f ca="1">_xll.IMDP("BND",AX41,BH8,AX3)</f>
        <v>입력오류</v>
      </c>
      <c r="BI41" s="2">
        <v>46198</v>
      </c>
      <c r="BJ41" s="3" t="s">
        <v>309</v>
      </c>
      <c r="BK41" s="3" t="s">
        <v>310</v>
      </c>
      <c r="BL41" s="3" t="s">
        <v>311</v>
      </c>
      <c r="BM41" s="3">
        <v>0</v>
      </c>
      <c r="BN41" s="3">
        <v>0.61</v>
      </c>
      <c r="BO41" s="3">
        <v>0</v>
      </c>
      <c r="BP41" s="3">
        <v>766370</v>
      </c>
      <c r="BQ41" s="3">
        <v>9994.14</v>
      </c>
      <c r="BR41" s="3">
        <v>2.7690999999999999</v>
      </c>
      <c r="BS41" s="21">
        <f ca="1">_xll.IMDP("BND",BJ41,BS8,BJ3)</f>
        <v>20290615</v>
      </c>
      <c r="BT41" s="23">
        <f ca="1">_xll.IMDP("BND",BJ41,BT8,BJ3)</f>
        <v>4.1669999999999998</v>
      </c>
      <c r="BU41" s="2">
        <v>46198</v>
      </c>
      <c r="BV41" s="3" t="s">
        <v>1037</v>
      </c>
      <c r="BW41" s="3" t="s">
        <v>1038</v>
      </c>
      <c r="BX41" s="3" t="s">
        <v>1039</v>
      </c>
      <c r="BY41" s="3">
        <v>0</v>
      </c>
      <c r="BZ41" s="3">
        <v>0.7</v>
      </c>
      <c r="CA41" s="3">
        <v>0</v>
      </c>
      <c r="CB41" s="3">
        <v>941077</v>
      </c>
      <c r="CC41" s="3">
        <v>10087.41</v>
      </c>
      <c r="CD41" s="3">
        <v>3.5999999999999999E-3</v>
      </c>
      <c r="CE41" s="21">
        <f ca="1">_xll.IMDP("BND",BV41,CE8,BV3)</f>
        <v>20260626</v>
      </c>
      <c r="CF41" s="23">
        <f ca="1">_xll.IMDP("BND",BV41,CF8,BV3)</f>
        <v>3.1030000000000002</v>
      </c>
      <c r="CG41" s="2">
        <v>46198</v>
      </c>
      <c r="CH41" s="3" t="s">
        <v>679</v>
      </c>
      <c r="CI41" s="3" t="s">
        <v>680</v>
      </c>
      <c r="CJ41" s="3" t="s">
        <v>681</v>
      </c>
      <c r="CK41" s="3">
        <v>0</v>
      </c>
      <c r="CL41" s="3">
        <v>1.47</v>
      </c>
      <c r="CM41" s="3">
        <v>0</v>
      </c>
      <c r="CN41" s="3">
        <v>1500024</v>
      </c>
      <c r="CO41" s="3">
        <v>9922.69</v>
      </c>
      <c r="CP41" s="3">
        <v>1.5384</v>
      </c>
      <c r="CQ41" s="21">
        <f ca="1">_xll.IMDP("BND",CH41,CQ8,CH3)</f>
        <v>20280131</v>
      </c>
      <c r="CR41" s="23">
        <f ca="1">_xll.IMDP("BND",CH41,CR8,CH3)</f>
        <v>4.3419999999999996</v>
      </c>
      <c r="CS41" s="2">
        <v>46198</v>
      </c>
      <c r="CT41" s="3" t="s">
        <v>40</v>
      </c>
      <c r="CU41" s="3" t="s">
        <v>29</v>
      </c>
      <c r="CV41" s="3" t="s">
        <v>206</v>
      </c>
      <c r="CW41" s="3">
        <v>0</v>
      </c>
      <c r="CX41" s="3">
        <v>0.59</v>
      </c>
      <c r="CY41" s="3">
        <v>0</v>
      </c>
      <c r="CZ41" s="3">
        <v>853736</v>
      </c>
      <c r="DA41" s="3">
        <v>10096.75</v>
      </c>
      <c r="DB41" s="3">
        <v>5.5978000000000003</v>
      </c>
      <c r="DC41" s="21">
        <f ca="1">_xll.IMDP("BND",CT41,DC8,CT3)</f>
        <v>20321210</v>
      </c>
      <c r="DD41" s="23">
        <f ca="1">_xll.IMDP("BND",CT41,DD8,CT3)</f>
        <v>4.1079999999999997</v>
      </c>
      <c r="DE41" s="2"/>
      <c r="DO41" s="21" t="str">
        <f ca="1">_xll.IMDP("BND",DF41,DO8,DF3)</f>
        <v>입력오류</v>
      </c>
      <c r="DP41" s="23" t="str">
        <f ca="1">_xll.IMDP("BND",DF41,DP8,DF3)</f>
        <v>입력오류</v>
      </c>
      <c r="DQ41" s="2">
        <v>46198</v>
      </c>
      <c r="DR41" s="3" t="s">
        <v>1263</v>
      </c>
      <c r="DS41" s="3" t="s">
        <v>235</v>
      </c>
      <c r="DT41" s="3" t="s">
        <v>1264</v>
      </c>
      <c r="DU41" s="3">
        <v>0</v>
      </c>
      <c r="DV41" s="3">
        <v>0.89</v>
      </c>
      <c r="DW41" s="3">
        <v>0</v>
      </c>
      <c r="DX41" s="3">
        <v>2047746</v>
      </c>
      <c r="DY41" s="3">
        <v>9830.7099999999991</v>
      </c>
      <c r="DZ41" s="3">
        <v>1.6484000000000001</v>
      </c>
      <c r="EA41" s="21">
        <f ca="1">_xll.IMDP("BND",DR41,EA8,DR3)</f>
        <v>20280310</v>
      </c>
      <c r="EB41" s="23">
        <f ca="1">_xll.IMDP("BND",DR41,EB8,DR3)</f>
        <v>4.4429999999999996</v>
      </c>
    </row>
    <row r="42" spans="1:132" ht="13.5" customHeight="1" x14ac:dyDescent="0.3">
      <c r="A42" s="2">
        <v>46198</v>
      </c>
      <c r="B42" s="3" t="s">
        <v>775</v>
      </c>
      <c r="C42" s="3" t="s">
        <v>776</v>
      </c>
      <c r="D42" s="3" t="s">
        <v>777</v>
      </c>
      <c r="E42" s="3">
        <v>0</v>
      </c>
      <c r="F42" s="3">
        <v>0.48</v>
      </c>
      <c r="G42" s="3">
        <v>0</v>
      </c>
      <c r="H42" s="3">
        <v>531534</v>
      </c>
      <c r="I42" s="3">
        <v>10007.950000000001</v>
      </c>
      <c r="J42" s="3">
        <v>1.0504</v>
      </c>
      <c r="K42" s="21">
        <f ca="1">_xll.IMDP("BND",B42,K8,B3)</f>
        <v>20270724</v>
      </c>
      <c r="L42" s="23">
        <f ca="1">_xll.IMDP("BND",B42,L8,B3)</f>
        <v>3.7389999999999999</v>
      </c>
      <c r="M42" s="2">
        <v>46198</v>
      </c>
      <c r="N42" s="3" t="s">
        <v>121</v>
      </c>
      <c r="O42" s="3" t="s">
        <v>122</v>
      </c>
      <c r="P42" s="3" t="s">
        <v>123</v>
      </c>
      <c r="Q42" s="3">
        <v>0</v>
      </c>
      <c r="R42" s="3">
        <v>0.52</v>
      </c>
      <c r="S42" s="3">
        <v>0</v>
      </c>
      <c r="T42" s="3">
        <v>601585</v>
      </c>
      <c r="U42" s="3">
        <v>9648.7800000000007</v>
      </c>
      <c r="V42" s="3">
        <v>2.1204999999999998</v>
      </c>
      <c r="W42" s="21">
        <f ca="1">_xll.IMDP("BND",N42,W8,N3)</f>
        <v>20280906</v>
      </c>
      <c r="X42" s="23">
        <f ca="1">_xll.IMDP("BND",N42,X8,N3)</f>
        <v>4.2910000000000004</v>
      </c>
      <c r="Y42" s="2"/>
      <c r="AI42" s="21" t="str">
        <f ca="1">_xll.IMDP("BND",Z42,AI8,Z3)</f>
        <v>입력오류</v>
      </c>
      <c r="AJ42" s="23" t="str">
        <f ca="1">_xll.IMDP("BND",Z42,AJ8,Z3)</f>
        <v>입력오류</v>
      </c>
      <c r="AK42" s="2"/>
      <c r="AU42" s="21" t="str">
        <f ca="1">_xll.IMDP("BND",AL42,AU8,AL3)</f>
        <v>입력오류</v>
      </c>
      <c r="AV42" s="23" t="str">
        <f ca="1">_xll.IMDP("BND",AL42,AV8,AL3)</f>
        <v>입력오류</v>
      </c>
      <c r="AW42" s="2"/>
      <c r="BG42" s="21" t="str">
        <f ca="1">_xll.IMDP("BND",AX42,BG8,AX3)</f>
        <v>입력오류</v>
      </c>
      <c r="BH42" s="23" t="str">
        <f ca="1">_xll.IMDP("BND",AX42,BH8,AX3)</f>
        <v>입력오류</v>
      </c>
      <c r="BI42" s="2">
        <v>46198</v>
      </c>
      <c r="BJ42" s="3" t="s">
        <v>428</v>
      </c>
      <c r="BK42" s="3" t="s">
        <v>429</v>
      </c>
      <c r="BL42" s="3" t="s">
        <v>430</v>
      </c>
      <c r="BM42" s="3">
        <v>0</v>
      </c>
      <c r="BN42" s="3">
        <v>0.61</v>
      </c>
      <c r="BO42" s="3">
        <v>0</v>
      </c>
      <c r="BP42" s="3">
        <v>766006</v>
      </c>
      <c r="BQ42" s="3">
        <v>9986.91</v>
      </c>
      <c r="BR42" s="3">
        <v>2.6644999999999999</v>
      </c>
      <c r="BS42" s="21">
        <f ca="1">_xll.IMDP("BND",BJ42,BS8,BJ3)</f>
        <v>20290430</v>
      </c>
      <c r="BT42" s="23">
        <f ca="1">_xll.IMDP("BND",BJ42,BT8,BJ3)</f>
        <v>4.1879999999999997</v>
      </c>
      <c r="BU42" s="2">
        <v>46198</v>
      </c>
      <c r="BV42" s="3" t="s">
        <v>1031</v>
      </c>
      <c r="BW42" s="3" t="s">
        <v>1032</v>
      </c>
      <c r="BX42" s="3" t="s">
        <v>1033</v>
      </c>
      <c r="BY42" s="3">
        <v>0</v>
      </c>
      <c r="BZ42" s="3">
        <v>0.7</v>
      </c>
      <c r="CA42" s="3">
        <v>0</v>
      </c>
      <c r="CB42" s="3">
        <v>941068</v>
      </c>
      <c r="CC42" s="3">
        <v>10002.89</v>
      </c>
      <c r="CD42" s="3">
        <v>0.24410000000000001</v>
      </c>
      <c r="CE42" s="21">
        <f ca="1">_xll.IMDP("BND",BV42,CE8,BV3)</f>
        <v>20260923</v>
      </c>
      <c r="CF42" s="23">
        <f ca="1">_xll.IMDP("BND",BV42,CF8,BV3)</f>
        <v>3.2549999999999999</v>
      </c>
      <c r="CG42" s="2">
        <v>46198</v>
      </c>
      <c r="CH42" s="3" t="s">
        <v>682</v>
      </c>
      <c r="CI42" s="3" t="s">
        <v>683</v>
      </c>
      <c r="CJ42" s="3" t="s">
        <v>684</v>
      </c>
      <c r="CK42" s="3">
        <v>0</v>
      </c>
      <c r="CL42" s="3">
        <v>1.24</v>
      </c>
      <c r="CM42" s="3">
        <v>0</v>
      </c>
      <c r="CN42" s="3">
        <v>1263108</v>
      </c>
      <c r="CO42" s="3">
        <v>10026.959999999999</v>
      </c>
      <c r="CP42" s="3">
        <v>0.63839999999999997</v>
      </c>
      <c r="CQ42" s="21">
        <f ca="1">_xll.IMDP("BND",CH42,CQ8,CH3)</f>
        <v>20270218</v>
      </c>
      <c r="CR42" s="23">
        <f ca="1">_xll.IMDP("BND",CH42,CR8,CH3)</f>
        <v>4.3739999999999997</v>
      </c>
      <c r="CS42" s="2">
        <v>46198</v>
      </c>
      <c r="CT42" s="3" t="s">
        <v>207</v>
      </c>
      <c r="CU42" s="3" t="s">
        <v>208</v>
      </c>
      <c r="CV42" s="3" t="s">
        <v>209</v>
      </c>
      <c r="CW42" s="3">
        <v>0</v>
      </c>
      <c r="CX42" s="3">
        <v>0.55000000000000004</v>
      </c>
      <c r="CY42" s="3">
        <v>0</v>
      </c>
      <c r="CZ42" s="3">
        <v>793623</v>
      </c>
      <c r="DA42" s="3">
        <v>8490.7800000000007</v>
      </c>
      <c r="DB42" s="3">
        <v>12.4762</v>
      </c>
      <c r="DC42" s="21">
        <f ca="1">_xll.IMDP("BND",CT42,DC8,CT3)</f>
        <v>20421210</v>
      </c>
      <c r="DD42" s="23">
        <f ca="1">_xll.IMDP("BND",CT42,DD8,CT3)</f>
        <v>4.2990000000000004</v>
      </c>
      <c r="DE42" s="2"/>
      <c r="DO42" s="21" t="str">
        <f ca="1">_xll.IMDP("BND",DF42,DO8,DF3)</f>
        <v>입력오류</v>
      </c>
      <c r="DP42" s="23" t="str">
        <f ca="1">_xll.IMDP("BND",DF42,DP8,DF3)</f>
        <v>입력오류</v>
      </c>
      <c r="DQ42" s="2">
        <v>46198</v>
      </c>
      <c r="DR42" s="3" t="s">
        <v>1265</v>
      </c>
      <c r="DS42" s="3" t="s">
        <v>502</v>
      </c>
      <c r="DT42" s="3" t="s">
        <v>1266</v>
      </c>
      <c r="DU42" s="3">
        <v>0</v>
      </c>
      <c r="DV42" s="3">
        <v>0.89</v>
      </c>
      <c r="DW42" s="3">
        <v>0</v>
      </c>
      <c r="DX42" s="3">
        <v>2045765</v>
      </c>
      <c r="DY42" s="3">
        <v>9821.5</v>
      </c>
      <c r="DZ42" s="3">
        <v>1.5718000000000001</v>
      </c>
      <c r="EA42" s="21">
        <f ca="1">_xll.IMDP("BND",DR42,EA8,DR3)</f>
        <v>20280211</v>
      </c>
      <c r="EB42" s="23">
        <f ca="1">_xll.IMDP("BND",DR42,EB8,DR3)</f>
        <v>4.5990000000000002</v>
      </c>
    </row>
    <row r="43" spans="1:132" ht="13.5" customHeight="1" x14ac:dyDescent="0.3">
      <c r="A43" s="2">
        <v>46198</v>
      </c>
      <c r="B43" s="3" t="s">
        <v>778</v>
      </c>
      <c r="C43" s="3" t="s">
        <v>779</v>
      </c>
      <c r="D43" s="3" t="s">
        <v>780</v>
      </c>
      <c r="E43" s="3">
        <v>0</v>
      </c>
      <c r="F43" s="3">
        <v>0.48</v>
      </c>
      <c r="G43" s="3">
        <v>0</v>
      </c>
      <c r="H43" s="3">
        <v>530795</v>
      </c>
      <c r="I43" s="3">
        <v>9994.4500000000007</v>
      </c>
      <c r="J43" s="3">
        <v>4.3930999999999996</v>
      </c>
      <c r="K43" s="21">
        <f ca="1">_xll.IMDP("BND",B43,K8,B3)</f>
        <v>20310519</v>
      </c>
      <c r="L43" s="23">
        <f ca="1">_xll.IMDP("BND",B43,L8,B3)</f>
        <v>4.2649999999999997</v>
      </c>
      <c r="M43" s="2">
        <v>46198</v>
      </c>
      <c r="N43" s="3" t="s">
        <v>42</v>
      </c>
      <c r="O43" s="3" t="s">
        <v>29</v>
      </c>
      <c r="P43" s="3" t="s">
        <v>43</v>
      </c>
      <c r="Q43" s="3">
        <v>0</v>
      </c>
      <c r="R43" s="3">
        <v>0.51</v>
      </c>
      <c r="S43" s="3">
        <v>0</v>
      </c>
      <c r="T43" s="3">
        <v>591545</v>
      </c>
      <c r="U43" s="3">
        <v>9488.39</v>
      </c>
      <c r="V43" s="3">
        <v>6.1288999999999998</v>
      </c>
      <c r="W43" s="21">
        <f ca="1">_xll.IMDP("BND",N43,W8,N3)</f>
        <v>20330610</v>
      </c>
      <c r="X43" s="23">
        <f ca="1">_xll.IMDP("BND",N43,X8,N3)</f>
        <v>4.125</v>
      </c>
      <c r="Y43" s="2"/>
      <c r="AI43" s="21" t="str">
        <f ca="1">_xll.IMDP("BND",Z43,AI8,Z3)</f>
        <v>입력오류</v>
      </c>
      <c r="AJ43" s="23" t="str">
        <f ca="1">_xll.IMDP("BND",Z43,AJ8,Z3)</f>
        <v>입력오류</v>
      </c>
      <c r="AK43" s="2"/>
      <c r="AU43" s="21" t="str">
        <f ca="1">_xll.IMDP("BND",AL43,AU8,AL3)</f>
        <v>입력오류</v>
      </c>
      <c r="AV43" s="23" t="str">
        <f ca="1">_xll.IMDP("BND",AL43,AV8,AL3)</f>
        <v>입력오류</v>
      </c>
      <c r="AW43" s="2"/>
      <c r="BG43" s="21" t="str">
        <f ca="1">_xll.IMDP("BND",AX43,BG8,AX3)</f>
        <v>입력오류</v>
      </c>
      <c r="BH43" s="23" t="str">
        <f ca="1">_xll.IMDP("BND",AX43,BH8,AX3)</f>
        <v>입력오류</v>
      </c>
      <c r="BI43" s="2">
        <v>46198</v>
      </c>
      <c r="BJ43" s="3" t="s">
        <v>431</v>
      </c>
      <c r="BK43" s="3" t="s">
        <v>432</v>
      </c>
      <c r="BL43" s="3" t="s">
        <v>433</v>
      </c>
      <c r="BM43" s="3">
        <v>0</v>
      </c>
      <c r="BN43" s="3">
        <v>0.61</v>
      </c>
      <c r="BO43" s="3">
        <v>0</v>
      </c>
      <c r="BP43" s="3">
        <v>766000</v>
      </c>
      <c r="BQ43" s="3">
        <v>9988.3700000000008</v>
      </c>
      <c r="BR43" s="3">
        <v>2.6816</v>
      </c>
      <c r="BS43" s="21">
        <f ca="1">_xll.IMDP("BND",BJ43,BS8,BJ3)</f>
        <v>20290511</v>
      </c>
      <c r="BT43" s="23">
        <f ca="1">_xll.IMDP("BND",BJ43,BT8,BJ3)</f>
        <v>4.391</v>
      </c>
      <c r="BU43" s="2">
        <v>46198</v>
      </c>
      <c r="BV43" s="3" t="s">
        <v>1034</v>
      </c>
      <c r="BW43" s="3" t="s">
        <v>1035</v>
      </c>
      <c r="BX43" s="3" t="s">
        <v>1036</v>
      </c>
      <c r="BY43" s="3">
        <v>0</v>
      </c>
      <c r="BZ43" s="3">
        <v>0.7</v>
      </c>
      <c r="CA43" s="3">
        <v>0</v>
      </c>
      <c r="CB43" s="3">
        <v>941047</v>
      </c>
      <c r="CC43" s="3">
        <v>10086.98</v>
      </c>
      <c r="CD43" s="3">
        <v>0.24340000000000001</v>
      </c>
      <c r="CE43" s="21">
        <f ca="1">_xll.IMDP("BND",BV43,CE8,BV3)</f>
        <v>20260923</v>
      </c>
      <c r="CF43" s="23">
        <f ca="1">_xll.IMDP("BND",BV43,CF8,BV3)</f>
        <v>3.2679999999999998</v>
      </c>
      <c r="CG43" s="2">
        <v>46198</v>
      </c>
      <c r="CH43" s="3" t="s">
        <v>685</v>
      </c>
      <c r="CI43" s="3" t="s">
        <v>686</v>
      </c>
      <c r="CJ43" s="3" t="s">
        <v>687</v>
      </c>
      <c r="CK43" s="3">
        <v>0</v>
      </c>
      <c r="CL43" s="3">
        <v>1.24</v>
      </c>
      <c r="CM43" s="3">
        <v>0</v>
      </c>
      <c r="CN43" s="3">
        <v>1262131</v>
      </c>
      <c r="CO43" s="3">
        <v>10018.23</v>
      </c>
      <c r="CP43" s="3">
        <v>1.1112</v>
      </c>
      <c r="CQ43" s="21">
        <f ca="1">_xll.IMDP("BND",CH43,CQ8,CH3)</f>
        <v>20270820</v>
      </c>
      <c r="CR43" s="23">
        <f ca="1">_xll.IMDP("BND",CH43,CR8,CH3)</f>
        <v>5.0750000000000002</v>
      </c>
      <c r="CS43" s="2">
        <v>46198</v>
      </c>
      <c r="CT43" s="3" t="s">
        <v>210</v>
      </c>
      <c r="CU43" s="3" t="s">
        <v>29</v>
      </c>
      <c r="CV43" s="3" t="s">
        <v>211</v>
      </c>
      <c r="CW43" s="3">
        <v>0</v>
      </c>
      <c r="CX43" s="3">
        <v>0.55000000000000004</v>
      </c>
      <c r="CY43" s="3">
        <v>0</v>
      </c>
      <c r="CZ43" s="3">
        <v>788472</v>
      </c>
      <c r="DA43" s="3">
        <v>7246.18</v>
      </c>
      <c r="DB43" s="3">
        <v>18.180700000000002</v>
      </c>
      <c r="DC43" s="21">
        <f ca="1">_xll.IMDP("BND",CT43,DC8,CT3)</f>
        <v>20550910</v>
      </c>
      <c r="DD43" s="23">
        <f ca="1">_xll.IMDP("BND",CT43,DD8,CT3)</f>
        <v>4.3440000000000003</v>
      </c>
      <c r="DE43" s="2"/>
      <c r="DO43" s="21" t="str">
        <f ca="1">_xll.IMDP("BND",DF43,DO8,DF3)</f>
        <v>입력오류</v>
      </c>
      <c r="DP43" s="23" t="str">
        <f ca="1">_xll.IMDP("BND",DF43,DP8,DF3)</f>
        <v>입력오류</v>
      </c>
      <c r="DQ43" s="2">
        <v>46198</v>
      </c>
      <c r="DR43" s="3" t="s">
        <v>1267</v>
      </c>
      <c r="DS43" s="3" t="s">
        <v>1268</v>
      </c>
      <c r="DT43" s="3" t="s">
        <v>1269</v>
      </c>
      <c r="DU43" s="3">
        <v>0</v>
      </c>
      <c r="DV43" s="3">
        <v>0.89</v>
      </c>
      <c r="DW43" s="3">
        <v>0</v>
      </c>
      <c r="DX43" s="3">
        <v>2043792</v>
      </c>
      <c r="DY43" s="3">
        <v>9812.61</v>
      </c>
      <c r="DZ43" s="3">
        <v>1.1792</v>
      </c>
      <c r="EA43" s="21">
        <f ca="1">_xll.IMDP("BND",DR43,EA8,DR3)</f>
        <v>20270909</v>
      </c>
      <c r="EB43" s="23">
        <f ca="1">_xll.IMDP("BND",DR43,EB8,DR3)</f>
        <v>4.2779999999999996</v>
      </c>
    </row>
    <row r="44" spans="1:132" ht="13.5" customHeight="1" x14ac:dyDescent="0.3">
      <c r="A44" s="2">
        <v>46198</v>
      </c>
      <c r="B44" s="3" t="s">
        <v>781</v>
      </c>
      <c r="C44" s="3" t="s">
        <v>319</v>
      </c>
      <c r="D44" s="3" t="s">
        <v>782</v>
      </c>
      <c r="E44" s="3">
        <v>0</v>
      </c>
      <c r="F44" s="3">
        <v>0.48</v>
      </c>
      <c r="G44" s="3">
        <v>0</v>
      </c>
      <c r="H44" s="3">
        <v>530599</v>
      </c>
      <c r="I44" s="3">
        <v>9995.74</v>
      </c>
      <c r="J44" s="3">
        <v>8.0210000000000008</v>
      </c>
      <c r="K44" s="21">
        <f ca="1">_xll.IMDP("BND",B44,K8,B3)</f>
        <v>20360616</v>
      </c>
      <c r="L44" s="23">
        <f ca="1">_xll.IMDP("BND",B44,L8,B3)</f>
        <v>4.3550000000000004</v>
      </c>
      <c r="M44" s="2">
        <v>46198</v>
      </c>
      <c r="N44" s="3" t="s">
        <v>124</v>
      </c>
      <c r="O44" s="3" t="s">
        <v>29</v>
      </c>
      <c r="P44" s="3" t="s">
        <v>125</v>
      </c>
      <c r="Q44" s="3">
        <v>0</v>
      </c>
      <c r="R44" s="3">
        <v>0.49</v>
      </c>
      <c r="S44" s="3">
        <v>0</v>
      </c>
      <c r="T44" s="3">
        <v>572646</v>
      </c>
      <c r="U44" s="3">
        <v>9185.3799999999992</v>
      </c>
      <c r="V44" s="3">
        <v>5.0297999999999998</v>
      </c>
      <c r="W44" s="21">
        <f ca="1">_xll.IMDP("BND",N44,W8,N3)</f>
        <v>20311210</v>
      </c>
      <c r="X44" s="23">
        <f ca="1">_xll.IMDP("BND",N44,X8,N3)</f>
        <v>4.0739999999999998</v>
      </c>
      <c r="Y44" s="2"/>
      <c r="AI44" s="21" t="str">
        <f ca="1">_xll.IMDP("BND",Z44,AI8,Z3)</f>
        <v>입력오류</v>
      </c>
      <c r="AJ44" s="23" t="str">
        <f ca="1">_xll.IMDP("BND",Z44,AJ8,Z3)</f>
        <v>입력오류</v>
      </c>
      <c r="AK44" s="2"/>
      <c r="AU44" s="21" t="str">
        <f ca="1">_xll.IMDP("BND",AL44,AU8,AL3)</f>
        <v>입력오류</v>
      </c>
      <c r="AV44" s="23" t="str">
        <f ca="1">_xll.IMDP("BND",AL44,AV8,AL3)</f>
        <v>입력오류</v>
      </c>
      <c r="AW44" s="2"/>
      <c r="BG44" s="21" t="str">
        <f ca="1">_xll.IMDP("BND",AX44,BG8,AX3)</f>
        <v>입력오류</v>
      </c>
      <c r="BH44" s="23" t="str">
        <f ca="1">_xll.IMDP("BND",AX44,BH8,AX3)</f>
        <v>입력오류</v>
      </c>
      <c r="BI44" s="2">
        <v>46198</v>
      </c>
      <c r="BJ44" s="3" t="s">
        <v>434</v>
      </c>
      <c r="BK44" s="3" t="s">
        <v>435</v>
      </c>
      <c r="BL44" s="3" t="s">
        <v>436</v>
      </c>
      <c r="BM44" s="3">
        <v>0</v>
      </c>
      <c r="BN44" s="3">
        <v>0.61</v>
      </c>
      <c r="BO44" s="3">
        <v>0</v>
      </c>
      <c r="BP44" s="3">
        <v>765946</v>
      </c>
      <c r="BQ44" s="3">
        <v>9987.76</v>
      </c>
      <c r="BR44" s="3">
        <v>2.6488</v>
      </c>
      <c r="BS44" s="21">
        <f ca="1">_xll.IMDP("BND",BJ44,BS8,BJ3)</f>
        <v>20290427</v>
      </c>
      <c r="BT44" s="23">
        <f ca="1">_xll.IMDP("BND",BJ44,BT8,BJ3)</f>
        <v>4.0739999999999998</v>
      </c>
      <c r="BU44" s="2">
        <v>46198</v>
      </c>
      <c r="BV44" s="3" t="s">
        <v>1040</v>
      </c>
      <c r="BW44" s="3" t="s">
        <v>578</v>
      </c>
      <c r="BX44" s="3" t="s">
        <v>1041</v>
      </c>
      <c r="BY44" s="3">
        <v>0</v>
      </c>
      <c r="BZ44" s="3">
        <v>0.7</v>
      </c>
      <c r="CA44" s="3">
        <v>0</v>
      </c>
      <c r="CB44" s="3">
        <v>940619</v>
      </c>
      <c r="CC44" s="3">
        <v>10082.379999999999</v>
      </c>
      <c r="CD44" s="3">
        <v>0.57030000000000003</v>
      </c>
      <c r="CE44" s="21">
        <f ca="1">_xll.IMDP("BND",BV44,CE8,BV3)</f>
        <v>20270124</v>
      </c>
      <c r="CF44" s="23">
        <f ca="1">_xll.IMDP("BND",BV44,CF8,BV3)</f>
        <v>3.319</v>
      </c>
      <c r="CG44" s="2">
        <v>46198</v>
      </c>
      <c r="CH44" s="3" t="s">
        <v>688</v>
      </c>
      <c r="CI44" s="3" t="s">
        <v>689</v>
      </c>
      <c r="CJ44" s="3" t="s">
        <v>690</v>
      </c>
      <c r="CK44" s="3">
        <v>0</v>
      </c>
      <c r="CL44" s="3">
        <v>1.23</v>
      </c>
      <c r="CM44" s="3">
        <v>0</v>
      </c>
      <c r="CN44" s="3">
        <v>1260309</v>
      </c>
      <c r="CO44" s="3">
        <v>10004.35</v>
      </c>
      <c r="CP44" s="3">
        <v>0.19819999999999999</v>
      </c>
      <c r="CQ44" s="21">
        <f ca="1">_xll.IMDP("BND",CH44,CQ8,CH3)</f>
        <v>20260906</v>
      </c>
      <c r="CR44" s="23">
        <f ca="1">_xll.IMDP("BND",CH44,CR8,CH3)</f>
        <v>3.1429999999999998</v>
      </c>
      <c r="CS44" s="2">
        <v>46198</v>
      </c>
      <c r="CT44" s="3" t="s">
        <v>213</v>
      </c>
      <c r="CU44" s="3" t="s">
        <v>29</v>
      </c>
      <c r="CV44" s="3" t="s">
        <v>214</v>
      </c>
      <c r="CW44" s="3">
        <v>0</v>
      </c>
      <c r="CX44" s="3">
        <v>0.46</v>
      </c>
      <c r="CY44" s="3">
        <v>0</v>
      </c>
      <c r="CZ44" s="3">
        <v>670236</v>
      </c>
      <c r="DA44" s="3">
        <v>6705.37</v>
      </c>
      <c r="DB44" s="3">
        <v>16.626200000000001</v>
      </c>
      <c r="DC44" s="21">
        <f ca="1">_xll.IMDP("BND",CT44,DC8,CT3)</f>
        <v>20490310</v>
      </c>
      <c r="DD44" s="23">
        <f ca="1">_xll.IMDP("BND",CT44,DD8,CT3)</f>
        <v>4.3339999999999996</v>
      </c>
      <c r="DE44" s="2"/>
      <c r="DO44" s="21" t="str">
        <f ca="1">_xll.IMDP("BND",DF44,DO8,DF3)</f>
        <v>입력오류</v>
      </c>
      <c r="DP44" s="23" t="str">
        <f ca="1">_xll.IMDP("BND",DF44,DP8,DF3)</f>
        <v>입력오류</v>
      </c>
      <c r="DQ44" s="2">
        <v>46198</v>
      </c>
      <c r="DR44" s="3" t="s">
        <v>1270</v>
      </c>
      <c r="DS44" s="3" t="s">
        <v>1271</v>
      </c>
      <c r="DT44" s="3" t="s">
        <v>1272</v>
      </c>
      <c r="DU44" s="3">
        <v>0</v>
      </c>
      <c r="DV44" s="3">
        <v>0.89</v>
      </c>
      <c r="DW44" s="3">
        <v>0</v>
      </c>
      <c r="DX44" s="3">
        <v>2042449</v>
      </c>
      <c r="DY44" s="3">
        <v>9818.1299999999992</v>
      </c>
      <c r="DZ44" s="3">
        <v>4.0172999999999996</v>
      </c>
      <c r="EA44" s="21">
        <f ca="1">_xll.IMDP("BND",DR44,EA8,DR3)</f>
        <v>20350312</v>
      </c>
      <c r="EB44" s="23">
        <f ca="1">_xll.IMDP("BND",DR44,EB8,DR3)</f>
        <v>4.4729999999999999</v>
      </c>
    </row>
    <row r="45" spans="1:132" ht="13.5" customHeight="1" x14ac:dyDescent="0.3">
      <c r="A45" s="2">
        <v>46198</v>
      </c>
      <c r="B45" s="3" t="s">
        <v>783</v>
      </c>
      <c r="C45" s="3" t="s">
        <v>784</v>
      </c>
      <c r="D45" s="3" t="s">
        <v>785</v>
      </c>
      <c r="E45" s="3">
        <v>0</v>
      </c>
      <c r="F45" s="3">
        <v>0.48</v>
      </c>
      <c r="G45" s="3">
        <v>0</v>
      </c>
      <c r="H45" s="3">
        <v>529074</v>
      </c>
      <c r="I45" s="3">
        <v>9962.73</v>
      </c>
      <c r="J45" s="3">
        <v>0.70330000000000004</v>
      </c>
      <c r="K45" s="21">
        <f ca="1">_xll.IMDP("BND",B45,K8,B3)</f>
        <v>20270312</v>
      </c>
      <c r="L45" s="23">
        <f ca="1">_xll.IMDP("BND",B45,L8,B3)</f>
        <v>3.5219999999999998</v>
      </c>
      <c r="M45" s="2">
        <v>46198</v>
      </c>
      <c r="N45" s="3" t="s">
        <v>126</v>
      </c>
      <c r="O45" s="3" t="s">
        <v>29</v>
      </c>
      <c r="P45" s="3" t="s">
        <v>127</v>
      </c>
      <c r="Q45" s="3">
        <v>0</v>
      </c>
      <c r="R45" s="3">
        <v>0.28999999999999998</v>
      </c>
      <c r="S45" s="3">
        <v>0</v>
      </c>
      <c r="T45" s="3">
        <v>339300</v>
      </c>
      <c r="U45" s="3">
        <v>9070.2099999999991</v>
      </c>
      <c r="V45" s="3">
        <v>3.7856999999999998</v>
      </c>
      <c r="W45" s="21">
        <f ca="1">_xll.IMDP("BND",N45,W8,N3)</f>
        <v>20300610</v>
      </c>
      <c r="X45" s="23">
        <f ca="1">_xll.IMDP("BND",N45,X8,N3)</f>
        <v>3.95</v>
      </c>
      <c r="Y45" s="2"/>
      <c r="AI45" s="21" t="str">
        <f ca="1">_xll.IMDP("BND",Z45,AI8,Z3)</f>
        <v>입력오류</v>
      </c>
      <c r="AJ45" s="23" t="str">
        <f ca="1">_xll.IMDP("BND",Z45,AJ8,Z3)</f>
        <v>입력오류</v>
      </c>
      <c r="AK45" s="2"/>
      <c r="AU45" s="21" t="str">
        <f ca="1">_xll.IMDP("BND",AL45,AU8,AL3)</f>
        <v>입력오류</v>
      </c>
      <c r="AV45" s="23" t="str">
        <f ca="1">_xll.IMDP("BND",AL45,AV8,AL3)</f>
        <v>입력오류</v>
      </c>
      <c r="AW45" s="2"/>
      <c r="BG45" s="21" t="str">
        <f ca="1">_xll.IMDP("BND",AX45,BG8,AX3)</f>
        <v>입력오류</v>
      </c>
      <c r="BH45" s="23" t="str">
        <f ca="1">_xll.IMDP("BND",AX45,BH8,AX3)</f>
        <v>입력오류</v>
      </c>
      <c r="BI45" s="2">
        <v>46198</v>
      </c>
      <c r="BJ45" s="3" t="s">
        <v>190</v>
      </c>
      <c r="BK45" s="3" t="s">
        <v>191</v>
      </c>
      <c r="BL45" s="3" t="s">
        <v>192</v>
      </c>
      <c r="BM45" s="3">
        <v>0</v>
      </c>
      <c r="BN45" s="3">
        <v>0.61</v>
      </c>
      <c r="BO45" s="3">
        <v>0</v>
      </c>
      <c r="BP45" s="3">
        <v>765756</v>
      </c>
      <c r="BQ45" s="3">
        <v>9984.7099999999991</v>
      </c>
      <c r="BR45" s="3">
        <v>1.8189</v>
      </c>
      <c r="BS45" s="21">
        <f ca="1">_xll.IMDP("BND",BJ45,BS8,BJ3)</f>
        <v>20280524</v>
      </c>
      <c r="BT45" s="23">
        <f ca="1">_xll.IMDP("BND",BJ45,BT8,BJ3)</f>
        <v>4.4550000000000001</v>
      </c>
      <c r="BU45" s="2">
        <v>46198</v>
      </c>
      <c r="BV45" s="3" t="s">
        <v>1042</v>
      </c>
      <c r="BW45" s="3" t="s">
        <v>417</v>
      </c>
      <c r="BX45" s="3" t="s">
        <v>1043</v>
      </c>
      <c r="BY45" s="3">
        <v>0</v>
      </c>
      <c r="BZ45" s="3">
        <v>0.7</v>
      </c>
      <c r="CA45" s="3">
        <v>0</v>
      </c>
      <c r="CB45" s="3">
        <v>940177</v>
      </c>
      <c r="CC45" s="3">
        <v>10077.799999999999</v>
      </c>
      <c r="CD45" s="3">
        <v>7.9699999999999993E-2</v>
      </c>
      <c r="CE45" s="21">
        <f ca="1">_xll.IMDP("BND",BV45,CE8,BV3)</f>
        <v>20260724</v>
      </c>
      <c r="CF45" s="23">
        <f ca="1">_xll.IMDP("BND",BV45,CF8,BV3)</f>
        <v>3.1789999999999998</v>
      </c>
      <c r="CG45" s="2">
        <v>46198</v>
      </c>
      <c r="CH45" s="3" t="s">
        <v>691</v>
      </c>
      <c r="CI45" s="3" t="s">
        <v>414</v>
      </c>
      <c r="CJ45" s="3" t="s">
        <v>692</v>
      </c>
      <c r="CK45" s="3">
        <v>0</v>
      </c>
      <c r="CL45" s="3">
        <v>1.23</v>
      </c>
      <c r="CM45" s="3">
        <v>0</v>
      </c>
      <c r="CN45" s="3">
        <v>1258896</v>
      </c>
      <c r="CO45" s="3">
        <v>9993.58</v>
      </c>
      <c r="CP45" s="3">
        <v>0.65939999999999999</v>
      </c>
      <c r="CQ45" s="21">
        <f ca="1">_xll.IMDP("BND",CH45,CQ8,CH3)</f>
        <v>20270226</v>
      </c>
      <c r="CR45" s="23">
        <f ca="1">_xll.IMDP("BND",CH45,CR8,CH3)</f>
        <v>3.613</v>
      </c>
      <c r="CS45" s="2">
        <v>46198</v>
      </c>
      <c r="CT45" s="3" t="s">
        <v>215</v>
      </c>
      <c r="CU45" s="3" t="s">
        <v>216</v>
      </c>
      <c r="CV45" s="3" t="s">
        <v>217</v>
      </c>
      <c r="CW45" s="3">
        <v>0</v>
      </c>
      <c r="CX45" s="3">
        <v>0.43</v>
      </c>
      <c r="CY45" s="3">
        <v>0</v>
      </c>
      <c r="CZ45" s="3">
        <v>625345</v>
      </c>
      <c r="DA45" s="3">
        <v>9979.8700000000008</v>
      </c>
      <c r="DB45" s="3">
        <v>4.8524000000000003</v>
      </c>
      <c r="DC45" s="21">
        <f ca="1">_xll.IMDP("BND",CT45,DC8,CT3)</f>
        <v>20311210</v>
      </c>
      <c r="DD45" s="23">
        <f ca="1">_xll.IMDP("BND",CT45,DD8,CT3)</f>
        <v>4.0739999999999998</v>
      </c>
      <c r="DE45" s="2"/>
      <c r="DO45" s="21" t="str">
        <f ca="1">_xll.IMDP("BND",DF45,DO8,DF3)</f>
        <v>입력오류</v>
      </c>
      <c r="DP45" s="23" t="str">
        <f ca="1">_xll.IMDP("BND",DF45,DP8,DF3)</f>
        <v>입력오류</v>
      </c>
      <c r="DQ45" s="2">
        <v>46198</v>
      </c>
      <c r="DR45" s="3" t="s">
        <v>1273</v>
      </c>
      <c r="DS45" s="3" t="s">
        <v>1274</v>
      </c>
      <c r="DT45" s="3" t="s">
        <v>1275</v>
      </c>
      <c r="DU45" s="3">
        <v>0</v>
      </c>
      <c r="DV45" s="3">
        <v>0.89</v>
      </c>
      <c r="DW45" s="3">
        <v>0</v>
      </c>
      <c r="DX45" s="3">
        <v>2040976</v>
      </c>
      <c r="DY45" s="3">
        <v>9798.64</v>
      </c>
      <c r="DZ45" s="3">
        <v>2.8980999999999999</v>
      </c>
      <c r="EA45" s="21">
        <f ca="1">_xll.IMDP("BND",DR45,EA8,DR3)</f>
        <v>20290730</v>
      </c>
      <c r="EB45" s="23">
        <f ca="1">_xll.IMDP("BND",DR45,EB8,DR3)</f>
        <v>4.423</v>
      </c>
    </row>
    <row r="46" spans="1:132" ht="13.5" customHeight="1" x14ac:dyDescent="0.3">
      <c r="A46" s="2">
        <v>46198</v>
      </c>
      <c r="B46" s="3" t="s">
        <v>786</v>
      </c>
      <c r="C46" s="3" t="s">
        <v>787</v>
      </c>
      <c r="D46" s="3" t="s">
        <v>788</v>
      </c>
      <c r="E46" s="3">
        <v>0</v>
      </c>
      <c r="F46" s="3">
        <v>0.47</v>
      </c>
      <c r="G46" s="3">
        <v>0</v>
      </c>
      <c r="H46" s="3">
        <v>524748</v>
      </c>
      <c r="I46" s="3">
        <v>9880.67</v>
      </c>
      <c r="J46" s="3">
        <v>1.9715</v>
      </c>
      <c r="K46" s="21">
        <f ca="1">_xll.IMDP("BND",B46,K8,B3)</f>
        <v>20280719</v>
      </c>
      <c r="L46" s="23">
        <f ca="1">_xll.IMDP("BND",B46,L8,B3)</f>
        <v>4.3049999999999997</v>
      </c>
      <c r="M46" s="2">
        <v>46198</v>
      </c>
      <c r="N46" s="3" t="s">
        <v>128</v>
      </c>
      <c r="O46" s="3" t="s">
        <v>50</v>
      </c>
      <c r="P46" s="3" t="s">
        <v>129</v>
      </c>
      <c r="Q46" s="3">
        <v>0</v>
      </c>
      <c r="R46" s="3">
        <v>0.27</v>
      </c>
      <c r="S46" s="3">
        <v>0</v>
      </c>
      <c r="T46" s="3">
        <v>312001</v>
      </c>
      <c r="U46" s="3">
        <v>10009.049999999999</v>
      </c>
      <c r="V46" s="3">
        <v>0.93640000000000001</v>
      </c>
      <c r="W46" s="21">
        <f ca="1">_xll.IMDP("BND",N46,W8,N3)</f>
        <v>20270610</v>
      </c>
      <c r="X46" s="23">
        <f ca="1">_xll.IMDP("BND",N46,X8,N3)</f>
        <v>3.2930000000000001</v>
      </c>
      <c r="Y46" s="2"/>
      <c r="AI46" s="21" t="str">
        <f ca="1">_xll.IMDP("BND",Z46,AI8,Z3)</f>
        <v>입력오류</v>
      </c>
      <c r="AJ46" s="23" t="str">
        <f ca="1">_xll.IMDP("BND",Z46,AJ8,Z3)</f>
        <v>입력오류</v>
      </c>
      <c r="AK46" s="2"/>
      <c r="AU46" s="21" t="str">
        <f ca="1">_xll.IMDP("BND",AL46,AU8,AL3)</f>
        <v>입력오류</v>
      </c>
      <c r="AV46" s="23" t="str">
        <f ca="1">_xll.IMDP("BND",AL46,AV8,AL3)</f>
        <v>입력오류</v>
      </c>
      <c r="AW46" s="2"/>
      <c r="BG46" s="21" t="str">
        <f ca="1">_xll.IMDP("BND",AX46,BG8,AX3)</f>
        <v>입력오류</v>
      </c>
      <c r="BH46" s="23" t="str">
        <f ca="1">_xll.IMDP("BND",AX46,BH8,AX3)</f>
        <v>입력오류</v>
      </c>
      <c r="BI46" s="2">
        <v>46198</v>
      </c>
      <c r="BJ46" s="3" t="s">
        <v>437</v>
      </c>
      <c r="BK46" s="3" t="s">
        <v>408</v>
      </c>
      <c r="BL46" s="3" t="s">
        <v>438</v>
      </c>
      <c r="BM46" s="3">
        <v>0</v>
      </c>
      <c r="BN46" s="3">
        <v>0.61</v>
      </c>
      <c r="BO46" s="3">
        <v>0</v>
      </c>
      <c r="BP46" s="3">
        <v>765612</v>
      </c>
      <c r="BQ46" s="3">
        <v>9981.76</v>
      </c>
      <c r="BR46" s="3">
        <v>3.4786999999999999</v>
      </c>
      <c r="BS46" s="21">
        <f ca="1">_xll.IMDP("BND",BJ46,BS8,BJ3)</f>
        <v>20300412</v>
      </c>
      <c r="BT46" s="23">
        <f ca="1">_xll.IMDP("BND",BJ46,BT8,BJ3)</f>
        <v>4.2450000000000001</v>
      </c>
      <c r="BU46" s="2">
        <v>46198</v>
      </c>
      <c r="BV46" s="3" t="s">
        <v>1044</v>
      </c>
      <c r="BW46" s="3" t="s">
        <v>1045</v>
      </c>
      <c r="BX46" s="3" t="s">
        <v>1046</v>
      </c>
      <c r="BY46" s="3">
        <v>0</v>
      </c>
      <c r="BZ46" s="3">
        <v>0.7</v>
      </c>
      <c r="CA46" s="3">
        <v>0</v>
      </c>
      <c r="CB46" s="3">
        <v>940140</v>
      </c>
      <c r="CC46" s="3">
        <v>10077.36</v>
      </c>
      <c r="CD46" s="3">
        <v>0.187</v>
      </c>
      <c r="CE46" s="21">
        <f ca="1">_xll.IMDP("BND",BV46,CE8,BV3)</f>
        <v>20260902</v>
      </c>
      <c r="CF46" s="23">
        <f ca="1">_xll.IMDP("BND",BV46,CF8,BV3)</f>
        <v>3.2290000000000001</v>
      </c>
      <c r="CG46" s="2">
        <v>46198</v>
      </c>
      <c r="CH46" s="3" t="s">
        <v>693</v>
      </c>
      <c r="CI46" s="3" t="s">
        <v>694</v>
      </c>
      <c r="CJ46" s="3" t="s">
        <v>695</v>
      </c>
      <c r="CK46" s="3">
        <v>0</v>
      </c>
      <c r="CL46" s="3">
        <v>1.23</v>
      </c>
      <c r="CM46" s="3">
        <v>0</v>
      </c>
      <c r="CN46" s="3">
        <v>1257874</v>
      </c>
      <c r="CO46" s="3">
        <v>9984.85</v>
      </c>
      <c r="CP46" s="3">
        <v>1.1294</v>
      </c>
      <c r="CQ46" s="21">
        <f ca="1">_xll.IMDP("BND",CH46,CQ8,CH3)</f>
        <v>20270827</v>
      </c>
      <c r="CR46" s="23">
        <f ca="1">_xll.IMDP("BND",CH46,CR8,CH3)</f>
        <v>5.13</v>
      </c>
      <c r="CS46" s="2">
        <v>46198</v>
      </c>
      <c r="CT46" s="3" t="s">
        <v>218</v>
      </c>
      <c r="CU46" s="3" t="s">
        <v>29</v>
      </c>
      <c r="CV46" s="3" t="s">
        <v>219</v>
      </c>
      <c r="CW46" s="3">
        <v>0</v>
      </c>
      <c r="CX46" s="3">
        <v>0.43</v>
      </c>
      <c r="CY46" s="3">
        <v>0</v>
      </c>
      <c r="CZ46" s="3">
        <v>622763</v>
      </c>
      <c r="DA46" s="3">
        <v>8311.85</v>
      </c>
      <c r="DB46" s="3">
        <v>10.1755</v>
      </c>
      <c r="DC46" s="21">
        <f ca="1">_xll.IMDP("BND",CT46,DC8,CT3)</f>
        <v>20380910</v>
      </c>
      <c r="DD46" s="23">
        <f ca="1">_xll.IMDP("BND",CT46,DD8,CT3)</f>
        <v>4.2320000000000002</v>
      </c>
      <c r="DE46" s="2"/>
      <c r="DO46" s="21" t="str">
        <f ca="1">_xll.IMDP("BND",DF46,DO8,DF3)</f>
        <v>입력오류</v>
      </c>
      <c r="DP46" s="23" t="str">
        <f ca="1">_xll.IMDP("BND",DF46,DP8,DF3)</f>
        <v>입력오류</v>
      </c>
      <c r="DQ46" s="2">
        <v>46198</v>
      </c>
      <c r="DR46" s="3" t="s">
        <v>1276</v>
      </c>
      <c r="DS46" s="3" t="s">
        <v>773</v>
      </c>
      <c r="DT46" s="3" t="s">
        <v>1277</v>
      </c>
      <c r="DU46" s="3">
        <v>0</v>
      </c>
      <c r="DV46" s="3">
        <v>0.89</v>
      </c>
      <c r="DW46" s="3">
        <v>0</v>
      </c>
      <c r="DX46" s="3">
        <v>2038708</v>
      </c>
      <c r="DY46" s="3">
        <v>9786.1299999999992</v>
      </c>
      <c r="DZ46" s="3">
        <v>1.179</v>
      </c>
      <c r="EA46" s="21">
        <f ca="1">_xll.IMDP("BND",DR46,EA8,DR3)</f>
        <v>20270906</v>
      </c>
      <c r="EB46" s="23">
        <f ca="1">_xll.IMDP("BND",DR46,EB8,DR3)</f>
        <v>4.0590000000000002</v>
      </c>
    </row>
    <row r="47" spans="1:132" ht="13.5" customHeight="1" x14ac:dyDescent="0.3">
      <c r="A47" s="2">
        <v>46198</v>
      </c>
      <c r="B47" s="3" t="s">
        <v>789</v>
      </c>
      <c r="C47" s="3" t="s">
        <v>790</v>
      </c>
      <c r="D47" s="3" t="s">
        <v>791</v>
      </c>
      <c r="E47" s="3">
        <v>0</v>
      </c>
      <c r="F47" s="3">
        <v>0.47</v>
      </c>
      <c r="G47" s="3">
        <v>0</v>
      </c>
      <c r="H47" s="3">
        <v>521469</v>
      </c>
      <c r="I47" s="3">
        <v>9819.24</v>
      </c>
      <c r="J47" s="3">
        <v>1.6757</v>
      </c>
      <c r="K47" s="21">
        <f ca="1">_xll.IMDP("BND",B47,K8,B3)</f>
        <v>20280317</v>
      </c>
      <c r="L47" s="23">
        <f ca="1">_xll.IMDP("BND",B47,L8,B3)</f>
        <v>3.964</v>
      </c>
      <c r="M47" s="2">
        <v>46198</v>
      </c>
      <c r="N47" s="3" t="s">
        <v>130</v>
      </c>
      <c r="O47" s="3" t="s">
        <v>131</v>
      </c>
      <c r="P47" s="3" t="s">
        <v>132</v>
      </c>
      <c r="Q47" s="3">
        <v>0</v>
      </c>
      <c r="R47" s="3">
        <v>0.25</v>
      </c>
      <c r="S47" s="3">
        <v>0</v>
      </c>
      <c r="T47" s="3">
        <v>293322</v>
      </c>
      <c r="U47" s="3">
        <v>9410.18</v>
      </c>
      <c r="V47" s="3">
        <v>1.649</v>
      </c>
      <c r="W47" s="21">
        <f ca="1">_xll.IMDP("BND",N47,W8,N3)</f>
        <v>20280310</v>
      </c>
      <c r="X47" s="23">
        <f ca="1">_xll.IMDP("BND",N47,X8,N3)</f>
        <v>3.6179999999999999</v>
      </c>
      <c r="Y47" s="2"/>
      <c r="AI47" s="21" t="str">
        <f ca="1">_xll.IMDP("BND",Z47,AI8,Z3)</f>
        <v>입력오류</v>
      </c>
      <c r="AJ47" s="23" t="str">
        <f ca="1">_xll.IMDP("BND",Z47,AJ8,Z3)</f>
        <v>입력오류</v>
      </c>
      <c r="AK47" s="2"/>
      <c r="AU47" s="21" t="str">
        <f ca="1">_xll.IMDP("BND",AL47,AU8,AL3)</f>
        <v>입력오류</v>
      </c>
      <c r="AV47" s="23" t="str">
        <f ca="1">_xll.IMDP("BND",AL47,AV8,AL3)</f>
        <v>입력오류</v>
      </c>
      <c r="AW47" s="2"/>
      <c r="BG47" s="21" t="str">
        <f ca="1">_xll.IMDP("BND",AX47,BG8,AX3)</f>
        <v>입력오류</v>
      </c>
      <c r="BH47" s="23" t="str">
        <f ca="1">_xll.IMDP("BND",AX47,BH8,AX3)</f>
        <v>입력오류</v>
      </c>
      <c r="BI47" s="2">
        <v>46198</v>
      </c>
      <c r="BJ47" s="3" t="s">
        <v>439</v>
      </c>
      <c r="BK47" s="3" t="s">
        <v>440</v>
      </c>
      <c r="BL47" s="3" t="s">
        <v>441</v>
      </c>
      <c r="BM47" s="3">
        <v>0</v>
      </c>
      <c r="BN47" s="3">
        <v>0.61</v>
      </c>
      <c r="BO47" s="3">
        <v>0</v>
      </c>
      <c r="BP47" s="3">
        <v>765585</v>
      </c>
      <c r="BQ47" s="3">
        <v>9982.94</v>
      </c>
      <c r="BR47" s="3">
        <v>2.6501000000000001</v>
      </c>
      <c r="BS47" s="21">
        <f ca="1">_xll.IMDP("BND",BJ47,BS8,BJ3)</f>
        <v>20290427</v>
      </c>
      <c r="BT47" s="23">
        <f ca="1">_xll.IMDP("BND",BJ47,BT8,BJ3)</f>
        <v>4.319</v>
      </c>
      <c r="BU47" s="2">
        <v>46198</v>
      </c>
      <c r="BV47" s="3" t="s">
        <v>1047</v>
      </c>
      <c r="BW47" s="3" t="s">
        <v>238</v>
      </c>
      <c r="BX47" s="3" t="s">
        <v>1048</v>
      </c>
      <c r="BY47" s="3">
        <v>0</v>
      </c>
      <c r="BZ47" s="3">
        <v>0.7</v>
      </c>
      <c r="CA47" s="3">
        <v>0</v>
      </c>
      <c r="CB47" s="3">
        <v>939197</v>
      </c>
      <c r="CC47" s="3">
        <v>10067.200000000001</v>
      </c>
      <c r="CD47" s="3">
        <v>0.16289999999999999</v>
      </c>
      <c r="CE47" s="21">
        <f ca="1">_xll.IMDP("BND",BV47,CE8,BV3)</f>
        <v>20260824</v>
      </c>
      <c r="CF47" s="23">
        <f ca="1">_xll.IMDP("BND",BV47,CF8,BV3)</f>
        <v>3.6120000000000001</v>
      </c>
      <c r="CG47" s="2">
        <v>46198</v>
      </c>
      <c r="CH47" s="3" t="s">
        <v>572</v>
      </c>
      <c r="CI47" s="3" t="s">
        <v>573</v>
      </c>
      <c r="CJ47" s="3" t="s">
        <v>574</v>
      </c>
      <c r="CK47" s="3">
        <v>0</v>
      </c>
      <c r="CL47" s="3">
        <v>1.23</v>
      </c>
      <c r="CM47" s="3">
        <v>0</v>
      </c>
      <c r="CN47" s="3">
        <v>1257869</v>
      </c>
      <c r="CO47" s="3">
        <v>9984.82</v>
      </c>
      <c r="CP47" s="3">
        <v>1.2016</v>
      </c>
      <c r="CQ47" s="21">
        <f ca="1">_xll.IMDP("BND",CH47,CQ8,CH3)</f>
        <v>20270923</v>
      </c>
      <c r="CR47" s="23">
        <f ca="1">_xll.IMDP("BND",CH47,CR8,CH3)</f>
        <v>4.4020000000000001</v>
      </c>
      <c r="CS47" s="2">
        <v>46198</v>
      </c>
      <c r="CT47" s="3" t="s">
        <v>220</v>
      </c>
      <c r="CU47" s="3" t="s">
        <v>56</v>
      </c>
      <c r="CV47" s="3" t="s">
        <v>221</v>
      </c>
      <c r="CW47" s="3">
        <v>0</v>
      </c>
      <c r="CX47" s="3">
        <v>0.42</v>
      </c>
      <c r="CY47" s="3">
        <v>0</v>
      </c>
      <c r="CZ47" s="3">
        <v>605952</v>
      </c>
      <c r="DA47" s="3">
        <v>12381.72</v>
      </c>
      <c r="DB47" s="3">
        <v>1.931</v>
      </c>
      <c r="DC47" s="21">
        <f ca="1">_xll.IMDP("BND",CT47,DC8,CT3)</f>
        <v>20280610</v>
      </c>
      <c r="DD47" s="23">
        <f ca="1">_xll.IMDP("BND",CT47,DD8,CT3)</f>
        <v>0.439</v>
      </c>
      <c r="DE47" s="2"/>
      <c r="DO47" s="21" t="str">
        <f ca="1">_xll.IMDP("BND",DF47,DO8,DF3)</f>
        <v>입력오류</v>
      </c>
      <c r="DP47" s="23" t="str">
        <f ca="1">_xll.IMDP("BND",DF47,DP8,DF3)</f>
        <v>입력오류</v>
      </c>
      <c r="DQ47" s="2">
        <v>46198</v>
      </c>
      <c r="DR47" s="3" t="s">
        <v>1278</v>
      </c>
      <c r="DS47" s="3" t="s">
        <v>258</v>
      </c>
      <c r="DT47" s="3" t="s">
        <v>1279</v>
      </c>
      <c r="DU47" s="3">
        <v>0</v>
      </c>
      <c r="DV47" s="3">
        <v>0.88</v>
      </c>
      <c r="DW47" s="3">
        <v>0</v>
      </c>
      <c r="DX47" s="3">
        <v>2036811</v>
      </c>
      <c r="DY47" s="3">
        <v>9778.2999999999993</v>
      </c>
      <c r="DZ47" s="3">
        <v>1.9826999999999999</v>
      </c>
      <c r="EA47" s="21">
        <f ca="1">_xll.IMDP("BND",DR47,EA8,DR3)</f>
        <v>20280718</v>
      </c>
      <c r="EB47" s="23">
        <f ca="1">_xll.IMDP("BND",DR47,EB8,DR3)</f>
        <v>4.1390000000000002</v>
      </c>
    </row>
    <row r="48" spans="1:132" ht="13.5" customHeight="1" x14ac:dyDescent="0.3">
      <c r="A48" s="2">
        <v>46198</v>
      </c>
      <c r="B48" s="3" t="s">
        <v>792</v>
      </c>
      <c r="C48" s="3" t="s">
        <v>793</v>
      </c>
      <c r="D48" s="3" t="s">
        <v>794</v>
      </c>
      <c r="E48" s="3">
        <v>0</v>
      </c>
      <c r="F48" s="3">
        <v>0.47</v>
      </c>
      <c r="G48" s="3">
        <v>0</v>
      </c>
      <c r="H48" s="3">
        <v>521010</v>
      </c>
      <c r="I48" s="3">
        <v>9811.49</v>
      </c>
      <c r="J48" s="3">
        <v>7.9737999999999998</v>
      </c>
      <c r="K48" s="21">
        <f ca="1">_xll.IMDP("BND",B48,K8,B3)</f>
        <v>20360428</v>
      </c>
      <c r="L48" s="23">
        <f ca="1">_xll.IMDP("BND",B48,L8,B3)</f>
        <v>4.3449999999999998</v>
      </c>
      <c r="M48" s="2">
        <v>46198</v>
      </c>
      <c r="N48" s="3" t="s">
        <v>7</v>
      </c>
      <c r="O48" s="3" t="s">
        <v>7</v>
      </c>
      <c r="P48" s="3" t="s">
        <v>46</v>
      </c>
      <c r="R48" s="3">
        <v>12.51</v>
      </c>
      <c r="T48" s="3">
        <v>-14614130</v>
      </c>
      <c r="W48" s="21" t="str">
        <f ca="1">_xll.IMDP("BND",N48,W8,N3)</f>
        <v/>
      </c>
      <c r="X48" s="23" t="str">
        <f ca="1">_xll.IMDP("BND",N48,X8,N3)</f>
        <v/>
      </c>
      <c r="Y48" s="2"/>
      <c r="AI48" s="21" t="str">
        <f ca="1">_xll.IMDP("BND",Z48,AI8,Z3)</f>
        <v>입력오류</v>
      </c>
      <c r="AJ48" s="23" t="str">
        <f ca="1">_xll.IMDP("BND",Z48,AJ8,Z3)</f>
        <v>입력오류</v>
      </c>
      <c r="AK48" s="2"/>
      <c r="AU48" s="21" t="str">
        <f ca="1">_xll.IMDP("BND",AL48,AU8,AL3)</f>
        <v>입력오류</v>
      </c>
      <c r="AV48" s="23" t="str">
        <f ca="1">_xll.IMDP("BND",AL48,AV8,AL3)</f>
        <v>입력오류</v>
      </c>
      <c r="AW48" s="2"/>
      <c r="BG48" s="21" t="str">
        <f ca="1">_xll.IMDP("BND",AX48,BG8,AX3)</f>
        <v>입력오류</v>
      </c>
      <c r="BH48" s="23" t="str">
        <f ca="1">_xll.IMDP("BND",AX48,BH8,AX3)</f>
        <v>입력오류</v>
      </c>
      <c r="BI48" s="2">
        <v>46198</v>
      </c>
      <c r="BJ48" s="3" t="s">
        <v>442</v>
      </c>
      <c r="BK48" s="3" t="s">
        <v>443</v>
      </c>
      <c r="BL48" s="3" t="s">
        <v>444</v>
      </c>
      <c r="BM48" s="3">
        <v>0</v>
      </c>
      <c r="BN48" s="3">
        <v>0.61</v>
      </c>
      <c r="BO48" s="3">
        <v>0</v>
      </c>
      <c r="BP48" s="3">
        <v>765515</v>
      </c>
      <c r="BQ48" s="3">
        <v>9982.48</v>
      </c>
      <c r="BR48" s="3">
        <v>1.0526</v>
      </c>
      <c r="BS48" s="21">
        <f ca="1">_xll.IMDP("BND",BJ48,BS8,BJ3)</f>
        <v>20270726</v>
      </c>
      <c r="BT48" s="23">
        <f ca="1">_xll.IMDP("BND",BJ48,BT8,BJ3)</f>
        <v>4.3029999999999999</v>
      </c>
      <c r="BU48" s="2">
        <v>46198</v>
      </c>
      <c r="BV48" s="3" t="s">
        <v>1049</v>
      </c>
      <c r="BW48" s="3" t="s">
        <v>1050</v>
      </c>
      <c r="BX48" s="3" t="s">
        <v>1051</v>
      </c>
      <c r="BY48" s="3">
        <v>0</v>
      </c>
      <c r="BZ48" s="3">
        <v>0.7</v>
      </c>
      <c r="CA48" s="3">
        <v>0</v>
      </c>
      <c r="CB48" s="3">
        <v>938776</v>
      </c>
      <c r="CC48" s="3">
        <v>10062.76</v>
      </c>
      <c r="CD48" s="3">
        <v>1.9900000000000001E-2</v>
      </c>
      <c r="CE48" s="21">
        <f ca="1">_xll.IMDP("BND",BV48,CE8,BV3)</f>
        <v>20260702</v>
      </c>
      <c r="CF48" s="23">
        <f ca="1">_xll.IMDP("BND",BV48,CF8,BV3)</f>
        <v>3.1360000000000001</v>
      </c>
      <c r="CG48" s="2">
        <v>46198</v>
      </c>
      <c r="CH48" s="3" t="s">
        <v>696</v>
      </c>
      <c r="CI48" s="3" t="s">
        <v>697</v>
      </c>
      <c r="CJ48" s="3" t="s">
        <v>698</v>
      </c>
      <c r="CK48" s="3">
        <v>0</v>
      </c>
      <c r="CL48" s="3">
        <v>1.23</v>
      </c>
      <c r="CM48" s="3">
        <v>0</v>
      </c>
      <c r="CN48" s="3">
        <v>1252631</v>
      </c>
      <c r="CQ48" s="21" t="str">
        <f ca="1">_xll.IMDP("BND",CH48,CQ8,CH3)</f>
        <v/>
      </c>
      <c r="CR48" s="23" t="str">
        <f ca="1">_xll.IMDP("BND",CH48,CR8,CH3)</f>
        <v/>
      </c>
      <c r="CS48" s="2">
        <v>46198</v>
      </c>
      <c r="CT48" s="3" t="s">
        <v>70</v>
      </c>
      <c r="CU48" s="3" t="s">
        <v>29</v>
      </c>
      <c r="CV48" s="3" t="s">
        <v>222</v>
      </c>
      <c r="CW48" s="3">
        <v>0</v>
      </c>
      <c r="CX48" s="3">
        <v>0.41</v>
      </c>
      <c r="CY48" s="3">
        <v>0</v>
      </c>
      <c r="CZ48" s="3">
        <v>596200</v>
      </c>
      <c r="DA48" s="3">
        <v>6304.62</v>
      </c>
      <c r="DB48" s="3">
        <v>17.744299999999999</v>
      </c>
      <c r="DC48" s="21">
        <f ca="1">_xll.IMDP("BND",CT48,DC8,CT3)</f>
        <v>20510310</v>
      </c>
      <c r="DD48" s="23">
        <f ca="1">_xll.IMDP("BND",CT48,DD8,CT3)</f>
        <v>4.3710000000000004</v>
      </c>
      <c r="DE48" s="2"/>
      <c r="DO48" s="21" t="str">
        <f ca="1">_xll.IMDP("BND",DF48,DO8,DF3)</f>
        <v>입력오류</v>
      </c>
      <c r="DP48" s="23" t="str">
        <f ca="1">_xll.IMDP("BND",DF48,DP8,DF3)</f>
        <v>입력오류</v>
      </c>
      <c r="DQ48" s="2">
        <v>46198</v>
      </c>
      <c r="DR48" s="3" t="s">
        <v>1280</v>
      </c>
      <c r="DS48" s="3" t="s">
        <v>1281</v>
      </c>
      <c r="DT48" s="3" t="s">
        <v>1282</v>
      </c>
      <c r="DU48" s="3">
        <v>0</v>
      </c>
      <c r="DV48" s="3">
        <v>0.88</v>
      </c>
      <c r="DW48" s="3">
        <v>0</v>
      </c>
      <c r="DX48" s="3">
        <v>2033143</v>
      </c>
      <c r="DY48" s="3">
        <v>9761.7000000000007</v>
      </c>
      <c r="DZ48" s="3">
        <v>2.3477000000000001</v>
      </c>
      <c r="EA48" s="21">
        <f ca="1">_xll.IMDP("BND",DR48,EA8,DR3)</f>
        <v>20281130</v>
      </c>
      <c r="EB48" s="23">
        <f ca="1">_xll.IMDP("BND",DR48,EB8,DR3)</f>
        <v>3.7050000000000001</v>
      </c>
    </row>
    <row r="49" spans="1:132" ht="13.5" customHeight="1" x14ac:dyDescent="0.3">
      <c r="A49" s="2">
        <v>46198</v>
      </c>
      <c r="B49" s="3" t="s">
        <v>795</v>
      </c>
      <c r="C49" s="3" t="s">
        <v>796</v>
      </c>
      <c r="D49" s="3" t="s">
        <v>797</v>
      </c>
      <c r="E49" s="3">
        <v>0</v>
      </c>
      <c r="F49" s="3">
        <v>0.47</v>
      </c>
      <c r="G49" s="3">
        <v>0</v>
      </c>
      <c r="H49" s="3">
        <v>519538</v>
      </c>
      <c r="I49" s="3">
        <v>9781.02</v>
      </c>
      <c r="J49" s="3">
        <v>4.1521999999999997</v>
      </c>
      <c r="K49" s="21">
        <f ca="1">_xll.IMDP("BND",B49,K8,B3)</f>
        <v>20310121</v>
      </c>
      <c r="L49" s="23">
        <f ca="1">_xll.IMDP("BND",B49,L8,B3)</f>
        <v>4.3769999999999998</v>
      </c>
      <c r="M49" s="2"/>
      <c r="W49" s="21" t="str">
        <f ca="1">_xll.IMDP("BND",N49,W8,N3)</f>
        <v>입력오류</v>
      </c>
      <c r="X49" s="23" t="str">
        <f ca="1">_xll.IMDP("BND",N49,X8,N3)</f>
        <v>입력오류</v>
      </c>
      <c r="Y49" s="2"/>
      <c r="AI49" s="21" t="str">
        <f ca="1">_xll.IMDP("BND",Z49,AI8,Z3)</f>
        <v>입력오류</v>
      </c>
      <c r="AJ49" s="23" t="str">
        <f ca="1">_xll.IMDP("BND",Z49,AJ8,Z3)</f>
        <v>입력오류</v>
      </c>
      <c r="AK49" s="2"/>
      <c r="AU49" s="21" t="str">
        <f ca="1">_xll.IMDP("BND",AL49,AU8,AL3)</f>
        <v>입력오류</v>
      </c>
      <c r="AV49" s="23" t="str">
        <f ca="1">_xll.IMDP("BND",AL49,AV8,AL3)</f>
        <v>입력오류</v>
      </c>
      <c r="AW49" s="2"/>
      <c r="BG49" s="21" t="str">
        <f ca="1">_xll.IMDP("BND",AX49,BG8,AX3)</f>
        <v>입력오류</v>
      </c>
      <c r="BH49" s="23" t="str">
        <f ca="1">_xll.IMDP("BND",AX49,BH8,AX3)</f>
        <v>입력오류</v>
      </c>
      <c r="BI49" s="2">
        <v>46198</v>
      </c>
      <c r="BJ49" s="3" t="s">
        <v>445</v>
      </c>
      <c r="BK49" s="3" t="s">
        <v>446</v>
      </c>
      <c r="BL49" s="3" t="s">
        <v>447</v>
      </c>
      <c r="BM49" s="3">
        <v>0</v>
      </c>
      <c r="BN49" s="3">
        <v>0.61</v>
      </c>
      <c r="BO49" s="3">
        <v>0</v>
      </c>
      <c r="BP49" s="3">
        <v>764737</v>
      </c>
      <c r="BQ49" s="3">
        <v>9971.9500000000007</v>
      </c>
      <c r="BR49" s="3">
        <v>2.4832000000000001</v>
      </c>
      <c r="BS49" s="21">
        <f ca="1">_xll.IMDP("BND",BJ49,BS8,BJ3)</f>
        <v>20290216</v>
      </c>
      <c r="BT49" s="23">
        <f ca="1">_xll.IMDP("BND",BJ49,BT8,BJ3)</f>
        <v>4.343</v>
      </c>
      <c r="BU49" s="2">
        <v>46198</v>
      </c>
      <c r="BV49" s="3" t="s">
        <v>1052</v>
      </c>
      <c r="BW49" s="3" t="s">
        <v>1053</v>
      </c>
      <c r="BX49" s="3" t="s">
        <v>1054</v>
      </c>
      <c r="BY49" s="3">
        <v>0</v>
      </c>
      <c r="BZ49" s="3">
        <v>0.7</v>
      </c>
      <c r="CA49" s="3">
        <v>0</v>
      </c>
      <c r="CB49" s="3">
        <v>938393</v>
      </c>
      <c r="CC49" s="3">
        <v>10058.469999999999</v>
      </c>
      <c r="CD49" s="3">
        <v>0.32500000000000001</v>
      </c>
      <c r="CE49" s="21">
        <f ca="1">_xll.IMDP("BND",BV49,CE8,BV3)</f>
        <v>20261023</v>
      </c>
      <c r="CF49" s="23">
        <f ca="1">_xll.IMDP("BND",BV49,CF8,BV3)</f>
        <v>3.3410000000000002</v>
      </c>
      <c r="CG49" s="2">
        <v>46198</v>
      </c>
      <c r="CH49" s="3" t="s">
        <v>699</v>
      </c>
      <c r="CI49" s="3" t="s">
        <v>697</v>
      </c>
      <c r="CJ49" s="3" t="s">
        <v>698</v>
      </c>
      <c r="CK49" s="3">
        <v>0</v>
      </c>
      <c r="CL49" s="3">
        <v>1.23</v>
      </c>
      <c r="CM49" s="3">
        <v>0</v>
      </c>
      <c r="CN49" s="3">
        <v>1252631</v>
      </c>
      <c r="CQ49" s="21" t="str">
        <f ca="1">_xll.IMDP("BND",CH49,CQ8,CH3)</f>
        <v/>
      </c>
      <c r="CR49" s="23" t="str">
        <f ca="1">_xll.IMDP("BND",CH49,CR8,CH3)</f>
        <v/>
      </c>
      <c r="CS49" s="2">
        <v>46198</v>
      </c>
      <c r="CT49" s="3" t="s">
        <v>223</v>
      </c>
      <c r="CU49" s="3" t="s">
        <v>216</v>
      </c>
      <c r="CV49" s="3" t="s">
        <v>224</v>
      </c>
      <c r="CW49" s="3">
        <v>0</v>
      </c>
      <c r="CX49" s="3">
        <v>0.34</v>
      </c>
      <c r="CY49" s="3">
        <v>0</v>
      </c>
      <c r="CZ49" s="3">
        <v>491737</v>
      </c>
      <c r="DA49" s="3">
        <v>10530.64</v>
      </c>
      <c r="DB49" s="3">
        <v>3.1387999999999998</v>
      </c>
      <c r="DC49" s="21">
        <f ca="1">_xll.IMDP("BND",CT49,DC8,CT3)</f>
        <v>20291210</v>
      </c>
      <c r="DD49" s="23">
        <f ca="1">_xll.IMDP("BND",CT49,DD8,CT3)</f>
        <v>3.9140000000000001</v>
      </c>
      <c r="DE49" s="2"/>
      <c r="DO49" s="21" t="str">
        <f ca="1">_xll.IMDP("BND",DF49,DO8,DF3)</f>
        <v>입력오류</v>
      </c>
      <c r="DP49" s="23" t="str">
        <f ca="1">_xll.IMDP("BND",DF49,DP8,DF3)</f>
        <v>입력오류</v>
      </c>
      <c r="DQ49" s="2">
        <v>46198</v>
      </c>
      <c r="DR49" s="3" t="s">
        <v>1283</v>
      </c>
      <c r="DS49" s="3" t="s">
        <v>1284</v>
      </c>
      <c r="DT49" s="3" t="s">
        <v>1285</v>
      </c>
      <c r="DU49" s="3">
        <v>0</v>
      </c>
      <c r="DV49" s="3">
        <v>0.88</v>
      </c>
      <c r="DW49" s="3">
        <v>0</v>
      </c>
      <c r="DX49" s="3">
        <v>2026565</v>
      </c>
      <c r="DY49" s="3">
        <v>9728.86</v>
      </c>
      <c r="DZ49" s="3">
        <v>2.1059999999999999</v>
      </c>
      <c r="EA49" s="21">
        <f ca="1">_xll.IMDP("BND",DR49,EA8,DR3)</f>
        <v>20280904</v>
      </c>
      <c r="EB49" s="23">
        <f ca="1">_xll.IMDP("BND",DR49,EB8,DR3)</f>
        <v>4.3449999999999998</v>
      </c>
    </row>
    <row r="50" spans="1:132" ht="13.5" customHeight="1" x14ac:dyDescent="0.3">
      <c r="A50" s="2">
        <v>46198</v>
      </c>
      <c r="B50" s="3" t="s">
        <v>798</v>
      </c>
      <c r="C50" s="3" t="s">
        <v>799</v>
      </c>
      <c r="D50" s="3" t="s">
        <v>800</v>
      </c>
      <c r="E50" s="3">
        <v>0</v>
      </c>
      <c r="F50" s="3">
        <v>0.47</v>
      </c>
      <c r="G50" s="3">
        <v>0</v>
      </c>
      <c r="H50" s="3">
        <v>517129</v>
      </c>
      <c r="I50" s="3">
        <v>9738.14</v>
      </c>
      <c r="J50" s="3">
        <v>2.3822000000000001</v>
      </c>
      <c r="K50" s="21">
        <f ca="1">_xll.IMDP("BND",B50,K8,B3)</f>
        <v>20281227</v>
      </c>
      <c r="L50" s="23">
        <f ca="1">_xll.IMDP("BND",B50,L8,B3)</f>
        <v>4.3239999999999998</v>
      </c>
      <c r="M50" s="2"/>
      <c r="W50" s="21" t="str">
        <f ca="1">_xll.IMDP("BND",N50,W8,N3)</f>
        <v>입력오류</v>
      </c>
      <c r="X50" s="23" t="str">
        <f ca="1">_xll.IMDP("BND",N50,X8,N3)</f>
        <v>입력오류</v>
      </c>
      <c r="Y50" s="2"/>
      <c r="AI50" s="21" t="str">
        <f ca="1">_xll.IMDP("BND",Z50,AI8,Z3)</f>
        <v>입력오류</v>
      </c>
      <c r="AJ50" s="23" t="str">
        <f ca="1">_xll.IMDP("BND",Z50,AJ8,Z3)</f>
        <v>입력오류</v>
      </c>
      <c r="AK50" s="2"/>
      <c r="AU50" s="21" t="str">
        <f ca="1">_xll.IMDP("BND",AL50,AU8,AL3)</f>
        <v>입력오류</v>
      </c>
      <c r="AV50" s="23" t="str">
        <f ca="1">_xll.IMDP("BND",AL50,AV8,AL3)</f>
        <v>입력오류</v>
      </c>
      <c r="AW50" s="2"/>
      <c r="BG50" s="21" t="str">
        <f ca="1">_xll.IMDP("BND",AX50,BG8,AX3)</f>
        <v>입력오류</v>
      </c>
      <c r="BH50" s="23" t="str">
        <f ca="1">_xll.IMDP("BND",AX50,BH8,AX3)</f>
        <v>입력오류</v>
      </c>
      <c r="BI50" s="2">
        <v>46198</v>
      </c>
      <c r="BJ50" s="3" t="s">
        <v>448</v>
      </c>
      <c r="BK50" s="3" t="s">
        <v>449</v>
      </c>
      <c r="BL50" s="3" t="s">
        <v>450</v>
      </c>
      <c r="BM50" s="3">
        <v>0</v>
      </c>
      <c r="BN50" s="3">
        <v>0.61</v>
      </c>
      <c r="BO50" s="3">
        <v>0</v>
      </c>
      <c r="BP50" s="3">
        <v>764239</v>
      </c>
      <c r="BQ50" s="3">
        <v>9965.7800000000007</v>
      </c>
      <c r="BR50" s="3">
        <v>0.82889999999999997</v>
      </c>
      <c r="BS50" s="21">
        <f ca="1">_xll.IMDP("BND",BJ50,BS8,BJ3)</f>
        <v>20270430</v>
      </c>
      <c r="BT50" s="23">
        <f ca="1">_xll.IMDP("BND",BJ50,BT8,BJ3)</f>
        <v>3.7549999999999999</v>
      </c>
      <c r="BU50" s="2">
        <v>46198</v>
      </c>
      <c r="BV50" s="3" t="s">
        <v>1055</v>
      </c>
      <c r="BW50" s="3" t="s">
        <v>1056</v>
      </c>
      <c r="BX50" s="3" t="s">
        <v>1057</v>
      </c>
      <c r="BY50" s="3">
        <v>0</v>
      </c>
      <c r="BZ50" s="3">
        <v>0.7</v>
      </c>
      <c r="CA50" s="3">
        <v>0</v>
      </c>
      <c r="CB50" s="3">
        <v>938110</v>
      </c>
      <c r="CC50" s="3">
        <v>10055.56</v>
      </c>
      <c r="CD50" s="3">
        <v>0.18709999999999999</v>
      </c>
      <c r="CE50" s="21">
        <f ca="1">_xll.IMDP("BND",BV50,CE8,BV3)</f>
        <v>20260902</v>
      </c>
      <c r="CF50" s="23">
        <f ca="1">_xll.IMDP("BND",BV50,CF8,BV3)</f>
        <v>3.2749999999999999</v>
      </c>
      <c r="CG50" s="2">
        <v>46198</v>
      </c>
      <c r="CH50" s="3" t="s">
        <v>700</v>
      </c>
      <c r="CI50" s="3" t="s">
        <v>701</v>
      </c>
      <c r="CJ50" s="3" t="s">
        <v>702</v>
      </c>
      <c r="CK50" s="3">
        <v>0</v>
      </c>
      <c r="CL50" s="3">
        <v>1.23</v>
      </c>
      <c r="CM50" s="3">
        <v>0</v>
      </c>
      <c r="CN50" s="3">
        <v>1251020</v>
      </c>
      <c r="CO50" s="3">
        <v>9930.15</v>
      </c>
      <c r="CP50" s="3">
        <v>1.2806</v>
      </c>
      <c r="CQ50" s="21">
        <f ca="1">_xll.IMDP("BND",CH50,CQ8,CH3)</f>
        <v>20271021</v>
      </c>
      <c r="CR50" s="23">
        <f ca="1">_xll.IMDP("BND",CH50,CR8,CH3)</f>
        <v>4.1210000000000004</v>
      </c>
      <c r="CS50" s="2">
        <v>46198</v>
      </c>
      <c r="CT50" s="3" t="s">
        <v>117</v>
      </c>
      <c r="CU50" s="3" t="s">
        <v>56</v>
      </c>
      <c r="CV50" s="3" t="s">
        <v>225</v>
      </c>
      <c r="CW50" s="3">
        <v>0</v>
      </c>
      <c r="CX50" s="3">
        <v>0.34</v>
      </c>
      <c r="CY50" s="3">
        <v>0</v>
      </c>
      <c r="CZ50" s="3">
        <v>488138</v>
      </c>
      <c r="DA50" s="3">
        <v>7394.2</v>
      </c>
      <c r="DB50" s="3">
        <v>12.537100000000001</v>
      </c>
      <c r="DC50" s="21">
        <f ca="1">_xll.IMDP("BND",CT50,DC8,CT3)</f>
        <v>20410910</v>
      </c>
      <c r="DD50" s="23">
        <f ca="1">_xll.IMDP("BND",CT50,DD8,CT3)</f>
        <v>4.2699999999999996</v>
      </c>
      <c r="DE50" s="2"/>
      <c r="DO50" s="21" t="str">
        <f ca="1">_xll.IMDP("BND",DF50,DO8,DF3)</f>
        <v>입력오류</v>
      </c>
      <c r="DP50" s="23" t="str">
        <f ca="1">_xll.IMDP("BND",DF50,DP8,DF3)</f>
        <v>입력오류</v>
      </c>
      <c r="DQ50" s="2">
        <v>46198</v>
      </c>
      <c r="DR50" s="3" t="s">
        <v>1286</v>
      </c>
      <c r="DS50" s="3" t="s">
        <v>358</v>
      </c>
      <c r="DT50" s="3" t="s">
        <v>1287</v>
      </c>
      <c r="DU50" s="3">
        <v>0</v>
      </c>
      <c r="DV50" s="3">
        <v>0.88</v>
      </c>
      <c r="DW50" s="3">
        <v>0</v>
      </c>
      <c r="DX50" s="3">
        <v>2021662</v>
      </c>
      <c r="DY50" s="3">
        <v>9706.1299999999992</v>
      </c>
      <c r="DZ50" s="3">
        <v>2.2141999999999999</v>
      </c>
      <c r="EA50" s="21">
        <f ca="1">_xll.IMDP("BND",DR50,EA8,DR3)</f>
        <v>20281020</v>
      </c>
      <c r="EB50" s="23">
        <f ca="1">_xll.IMDP("BND",DR50,EB8,DR3)</f>
        <v>4.5510000000000002</v>
      </c>
    </row>
    <row r="51" spans="1:132" ht="13.5" customHeight="1" x14ac:dyDescent="0.3">
      <c r="A51" s="2">
        <v>46198</v>
      </c>
      <c r="B51" s="3" t="s">
        <v>801</v>
      </c>
      <c r="C51" s="3" t="s">
        <v>802</v>
      </c>
      <c r="D51" s="3" t="s">
        <v>803</v>
      </c>
      <c r="E51" s="3">
        <v>0</v>
      </c>
      <c r="F51" s="3">
        <v>0.46</v>
      </c>
      <c r="G51" s="3">
        <v>0</v>
      </c>
      <c r="H51" s="3">
        <v>516091</v>
      </c>
      <c r="I51" s="3">
        <v>9717.75</v>
      </c>
      <c r="J51" s="3">
        <v>2.3016000000000001</v>
      </c>
      <c r="K51" s="21">
        <f ca="1">_xll.IMDP("BND",B51,K8,B3)</f>
        <v>20281124</v>
      </c>
      <c r="L51" s="23">
        <f ca="1">_xll.IMDP("BND",B51,L8,B3)</f>
        <v>4.0629999999999997</v>
      </c>
      <c r="M51" s="2"/>
      <c r="W51" s="21" t="str">
        <f ca="1">_xll.IMDP("BND",N51,W8,N3)</f>
        <v>입력오류</v>
      </c>
      <c r="X51" s="23" t="str">
        <f ca="1">_xll.IMDP("BND",N51,X8,N3)</f>
        <v>입력오류</v>
      </c>
      <c r="Y51" s="2"/>
      <c r="AI51" s="21" t="str">
        <f ca="1">_xll.IMDP("BND",Z51,AI8,Z3)</f>
        <v>입력오류</v>
      </c>
      <c r="AJ51" s="23" t="str">
        <f ca="1">_xll.IMDP("BND",Z51,AJ8,Z3)</f>
        <v>입력오류</v>
      </c>
      <c r="AK51" s="2"/>
      <c r="AU51" s="21" t="str">
        <f ca="1">_xll.IMDP("BND",AL51,AU8,AL3)</f>
        <v>입력오류</v>
      </c>
      <c r="AV51" s="23" t="str">
        <f ca="1">_xll.IMDP("BND",AL51,AV8,AL3)</f>
        <v>입력오류</v>
      </c>
      <c r="AW51" s="2"/>
      <c r="BG51" s="21" t="str">
        <f ca="1">_xll.IMDP("BND",AX51,BG8,AX3)</f>
        <v>입력오류</v>
      </c>
      <c r="BH51" s="23" t="str">
        <f ca="1">_xll.IMDP("BND",AX51,BH8,AX3)</f>
        <v>입력오류</v>
      </c>
      <c r="BI51" s="2">
        <v>46198</v>
      </c>
      <c r="BJ51" s="3" t="s">
        <v>454</v>
      </c>
      <c r="BK51" s="3" t="s">
        <v>455</v>
      </c>
      <c r="BL51" s="3" t="s">
        <v>456</v>
      </c>
      <c r="BM51" s="3">
        <v>0</v>
      </c>
      <c r="BN51" s="3">
        <v>0.61</v>
      </c>
      <c r="BO51" s="3">
        <v>0</v>
      </c>
      <c r="BP51" s="3">
        <v>763884</v>
      </c>
      <c r="BS51" s="21" t="str">
        <f ca="1">_xll.IMDP("BND",BJ51,BS8,BJ3)</f>
        <v/>
      </c>
      <c r="BT51" s="23" t="str">
        <f ca="1">_xll.IMDP("BND",BJ51,BT8,BJ3)</f>
        <v/>
      </c>
      <c r="BU51" s="2">
        <v>46198</v>
      </c>
      <c r="BV51" s="3" t="s">
        <v>1058</v>
      </c>
      <c r="BW51" s="3" t="s">
        <v>1059</v>
      </c>
      <c r="BX51" s="3" t="s">
        <v>1060</v>
      </c>
      <c r="BY51" s="3">
        <v>0</v>
      </c>
      <c r="BZ51" s="3">
        <v>0.7</v>
      </c>
      <c r="CA51" s="3">
        <v>0</v>
      </c>
      <c r="CB51" s="3">
        <v>938013</v>
      </c>
      <c r="CC51" s="3">
        <v>10054.6</v>
      </c>
      <c r="CD51" s="3">
        <v>0.1069</v>
      </c>
      <c r="CE51" s="21">
        <f ca="1">_xll.IMDP("BND",BV51,CE8,BV3)</f>
        <v>20260803</v>
      </c>
      <c r="CF51" s="23">
        <f ca="1">_xll.IMDP("BND",BV51,CF8,BV3)</f>
        <v>3.2290000000000001</v>
      </c>
      <c r="CG51" s="2">
        <v>46198</v>
      </c>
      <c r="CH51" s="3" t="s">
        <v>703</v>
      </c>
      <c r="CI51" s="3" t="s">
        <v>704</v>
      </c>
      <c r="CJ51" s="3" t="s">
        <v>705</v>
      </c>
      <c r="CK51" s="3">
        <v>0</v>
      </c>
      <c r="CL51" s="3">
        <v>1.22</v>
      </c>
      <c r="CM51" s="3">
        <v>0</v>
      </c>
      <c r="CN51" s="3">
        <v>1250252</v>
      </c>
      <c r="CQ51" s="21" t="str">
        <f ca="1">_xll.IMDP("BND",CH51,CQ8,CH3)</f>
        <v/>
      </c>
      <c r="CR51" s="23" t="str">
        <f ca="1">_xll.IMDP("BND",CH51,CR8,CH3)</f>
        <v/>
      </c>
      <c r="CS51" s="2">
        <v>46198</v>
      </c>
      <c r="CT51" s="3" t="s">
        <v>226</v>
      </c>
      <c r="CU51" s="3" t="s">
        <v>227</v>
      </c>
      <c r="CV51" s="3" t="s">
        <v>228</v>
      </c>
      <c r="CW51" s="3">
        <v>0</v>
      </c>
      <c r="CX51" s="3">
        <v>0.33</v>
      </c>
      <c r="CY51" s="3">
        <v>0</v>
      </c>
      <c r="CZ51" s="3">
        <v>475481</v>
      </c>
      <c r="DA51" s="3">
        <v>10182.49</v>
      </c>
      <c r="DB51" s="3">
        <v>1.0376000000000001</v>
      </c>
      <c r="DC51" s="21">
        <f ca="1">_xll.IMDP("BND",CT51,DC8,CT3)</f>
        <v>20270723</v>
      </c>
      <c r="DD51" s="23">
        <f ca="1">_xll.IMDP("BND",CT51,DD8,CT3)</f>
        <v>3.952</v>
      </c>
      <c r="DE51" s="2"/>
      <c r="DO51" s="21" t="str">
        <f ca="1">_xll.IMDP("BND",DF51,DO8,DF3)</f>
        <v>입력오류</v>
      </c>
      <c r="DP51" s="23" t="str">
        <f ca="1">_xll.IMDP("BND",DF51,DP8,DF3)</f>
        <v>입력오류</v>
      </c>
      <c r="DQ51" s="2">
        <v>46198</v>
      </c>
      <c r="DR51" s="3" t="s">
        <v>1288</v>
      </c>
      <c r="DS51" s="3" t="s">
        <v>1289</v>
      </c>
      <c r="DT51" s="3" t="s">
        <v>1290</v>
      </c>
      <c r="DU51" s="3">
        <v>0</v>
      </c>
      <c r="DV51" s="3">
        <v>0.87</v>
      </c>
      <c r="DW51" s="3">
        <v>0</v>
      </c>
      <c r="DX51" s="3">
        <v>2012349</v>
      </c>
      <c r="DY51" s="3">
        <v>9661.02</v>
      </c>
      <c r="DZ51" s="3">
        <v>3.302</v>
      </c>
      <c r="EA51" s="21">
        <f ca="1">_xll.IMDP("BND",DR51,EA8,DR3)</f>
        <v>20300109</v>
      </c>
      <c r="EB51" s="23">
        <f ca="1">_xll.IMDP("BND",DR51,EB8,DR3)</f>
        <v>4.3819999999999997</v>
      </c>
    </row>
    <row r="52" spans="1:132" ht="13.5" customHeight="1" x14ac:dyDescent="0.3">
      <c r="A52" s="2">
        <v>46198</v>
      </c>
      <c r="B52" s="3" t="s">
        <v>804</v>
      </c>
      <c r="C52" s="3" t="s">
        <v>805</v>
      </c>
      <c r="D52" s="3" t="s">
        <v>806</v>
      </c>
      <c r="E52" s="3">
        <v>0</v>
      </c>
      <c r="F52" s="3">
        <v>0.46</v>
      </c>
      <c r="G52" s="3">
        <v>0</v>
      </c>
      <c r="H52" s="3">
        <v>513096</v>
      </c>
      <c r="I52" s="3">
        <v>9661.2800000000007</v>
      </c>
      <c r="J52" s="3">
        <v>2.3471000000000002</v>
      </c>
      <c r="K52" s="21">
        <f ca="1">_xll.IMDP("BND",B52,K8,B3)</f>
        <v>20281209</v>
      </c>
      <c r="L52" s="23">
        <f ca="1">_xll.IMDP("BND",B52,L8,B3)</f>
        <v>4.0640000000000001</v>
      </c>
      <c r="M52" s="2"/>
      <c r="W52" s="21" t="str">
        <f ca="1">_xll.IMDP("BND",N52,W8,N3)</f>
        <v>입력오류</v>
      </c>
      <c r="X52" s="23" t="str">
        <f ca="1">_xll.IMDP("BND",N52,X8,N3)</f>
        <v>입력오류</v>
      </c>
      <c r="Y52" s="2"/>
      <c r="AI52" s="21" t="str">
        <f ca="1">_xll.IMDP("BND",Z52,AI8,Z3)</f>
        <v>입력오류</v>
      </c>
      <c r="AJ52" s="23" t="str">
        <f ca="1">_xll.IMDP("BND",Z52,AJ8,Z3)</f>
        <v>입력오류</v>
      </c>
      <c r="AK52" s="2"/>
      <c r="AU52" s="21" t="str">
        <f ca="1">_xll.IMDP("BND",AL52,AU8,AL3)</f>
        <v>입력오류</v>
      </c>
      <c r="AV52" s="23" t="str">
        <f ca="1">_xll.IMDP("BND",AL52,AV8,AL3)</f>
        <v>입력오류</v>
      </c>
      <c r="AW52" s="2"/>
      <c r="BG52" s="21" t="str">
        <f ca="1">_xll.IMDP("BND",AX52,BG8,AX3)</f>
        <v>입력오류</v>
      </c>
      <c r="BH52" s="23" t="str">
        <f ca="1">_xll.IMDP("BND",AX52,BH8,AX3)</f>
        <v>입력오류</v>
      </c>
      <c r="BI52" s="2">
        <v>46198</v>
      </c>
      <c r="BJ52" s="3" t="s">
        <v>451</v>
      </c>
      <c r="BK52" s="3" t="s">
        <v>452</v>
      </c>
      <c r="BL52" s="3" t="s">
        <v>453</v>
      </c>
      <c r="BM52" s="3">
        <v>0</v>
      </c>
      <c r="BN52" s="3">
        <v>0.61</v>
      </c>
      <c r="BO52" s="3">
        <v>0</v>
      </c>
      <c r="BP52" s="3">
        <v>763836</v>
      </c>
      <c r="BQ52" s="3">
        <v>9959.7800000000007</v>
      </c>
      <c r="BR52" s="3">
        <v>2.6394000000000002</v>
      </c>
      <c r="BS52" s="21">
        <f ca="1">_xll.IMDP("BND",BJ52,BS8,BJ3)</f>
        <v>20290417</v>
      </c>
      <c r="BT52" s="23">
        <f ca="1">_xll.IMDP("BND",BJ52,BT8,BJ3)</f>
        <v>4.069</v>
      </c>
      <c r="BU52" s="2">
        <v>46198</v>
      </c>
      <c r="BV52" s="3" t="s">
        <v>1061</v>
      </c>
      <c r="BW52" s="3" t="s">
        <v>1062</v>
      </c>
      <c r="BX52" s="3" t="s">
        <v>1063</v>
      </c>
      <c r="BY52" s="3">
        <v>0</v>
      </c>
      <c r="BZ52" s="3">
        <v>0.7</v>
      </c>
      <c r="CA52" s="3">
        <v>0</v>
      </c>
      <c r="CB52" s="3">
        <v>937617</v>
      </c>
      <c r="CC52" s="3">
        <v>10050.19</v>
      </c>
      <c r="CD52" s="3">
        <v>0.1938</v>
      </c>
      <c r="CE52" s="21">
        <f ca="1">_xll.IMDP("BND",BV52,CE8,BV3)</f>
        <v>20260904</v>
      </c>
      <c r="CF52" s="23">
        <f ca="1">_xll.IMDP("BND",BV52,CF8,BV3)</f>
        <v>3.3</v>
      </c>
      <c r="CG52" s="2">
        <v>46198</v>
      </c>
      <c r="CH52" s="3" t="s">
        <v>707</v>
      </c>
      <c r="CI52" s="3" t="s">
        <v>697</v>
      </c>
      <c r="CJ52" s="3" t="s">
        <v>698</v>
      </c>
      <c r="CK52" s="3">
        <v>0</v>
      </c>
      <c r="CL52" s="3">
        <v>1.22</v>
      </c>
      <c r="CM52" s="3">
        <v>0</v>
      </c>
      <c r="CN52" s="3">
        <v>1248950</v>
      </c>
      <c r="CQ52" s="21" t="str">
        <f ca="1">_xll.IMDP("BND",CH52,CQ8,CH3)</f>
        <v/>
      </c>
      <c r="CR52" s="23" t="str">
        <f ca="1">_xll.IMDP("BND",CH52,CR8,CH3)</f>
        <v/>
      </c>
      <c r="CS52" s="2">
        <v>46198</v>
      </c>
      <c r="CT52" s="3" t="s">
        <v>229</v>
      </c>
      <c r="CU52" s="3" t="s">
        <v>191</v>
      </c>
      <c r="CV52" s="3" t="s">
        <v>230</v>
      </c>
      <c r="CW52" s="3">
        <v>0</v>
      </c>
      <c r="CX52" s="3">
        <v>0.33</v>
      </c>
      <c r="CY52" s="3">
        <v>0</v>
      </c>
      <c r="CZ52" s="3">
        <v>473849</v>
      </c>
      <c r="DA52" s="3">
        <v>10148.24</v>
      </c>
      <c r="DB52" s="3">
        <v>0.78239999999999998</v>
      </c>
      <c r="DC52" s="21">
        <f ca="1">_xll.IMDP("BND",CT52,DC8,CT3)</f>
        <v>20270416</v>
      </c>
      <c r="DD52" s="23">
        <f ca="1">_xll.IMDP("BND",CT52,DD8,CT3)</f>
        <v>3.827</v>
      </c>
      <c r="DE52" s="2"/>
      <c r="DO52" s="21" t="str">
        <f ca="1">_xll.IMDP("BND",DF52,DO8,DF3)</f>
        <v>입력오류</v>
      </c>
      <c r="DP52" s="23" t="str">
        <f ca="1">_xll.IMDP("BND",DF52,DP8,DF3)</f>
        <v>입력오류</v>
      </c>
      <c r="DQ52" s="2">
        <v>46198</v>
      </c>
      <c r="DR52" s="3" t="s">
        <v>1291</v>
      </c>
      <c r="DS52" s="3" t="s">
        <v>173</v>
      </c>
      <c r="DT52" s="3" t="s">
        <v>1292</v>
      </c>
      <c r="DU52" s="3">
        <v>0</v>
      </c>
      <c r="DV52" s="3">
        <v>0.87</v>
      </c>
      <c r="DW52" s="3">
        <v>0</v>
      </c>
      <c r="DX52" s="3">
        <v>2010499</v>
      </c>
      <c r="DY52" s="3">
        <v>9648.2900000000009</v>
      </c>
      <c r="DZ52" s="3">
        <v>3.3431000000000002</v>
      </c>
      <c r="EA52" s="21">
        <f ca="1">_xll.IMDP("BND",DR52,EA8,DR3)</f>
        <v>20300124</v>
      </c>
      <c r="EB52" s="23">
        <f ca="1">_xll.IMDP("BND",DR52,EB8,DR3)</f>
        <v>4.3650000000000002</v>
      </c>
    </row>
    <row r="53" spans="1:132" ht="13.5" customHeight="1" x14ac:dyDescent="0.3">
      <c r="A53" s="2">
        <v>46198</v>
      </c>
      <c r="B53" s="3" t="s">
        <v>807</v>
      </c>
      <c r="C53" s="3" t="s">
        <v>808</v>
      </c>
      <c r="D53" s="3" t="s">
        <v>809</v>
      </c>
      <c r="E53" s="3">
        <v>0</v>
      </c>
      <c r="F53" s="3">
        <v>0.43</v>
      </c>
      <c r="G53" s="3">
        <v>0</v>
      </c>
      <c r="H53" s="3">
        <v>481610</v>
      </c>
      <c r="I53" s="3">
        <v>9068.82</v>
      </c>
      <c r="J53" s="3">
        <v>5.4047999999999998</v>
      </c>
      <c r="K53" s="21">
        <f ca="1">_xll.IMDP("BND",B53,K8,B3)</f>
        <v>20320525</v>
      </c>
      <c r="L53" s="23">
        <f ca="1">_xll.IMDP("BND",B53,L8,B3)</f>
        <v>4.4390000000000001</v>
      </c>
      <c r="M53" s="2"/>
      <c r="W53" s="21" t="str">
        <f ca="1">_xll.IMDP("BND",N53,W8,N3)</f>
        <v>입력오류</v>
      </c>
      <c r="X53" s="23" t="str">
        <f ca="1">_xll.IMDP("BND",N53,X8,N3)</f>
        <v>입력오류</v>
      </c>
      <c r="Y53" s="2"/>
      <c r="AI53" s="21" t="str">
        <f ca="1">_xll.IMDP("BND",Z53,AI8,Z3)</f>
        <v>입력오류</v>
      </c>
      <c r="AJ53" s="23" t="str">
        <f ca="1">_xll.IMDP("BND",Z53,AJ8,Z3)</f>
        <v>입력오류</v>
      </c>
      <c r="AK53" s="2"/>
      <c r="AU53" s="21" t="str">
        <f ca="1">_xll.IMDP("BND",AL53,AU8,AL3)</f>
        <v>입력오류</v>
      </c>
      <c r="AV53" s="23" t="str">
        <f ca="1">_xll.IMDP("BND",AL53,AV8,AL3)</f>
        <v>입력오류</v>
      </c>
      <c r="AW53" s="2"/>
      <c r="BG53" s="21" t="str">
        <f ca="1">_xll.IMDP("BND",AX53,BG8,AX3)</f>
        <v>입력오류</v>
      </c>
      <c r="BH53" s="23" t="str">
        <f ca="1">_xll.IMDP("BND",AX53,BH8,AX3)</f>
        <v>입력오류</v>
      </c>
      <c r="BI53" s="2">
        <v>46198</v>
      </c>
      <c r="BJ53" s="3" t="s">
        <v>457</v>
      </c>
      <c r="BK53" s="3" t="s">
        <v>458</v>
      </c>
      <c r="BL53" s="3" t="s">
        <v>459</v>
      </c>
      <c r="BM53" s="3">
        <v>0</v>
      </c>
      <c r="BN53" s="3">
        <v>0.61</v>
      </c>
      <c r="BO53" s="3">
        <v>0</v>
      </c>
      <c r="BP53" s="3">
        <v>763608</v>
      </c>
      <c r="BS53" s="21" t="str">
        <f ca="1">_xll.IMDP("BND",BJ53,BS8,BJ3)</f>
        <v/>
      </c>
      <c r="BT53" s="23" t="str">
        <f ca="1">_xll.IMDP("BND",BJ53,BT8,BJ3)</f>
        <v/>
      </c>
      <c r="BU53" s="2">
        <v>46198</v>
      </c>
      <c r="BV53" s="3" t="s">
        <v>1064</v>
      </c>
      <c r="BW53" s="3" t="s">
        <v>1065</v>
      </c>
      <c r="BX53" s="3" t="s">
        <v>1066</v>
      </c>
      <c r="BY53" s="3">
        <v>0</v>
      </c>
      <c r="BZ53" s="3">
        <v>0.7</v>
      </c>
      <c r="CA53" s="3">
        <v>0</v>
      </c>
      <c r="CB53" s="3">
        <v>937538</v>
      </c>
      <c r="CC53" s="3">
        <v>10049.64</v>
      </c>
      <c r="CD53" s="3">
        <v>0.25869999999999999</v>
      </c>
      <c r="CE53" s="21">
        <f ca="1">_xll.IMDP("BND",BV53,CE8,BV3)</f>
        <v>20260929</v>
      </c>
      <c r="CF53" s="23">
        <f ca="1">_xll.IMDP("BND",BV53,CF8,BV3)</f>
        <v>3.2330000000000001</v>
      </c>
      <c r="CG53" s="2">
        <v>46198</v>
      </c>
      <c r="CH53" s="3" t="s">
        <v>706</v>
      </c>
      <c r="CI53" s="3" t="s">
        <v>697</v>
      </c>
      <c r="CJ53" s="3" t="s">
        <v>698</v>
      </c>
      <c r="CK53" s="3">
        <v>0</v>
      </c>
      <c r="CL53" s="3">
        <v>1.22</v>
      </c>
      <c r="CM53" s="3">
        <v>0</v>
      </c>
      <c r="CN53" s="3">
        <v>1248950</v>
      </c>
      <c r="CQ53" s="21" t="str">
        <f ca="1">_xll.IMDP("BND",CH53,CQ8,CH3)</f>
        <v/>
      </c>
      <c r="CR53" s="23" t="str">
        <f ca="1">_xll.IMDP("BND",CH53,CR8,CH3)</f>
        <v/>
      </c>
      <c r="CS53" s="2">
        <v>46198</v>
      </c>
      <c r="CT53" s="3" t="s">
        <v>231</v>
      </c>
      <c r="CU53" s="3" t="s">
        <v>232</v>
      </c>
      <c r="CV53" s="3" t="s">
        <v>233</v>
      </c>
      <c r="CW53" s="3">
        <v>0</v>
      </c>
      <c r="CX53" s="3">
        <v>0.33</v>
      </c>
      <c r="CY53" s="3">
        <v>0</v>
      </c>
      <c r="CZ53" s="3">
        <v>473095</v>
      </c>
      <c r="DA53" s="3">
        <v>10131.700000000001</v>
      </c>
      <c r="DB53" s="3">
        <v>0.54300000000000004</v>
      </c>
      <c r="DC53" s="21">
        <f ca="1">_xll.IMDP("BND",CT53,DC8,CT3)</f>
        <v>20270115</v>
      </c>
      <c r="DD53" s="23">
        <f ca="1">_xll.IMDP("BND",CT53,DD8,CT3)</f>
        <v>4.0149999999999997</v>
      </c>
      <c r="DE53" s="2"/>
      <c r="DO53" s="21" t="str">
        <f ca="1">_xll.IMDP("BND",DF53,DO8,DF3)</f>
        <v>입력오류</v>
      </c>
      <c r="DP53" s="23" t="str">
        <f ca="1">_xll.IMDP("BND",DF53,DP8,DF3)</f>
        <v>입력오류</v>
      </c>
      <c r="DQ53" s="2">
        <v>46198</v>
      </c>
      <c r="DR53" s="3" t="s">
        <v>1293</v>
      </c>
      <c r="DS53" s="3" t="s">
        <v>1294</v>
      </c>
      <c r="DT53" s="3" t="s">
        <v>1295</v>
      </c>
      <c r="DU53" s="3">
        <v>0</v>
      </c>
      <c r="DV53" s="3">
        <v>0.87</v>
      </c>
      <c r="DW53" s="3">
        <v>0</v>
      </c>
      <c r="DX53" s="3">
        <v>2008537</v>
      </c>
      <c r="DY53" s="3">
        <v>9642.73</v>
      </c>
      <c r="DZ53" s="3">
        <v>3.3422000000000001</v>
      </c>
      <c r="EA53" s="21">
        <f ca="1">_xll.IMDP("BND",DR53,EA8,DR3)</f>
        <v>20300124</v>
      </c>
      <c r="EB53" s="23">
        <f ca="1">_xll.IMDP("BND",DR53,EB8,DR3)</f>
        <v>4.3929999999999998</v>
      </c>
    </row>
    <row r="54" spans="1:132" ht="13.5" customHeight="1" x14ac:dyDescent="0.3">
      <c r="A54" s="2">
        <v>46198</v>
      </c>
      <c r="B54" s="3" t="s">
        <v>810</v>
      </c>
      <c r="C54" s="3" t="s">
        <v>811</v>
      </c>
      <c r="D54" s="3" t="s">
        <v>812</v>
      </c>
      <c r="E54" s="3">
        <v>0</v>
      </c>
      <c r="F54" s="3">
        <v>0.43</v>
      </c>
      <c r="G54" s="3">
        <v>0</v>
      </c>
      <c r="H54" s="3">
        <v>478308</v>
      </c>
      <c r="I54" s="3">
        <v>9009.83</v>
      </c>
      <c r="J54" s="3">
        <v>7.7938000000000001</v>
      </c>
      <c r="K54" s="21">
        <f ca="1">_xll.IMDP("BND",B54,K8,B3)</f>
        <v>20350831</v>
      </c>
      <c r="L54" s="23">
        <f ca="1">_xll.IMDP("BND",B54,L8,B3)</f>
        <v>4.5910000000000002</v>
      </c>
      <c r="M54" s="2"/>
      <c r="W54" s="21" t="str">
        <f ca="1">_xll.IMDP("BND",N54,W8,N3)</f>
        <v>입력오류</v>
      </c>
      <c r="X54" s="23" t="str">
        <f ca="1">_xll.IMDP("BND",N54,X8,N3)</f>
        <v>입력오류</v>
      </c>
      <c r="Y54" s="2"/>
      <c r="AI54" s="21" t="str">
        <f ca="1">_xll.IMDP("BND",Z54,AI8,Z3)</f>
        <v>입력오류</v>
      </c>
      <c r="AJ54" s="23" t="str">
        <f ca="1">_xll.IMDP("BND",Z54,AJ8,Z3)</f>
        <v>입력오류</v>
      </c>
      <c r="AK54" s="2"/>
      <c r="AU54" s="21" t="str">
        <f ca="1">_xll.IMDP("BND",AL54,AU8,AL3)</f>
        <v>입력오류</v>
      </c>
      <c r="AV54" s="23" t="str">
        <f ca="1">_xll.IMDP("BND",AL54,AV8,AL3)</f>
        <v>입력오류</v>
      </c>
      <c r="AW54" s="2"/>
      <c r="BG54" s="21" t="str">
        <f ca="1">_xll.IMDP("BND",AX54,BG8,AX3)</f>
        <v>입력오류</v>
      </c>
      <c r="BH54" s="23" t="str">
        <f ca="1">_xll.IMDP("BND",AX54,BH8,AX3)</f>
        <v>입력오류</v>
      </c>
      <c r="BI54" s="2">
        <v>46198</v>
      </c>
      <c r="BJ54" s="3" t="s">
        <v>460</v>
      </c>
      <c r="BK54" s="3" t="s">
        <v>461</v>
      </c>
      <c r="BL54" s="3" t="s">
        <v>462</v>
      </c>
      <c r="BM54" s="3">
        <v>0</v>
      </c>
      <c r="BN54" s="3">
        <v>0.61</v>
      </c>
      <c r="BO54" s="3">
        <v>0</v>
      </c>
      <c r="BP54" s="3">
        <v>763167</v>
      </c>
      <c r="BQ54" s="3">
        <v>9951.35</v>
      </c>
      <c r="BR54" s="3">
        <v>2.6509</v>
      </c>
      <c r="BS54" s="21">
        <f ca="1">_xll.IMDP("BND",BJ54,BS8,BJ3)</f>
        <v>20290420</v>
      </c>
      <c r="BT54" s="23">
        <f ca="1">_xll.IMDP("BND",BJ54,BT8,BJ3)</f>
        <v>4.0069999999999997</v>
      </c>
      <c r="BU54" s="2">
        <v>46198</v>
      </c>
      <c r="BV54" s="3" t="s">
        <v>1067</v>
      </c>
      <c r="BW54" s="3" t="s">
        <v>1068</v>
      </c>
      <c r="BX54" s="3" t="s">
        <v>1069</v>
      </c>
      <c r="BY54" s="3">
        <v>0</v>
      </c>
      <c r="BZ54" s="3">
        <v>0.7</v>
      </c>
      <c r="CA54" s="3">
        <v>0</v>
      </c>
      <c r="CB54" s="3">
        <v>937347</v>
      </c>
      <c r="CC54" s="3">
        <v>10047.549999999999</v>
      </c>
      <c r="CD54" s="3">
        <v>0.1144</v>
      </c>
      <c r="CE54" s="21">
        <f ca="1">_xll.IMDP("BND",BV54,CE8,BV3)</f>
        <v>20260806</v>
      </c>
      <c r="CF54" s="23">
        <f ca="1">_xll.IMDP("BND",BV54,CF8,BV3)</f>
        <v>3.1619999999999999</v>
      </c>
      <c r="CG54" s="2">
        <v>46198</v>
      </c>
      <c r="CH54" s="3" t="s">
        <v>711</v>
      </c>
      <c r="CI54" s="3" t="s">
        <v>712</v>
      </c>
      <c r="CJ54" s="3" t="s">
        <v>713</v>
      </c>
      <c r="CK54" s="3">
        <v>0</v>
      </c>
      <c r="CL54" s="3">
        <v>1.22</v>
      </c>
      <c r="CM54" s="3">
        <v>0</v>
      </c>
      <c r="CN54" s="3">
        <v>1241285</v>
      </c>
      <c r="CO54" s="3">
        <v>10054.51</v>
      </c>
      <c r="CP54" s="3">
        <v>0.56620000000000004</v>
      </c>
      <c r="CQ54" s="21">
        <f ca="1">_xll.IMDP("BND",CH54,CQ8,CH3)</f>
        <v>20270122</v>
      </c>
      <c r="CR54" s="23">
        <f ca="1">_xll.IMDP("BND",CH54,CR8,CH3)</f>
        <v>3.6030000000000002</v>
      </c>
      <c r="CS54" s="2">
        <v>46198</v>
      </c>
      <c r="CT54" s="3" t="s">
        <v>234</v>
      </c>
      <c r="CU54" s="3" t="s">
        <v>235</v>
      </c>
      <c r="CV54" s="3" t="s">
        <v>236</v>
      </c>
      <c r="CW54" s="3">
        <v>0</v>
      </c>
      <c r="CX54" s="3">
        <v>0.33</v>
      </c>
      <c r="CY54" s="3">
        <v>0</v>
      </c>
      <c r="CZ54" s="3">
        <v>471800</v>
      </c>
      <c r="DA54" s="3">
        <v>10104.15</v>
      </c>
      <c r="DB54" s="3">
        <v>0.62709999999999999</v>
      </c>
      <c r="DC54" s="21">
        <f ca="1">_xll.IMDP("BND",CT54,DC8,CT3)</f>
        <v>20270215</v>
      </c>
      <c r="DD54" s="23">
        <f ca="1">_xll.IMDP("BND",CT54,DD8,CT3)</f>
        <v>3.6629999999999998</v>
      </c>
      <c r="DE54" s="2"/>
      <c r="DO54" s="21" t="str">
        <f ca="1">_xll.IMDP("BND",DF54,DO8,DF3)</f>
        <v>입력오류</v>
      </c>
      <c r="DP54" s="23" t="str">
        <f ca="1">_xll.IMDP("BND",DF54,DP8,DF3)</f>
        <v>입력오류</v>
      </c>
      <c r="DQ54" s="2">
        <v>46198</v>
      </c>
      <c r="DR54" s="3" t="s">
        <v>1296</v>
      </c>
      <c r="DS54" s="3" t="s">
        <v>1297</v>
      </c>
      <c r="DT54" s="3" t="s">
        <v>1298</v>
      </c>
      <c r="DU54" s="3">
        <v>0</v>
      </c>
      <c r="DV54" s="3">
        <v>0.87</v>
      </c>
      <c r="DW54" s="3">
        <v>0</v>
      </c>
      <c r="DX54" s="3">
        <v>2002716</v>
      </c>
      <c r="DY54" s="3">
        <v>9611.74</v>
      </c>
      <c r="DZ54" s="3">
        <v>3.4201000000000001</v>
      </c>
      <c r="EA54" s="21">
        <f ca="1">_xll.IMDP("BND",DR54,EA8,DR3)</f>
        <v>20300218</v>
      </c>
      <c r="EB54" s="23">
        <f ca="1">_xll.IMDP("BND",DR54,EB8,DR3)</f>
        <v>4.2329999999999997</v>
      </c>
    </row>
    <row r="55" spans="1:132" ht="13.5" customHeight="1" x14ac:dyDescent="0.3">
      <c r="A55" s="2">
        <v>46198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467701</v>
      </c>
      <c r="I55" s="3">
        <v>8986.56</v>
      </c>
      <c r="J55" s="3">
        <v>4.2351000000000001</v>
      </c>
      <c r="K55" s="21">
        <f ca="1">_xll.IMDP("BND",B55,K8,B3)</f>
        <v>20301210</v>
      </c>
      <c r="L55" s="23">
        <f ca="1">_xll.IMDP("BND",B55,L8,B3)</f>
        <v>4.0199999999999996</v>
      </c>
      <c r="M55" s="2"/>
      <c r="W55" s="21" t="str">
        <f ca="1">_xll.IMDP("BND",N55,W8,N3)</f>
        <v>입력오류</v>
      </c>
      <c r="X55" s="23" t="str">
        <f ca="1">_xll.IMDP("BND",N55,X8,N3)</f>
        <v>입력오류</v>
      </c>
      <c r="Y55" s="2"/>
      <c r="AI55" s="21" t="str">
        <f ca="1">_xll.IMDP("BND",Z55,AI8,Z3)</f>
        <v>입력오류</v>
      </c>
      <c r="AJ55" s="23" t="str">
        <f ca="1">_xll.IMDP("BND",Z55,AJ8,Z3)</f>
        <v>입력오류</v>
      </c>
      <c r="AK55" s="2"/>
      <c r="AU55" s="21" t="str">
        <f ca="1">_xll.IMDP("BND",AL55,AU8,AL3)</f>
        <v>입력오류</v>
      </c>
      <c r="AV55" s="23" t="str">
        <f ca="1">_xll.IMDP("BND",AL55,AV8,AL3)</f>
        <v>입력오류</v>
      </c>
      <c r="AW55" s="2"/>
      <c r="BG55" s="21" t="str">
        <f ca="1">_xll.IMDP("BND",AX55,BG8,AX3)</f>
        <v>입력오류</v>
      </c>
      <c r="BH55" s="23" t="str">
        <f ca="1">_xll.IMDP("BND",AX55,BH8,AX3)</f>
        <v>입력오류</v>
      </c>
      <c r="BI55" s="2">
        <v>46198</v>
      </c>
      <c r="BJ55" s="3" t="s">
        <v>463</v>
      </c>
      <c r="BK55" s="3" t="s">
        <v>390</v>
      </c>
      <c r="BL55" s="3" t="s">
        <v>464</v>
      </c>
      <c r="BM55" s="3">
        <v>0</v>
      </c>
      <c r="BN55" s="3">
        <v>0.61</v>
      </c>
      <c r="BO55" s="3">
        <v>0</v>
      </c>
      <c r="BP55" s="3">
        <v>762951</v>
      </c>
      <c r="BQ55" s="3">
        <v>9947.66</v>
      </c>
      <c r="BR55" s="3">
        <v>2.6522000000000001</v>
      </c>
      <c r="BS55" s="21">
        <f ca="1">_xll.IMDP("BND",BJ55,BS8,BJ3)</f>
        <v>20290423</v>
      </c>
      <c r="BT55" s="23">
        <f ca="1">_xll.IMDP("BND",BJ55,BT8,BJ3)</f>
        <v>4.1689999999999996</v>
      </c>
      <c r="BU55" s="2">
        <v>46198</v>
      </c>
      <c r="BV55" s="3" t="s">
        <v>1070</v>
      </c>
      <c r="BW55" s="3" t="s">
        <v>1071</v>
      </c>
      <c r="BX55" s="3" t="s">
        <v>1072</v>
      </c>
      <c r="BY55" s="3">
        <v>0</v>
      </c>
      <c r="BZ55" s="3">
        <v>0.7</v>
      </c>
      <c r="CA55" s="3">
        <v>0</v>
      </c>
      <c r="CB55" s="3">
        <v>937302</v>
      </c>
      <c r="CC55" s="3">
        <v>10047.06</v>
      </c>
      <c r="CD55" s="3">
        <v>0.15579999999999999</v>
      </c>
      <c r="CE55" s="21">
        <f ca="1">_xll.IMDP("BND",BV55,CE8,BV3)</f>
        <v>20260821</v>
      </c>
      <c r="CF55" s="23">
        <f ca="1">_xll.IMDP("BND",BV55,CF8,BV3)</f>
        <v>3.1859999999999999</v>
      </c>
      <c r="CG55" s="2">
        <v>46198</v>
      </c>
      <c r="CH55" s="3" t="s">
        <v>708</v>
      </c>
      <c r="CI55" s="3" t="s">
        <v>709</v>
      </c>
      <c r="CJ55" s="3" t="s">
        <v>710</v>
      </c>
      <c r="CK55" s="3">
        <v>0</v>
      </c>
      <c r="CL55" s="3">
        <v>1.22</v>
      </c>
      <c r="CM55" s="3">
        <v>0</v>
      </c>
      <c r="CN55" s="3">
        <v>1240958</v>
      </c>
      <c r="CO55" s="3">
        <v>9851.26</v>
      </c>
      <c r="CP55" s="3">
        <v>1.6092</v>
      </c>
      <c r="CQ55" s="21">
        <f ca="1">_xll.IMDP("BND",CH55,CQ8,CH3)</f>
        <v>20280225</v>
      </c>
      <c r="CR55" s="23">
        <f ca="1">_xll.IMDP("BND",CH55,CR8,CH3)</f>
        <v>4.4039999999999999</v>
      </c>
      <c r="CS55" s="2">
        <v>46198</v>
      </c>
      <c r="CT55" s="3" t="s">
        <v>237</v>
      </c>
      <c r="CU55" s="3" t="s">
        <v>238</v>
      </c>
      <c r="CV55" s="3" t="s">
        <v>239</v>
      </c>
      <c r="CW55" s="3">
        <v>0</v>
      </c>
      <c r="CX55" s="3">
        <v>0.33</v>
      </c>
      <c r="CY55" s="3">
        <v>0</v>
      </c>
      <c r="CZ55" s="3">
        <v>470722</v>
      </c>
      <c r="DA55" s="3">
        <v>10080.99</v>
      </c>
      <c r="DB55" s="3">
        <v>0.80130000000000001</v>
      </c>
      <c r="DC55" s="21">
        <f ca="1">_xll.IMDP("BND",CT55,DC8,CT3)</f>
        <v>20270423</v>
      </c>
      <c r="DD55" s="23">
        <f ca="1">_xll.IMDP("BND",CT55,DD8,CT3)</f>
        <v>4.2699999999999996</v>
      </c>
      <c r="DE55" s="2"/>
      <c r="DO55" s="21" t="str">
        <f ca="1">_xll.IMDP("BND",DF55,DO8,DF3)</f>
        <v>입력오류</v>
      </c>
      <c r="DP55" s="23" t="str">
        <f ca="1">_xll.IMDP("BND",DF55,DP8,DF3)</f>
        <v>입력오류</v>
      </c>
      <c r="DQ55" s="2">
        <v>46198</v>
      </c>
      <c r="DR55" s="3" t="s">
        <v>1299</v>
      </c>
      <c r="DS55" s="3" t="s">
        <v>1300</v>
      </c>
      <c r="DT55" s="3" t="s">
        <v>1301</v>
      </c>
      <c r="DU55" s="3">
        <v>0</v>
      </c>
      <c r="DV55" s="3">
        <v>0.87</v>
      </c>
      <c r="DW55" s="3">
        <v>0</v>
      </c>
      <c r="DX55" s="3">
        <v>1998933</v>
      </c>
      <c r="DY55" s="3">
        <v>9595.5300000000007</v>
      </c>
      <c r="DZ55" s="3">
        <v>3.3546999999999998</v>
      </c>
      <c r="EA55" s="21">
        <f ca="1">_xll.IMDP("BND",DR55,EA8,DR3)</f>
        <v>20300124</v>
      </c>
      <c r="EB55" s="23">
        <f ca="1">_xll.IMDP("BND",DR55,EB8,DR3)</f>
        <v>4.3220000000000001</v>
      </c>
    </row>
    <row r="56" spans="1:132" ht="13.5" customHeight="1" x14ac:dyDescent="0.3">
      <c r="A56" s="2">
        <v>46198</v>
      </c>
      <c r="B56" s="3" t="s">
        <v>813</v>
      </c>
      <c r="C56" s="3" t="s">
        <v>255</v>
      </c>
      <c r="D56" s="3" t="s">
        <v>814</v>
      </c>
      <c r="E56" s="3">
        <v>0</v>
      </c>
      <c r="F56" s="3">
        <v>0.42</v>
      </c>
      <c r="G56" s="3">
        <v>0</v>
      </c>
      <c r="H56" s="3">
        <v>462635</v>
      </c>
      <c r="I56" s="3">
        <v>9678.2900000000009</v>
      </c>
      <c r="J56" s="3">
        <v>3.3464</v>
      </c>
      <c r="K56" s="21">
        <f ca="1">_xll.IMDP("BND",B56,K8,B3)</f>
        <v>20300206</v>
      </c>
      <c r="L56" s="23">
        <f ca="1">_xll.IMDP("BND",B56,L8,B3)</f>
        <v>4.2240000000000002</v>
      </c>
      <c r="M56" s="2"/>
      <c r="W56" s="21" t="str">
        <f ca="1">_xll.IMDP("BND",N56,W8,N3)</f>
        <v>입력오류</v>
      </c>
      <c r="X56" s="23" t="str">
        <f ca="1">_xll.IMDP("BND",N56,X8,N3)</f>
        <v>입력오류</v>
      </c>
      <c r="Y56" s="2"/>
      <c r="AI56" s="21" t="str">
        <f ca="1">_xll.IMDP("BND",Z56,AI8,Z3)</f>
        <v>입력오류</v>
      </c>
      <c r="AJ56" s="23" t="str">
        <f ca="1">_xll.IMDP("BND",Z56,AJ8,Z3)</f>
        <v>입력오류</v>
      </c>
      <c r="AK56" s="2"/>
      <c r="AU56" s="21" t="str">
        <f ca="1">_xll.IMDP("BND",AL56,AU8,AL3)</f>
        <v>입력오류</v>
      </c>
      <c r="AV56" s="23" t="str">
        <f ca="1">_xll.IMDP("BND",AL56,AV8,AL3)</f>
        <v>입력오류</v>
      </c>
      <c r="AW56" s="2"/>
      <c r="BG56" s="21" t="str">
        <f ca="1">_xll.IMDP("BND",AX56,BG8,AX3)</f>
        <v>입력오류</v>
      </c>
      <c r="BH56" s="23" t="str">
        <f ca="1">_xll.IMDP("BND",AX56,BH8,AX3)</f>
        <v>입력오류</v>
      </c>
      <c r="BI56" s="2">
        <v>46198</v>
      </c>
      <c r="BJ56" s="3" t="s">
        <v>465</v>
      </c>
      <c r="BK56" s="3" t="s">
        <v>466</v>
      </c>
      <c r="BL56" s="3" t="s">
        <v>467</v>
      </c>
      <c r="BM56" s="3">
        <v>0</v>
      </c>
      <c r="BN56" s="3">
        <v>0.61</v>
      </c>
      <c r="BO56" s="3">
        <v>0</v>
      </c>
      <c r="BP56" s="3">
        <v>762493</v>
      </c>
      <c r="BQ56" s="3">
        <v>9942.49</v>
      </c>
      <c r="BR56" s="3">
        <v>1.3757999999999999</v>
      </c>
      <c r="BS56" s="21">
        <f ca="1">_xll.IMDP("BND",BJ56,BS8,BJ3)</f>
        <v>20271126</v>
      </c>
      <c r="BT56" s="23">
        <f ca="1">_xll.IMDP("BND",BJ56,BT8,BJ3)</f>
        <v>4.0880000000000001</v>
      </c>
      <c r="BU56" s="2">
        <v>46198</v>
      </c>
      <c r="BV56" s="3" t="s">
        <v>1073</v>
      </c>
      <c r="BW56" s="3" t="s">
        <v>1074</v>
      </c>
      <c r="BX56" s="3" t="s">
        <v>1075</v>
      </c>
      <c r="BY56" s="3">
        <v>0</v>
      </c>
      <c r="BZ56" s="3">
        <v>0.7</v>
      </c>
      <c r="CA56" s="3">
        <v>0</v>
      </c>
      <c r="CB56" s="3">
        <v>937290</v>
      </c>
      <c r="CC56" s="3">
        <v>10046.92</v>
      </c>
      <c r="CD56" s="3">
        <v>0.1178</v>
      </c>
      <c r="CE56" s="21">
        <f ca="1">_xll.IMDP("BND",BV56,CE8,BV3)</f>
        <v>20260807</v>
      </c>
      <c r="CF56" s="23">
        <f ca="1">_xll.IMDP("BND",BV56,CF8,BV3)</f>
        <v>3.19</v>
      </c>
      <c r="CG56" s="2">
        <v>46198</v>
      </c>
      <c r="CH56" s="3" t="s">
        <v>714</v>
      </c>
      <c r="CI56" s="3" t="s">
        <v>624</v>
      </c>
      <c r="CJ56" s="3" t="s">
        <v>715</v>
      </c>
      <c r="CK56" s="3">
        <v>0</v>
      </c>
      <c r="CL56" s="3">
        <v>1.21</v>
      </c>
      <c r="CM56" s="3">
        <v>0</v>
      </c>
      <c r="CN56" s="3">
        <v>1233840</v>
      </c>
      <c r="CO56" s="3">
        <v>9793.26</v>
      </c>
      <c r="CP56" s="3">
        <v>1.9693000000000001</v>
      </c>
      <c r="CQ56" s="21">
        <f ca="1">_xll.IMDP("BND",CH56,CQ8,CH3)</f>
        <v>20280728</v>
      </c>
      <c r="CR56" s="23">
        <f ca="1">_xll.IMDP("BND",CH56,CR8,CH3)</f>
        <v>5.6920000000000002</v>
      </c>
      <c r="CS56" s="2">
        <v>46198</v>
      </c>
      <c r="CT56" s="3" t="s">
        <v>240</v>
      </c>
      <c r="CU56" s="3" t="s">
        <v>241</v>
      </c>
      <c r="CV56" s="3" t="s">
        <v>242</v>
      </c>
      <c r="CW56" s="3">
        <v>0</v>
      </c>
      <c r="CX56" s="3">
        <v>0.33</v>
      </c>
      <c r="CY56" s="3">
        <v>0</v>
      </c>
      <c r="CZ56" s="3">
        <v>470426</v>
      </c>
      <c r="DA56" s="3">
        <v>10074.719999999999</v>
      </c>
      <c r="DB56" s="3">
        <v>0.59919999999999995</v>
      </c>
      <c r="DC56" s="21">
        <f ca="1">_xll.IMDP("BND",CT56,DC8,CT3)</f>
        <v>20270205</v>
      </c>
      <c r="DD56" s="23">
        <f ca="1">_xll.IMDP("BND",CT56,DD8,CT3)</f>
        <v>4.0789999999999997</v>
      </c>
      <c r="DE56" s="2"/>
      <c r="DO56" s="21" t="str">
        <f ca="1">_xll.IMDP("BND",DF56,DO8,DF3)</f>
        <v>입력오류</v>
      </c>
      <c r="DP56" s="23" t="str">
        <f ca="1">_xll.IMDP("BND",DF56,DP8,DF3)</f>
        <v>입력오류</v>
      </c>
      <c r="DQ56" s="2">
        <v>46198</v>
      </c>
      <c r="DR56" s="3" t="s">
        <v>1302</v>
      </c>
      <c r="DS56" s="3" t="s">
        <v>1303</v>
      </c>
      <c r="DT56" s="3" t="s">
        <v>1304</v>
      </c>
      <c r="DU56" s="3">
        <v>0</v>
      </c>
      <c r="DV56" s="3">
        <v>0.87</v>
      </c>
      <c r="DW56" s="3">
        <v>0</v>
      </c>
      <c r="DX56" s="3">
        <v>1998292</v>
      </c>
      <c r="DY56" s="3">
        <v>9593.56</v>
      </c>
      <c r="DZ56" s="3">
        <v>3.4344999999999999</v>
      </c>
      <c r="EA56" s="21">
        <f ca="1">_xll.IMDP("BND",DR56,EA8,DR3)</f>
        <v>20300225</v>
      </c>
      <c r="EB56" s="23">
        <f ca="1">_xll.IMDP("BND",DR56,EB8,DR3)</f>
        <v>4.3250000000000002</v>
      </c>
    </row>
    <row r="57" spans="1:132" ht="13.5" customHeight="1" x14ac:dyDescent="0.3">
      <c r="A57" s="2">
        <v>46198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0.41</v>
      </c>
      <c r="G57" s="3">
        <v>0</v>
      </c>
      <c r="H57" s="3">
        <v>460093</v>
      </c>
      <c r="I57" s="3">
        <v>8059.33</v>
      </c>
      <c r="J57" s="3">
        <v>14.0078</v>
      </c>
      <c r="K57" s="21">
        <f ca="1">_xll.IMDP("BND",B57,K8,B3)</f>
        <v>20450910</v>
      </c>
      <c r="L57" s="23">
        <f ca="1">_xll.IMDP("BND",B57,L8,B3)</f>
        <v>4.306</v>
      </c>
      <c r="M57" s="2"/>
      <c r="W57" s="21" t="str">
        <f ca="1">_xll.IMDP("BND",N57,W8,N3)</f>
        <v>입력오류</v>
      </c>
      <c r="X57" s="23" t="str">
        <f ca="1">_xll.IMDP("BND",N57,X8,N3)</f>
        <v>입력오류</v>
      </c>
      <c r="Y57" s="2"/>
      <c r="AI57" s="21" t="str">
        <f ca="1">_xll.IMDP("BND",Z57,AI8,Z3)</f>
        <v>입력오류</v>
      </c>
      <c r="AJ57" s="23" t="str">
        <f ca="1">_xll.IMDP("BND",Z57,AJ8,Z3)</f>
        <v>입력오류</v>
      </c>
      <c r="AK57" s="2"/>
      <c r="AU57" s="21" t="str">
        <f ca="1">_xll.IMDP("BND",AL57,AU8,AL3)</f>
        <v>입력오류</v>
      </c>
      <c r="AV57" s="23" t="str">
        <f ca="1">_xll.IMDP("BND",AL57,AV8,AL3)</f>
        <v>입력오류</v>
      </c>
      <c r="AW57" s="2"/>
      <c r="BG57" s="21" t="str">
        <f ca="1">_xll.IMDP("BND",AX57,BG8,AX3)</f>
        <v>입력오류</v>
      </c>
      <c r="BH57" s="23" t="str">
        <f ca="1">_xll.IMDP("BND",AX57,BH8,AX3)</f>
        <v>입력오류</v>
      </c>
      <c r="BI57" s="2">
        <v>46198</v>
      </c>
      <c r="BJ57" s="3" t="s">
        <v>468</v>
      </c>
      <c r="BK57" s="3" t="s">
        <v>469</v>
      </c>
      <c r="BL57" s="3" t="s">
        <v>470</v>
      </c>
      <c r="BM57" s="3">
        <v>0</v>
      </c>
      <c r="BN57" s="3">
        <v>0.61</v>
      </c>
      <c r="BO57" s="3">
        <v>0</v>
      </c>
      <c r="BP57" s="3">
        <v>761643</v>
      </c>
      <c r="BQ57" s="3">
        <v>9931.59</v>
      </c>
      <c r="BR57" s="3">
        <v>1.1805000000000001</v>
      </c>
      <c r="BS57" s="21">
        <f ca="1">_xll.IMDP("BND",BJ57,BS8,BJ3)</f>
        <v>20270910</v>
      </c>
      <c r="BT57" s="23">
        <f ca="1">_xll.IMDP("BND",BJ57,BT8,BJ3)</f>
        <v>3.927</v>
      </c>
      <c r="BU57" s="2">
        <v>46198</v>
      </c>
      <c r="BV57" s="3" t="s">
        <v>1076</v>
      </c>
      <c r="BW57" s="3" t="s">
        <v>1077</v>
      </c>
      <c r="BX57" s="3" t="s">
        <v>1078</v>
      </c>
      <c r="BY57" s="3">
        <v>0</v>
      </c>
      <c r="BZ57" s="3">
        <v>0.7</v>
      </c>
      <c r="CA57" s="3">
        <v>0</v>
      </c>
      <c r="CB57" s="3">
        <v>936887</v>
      </c>
      <c r="CC57" s="3">
        <v>10042.540000000001</v>
      </c>
      <c r="CD57" s="3">
        <v>0.1333</v>
      </c>
      <c r="CE57" s="21">
        <f ca="1">_xll.IMDP("BND",BV57,CE8,BV3)</f>
        <v>20260813</v>
      </c>
      <c r="CF57" s="23">
        <f ca="1">_xll.IMDP("BND",BV57,CF8,BV3)</f>
        <v>3.2040000000000002</v>
      </c>
      <c r="CG57" s="2">
        <v>46198</v>
      </c>
      <c r="CH57" s="3" t="s">
        <v>716</v>
      </c>
      <c r="CI57" s="3" t="s">
        <v>717</v>
      </c>
      <c r="CJ57" s="3" t="s">
        <v>718</v>
      </c>
      <c r="CK57" s="3">
        <v>0</v>
      </c>
      <c r="CL57" s="3">
        <v>0.5</v>
      </c>
      <c r="CM57" s="3">
        <v>0</v>
      </c>
      <c r="CN57" s="3">
        <v>507760</v>
      </c>
      <c r="CO57" s="3">
        <v>10076.6</v>
      </c>
      <c r="CP57" s="3">
        <v>0.68069999999999997</v>
      </c>
      <c r="CQ57" s="21">
        <f ca="1">_xll.IMDP("BND",CH57,CQ8,CH3)</f>
        <v>20270305</v>
      </c>
      <c r="CR57" s="23">
        <f ca="1">_xll.IMDP("BND",CH57,CR8,CH3)</f>
        <v>3.855</v>
      </c>
      <c r="CS57" s="2">
        <v>46198</v>
      </c>
      <c r="CT57" s="3" t="s">
        <v>2720</v>
      </c>
      <c r="CU57" s="3" t="s">
        <v>2721</v>
      </c>
      <c r="CV57" s="3" t="s">
        <v>2722</v>
      </c>
      <c r="CW57" s="3">
        <v>0</v>
      </c>
      <c r="CX57" s="3">
        <v>0.33</v>
      </c>
      <c r="CY57" s="3">
        <v>0</v>
      </c>
      <c r="CZ57" s="3">
        <v>470400</v>
      </c>
      <c r="DA57" s="3">
        <v>10073.48</v>
      </c>
      <c r="DB57" s="3">
        <v>0.81740000000000002</v>
      </c>
      <c r="DC57" s="21">
        <f ca="1">_xll.IMDP("BND",CT57,DC8,CT3)</f>
        <v>20270427</v>
      </c>
      <c r="DD57" s="23">
        <f ca="1">_xll.IMDP("BND",CT57,DD8,CT3)</f>
        <v>3.6659999999999999</v>
      </c>
      <c r="DE57" s="2"/>
      <c r="DO57" s="21" t="str">
        <f ca="1">_xll.IMDP("BND",DF57,DO8,DF3)</f>
        <v>입력오류</v>
      </c>
      <c r="DP57" s="23" t="str">
        <f ca="1">_xll.IMDP("BND",DF57,DP8,DF3)</f>
        <v>입력오류</v>
      </c>
      <c r="DQ57" s="2">
        <v>46198</v>
      </c>
      <c r="DR57" s="3" t="s">
        <v>1305</v>
      </c>
      <c r="DS57" s="3" t="s">
        <v>1306</v>
      </c>
      <c r="DT57" s="3" t="s">
        <v>1307</v>
      </c>
      <c r="DU57" s="3">
        <v>0</v>
      </c>
      <c r="DV57" s="3">
        <v>0.86</v>
      </c>
      <c r="DW57" s="3">
        <v>0</v>
      </c>
      <c r="DX57" s="3">
        <v>1991651</v>
      </c>
      <c r="DY57" s="3">
        <v>9561.64</v>
      </c>
      <c r="DZ57" s="3">
        <v>3.4853000000000001</v>
      </c>
      <c r="EA57" s="21">
        <f ca="1">_xll.IMDP("BND",DR57,EA8,DR3)</f>
        <v>20300315</v>
      </c>
      <c r="EB57" s="23">
        <f ca="1">_xll.IMDP("BND",DR57,EB8,DR3)</f>
        <v>4.37</v>
      </c>
    </row>
    <row r="58" spans="1:132" ht="13.5" customHeight="1" x14ac:dyDescent="0.3">
      <c r="A58" s="2">
        <v>46198</v>
      </c>
      <c r="B58" s="3" t="s">
        <v>815</v>
      </c>
      <c r="C58" s="3" t="s">
        <v>816</v>
      </c>
      <c r="D58" s="3" t="s">
        <v>817</v>
      </c>
      <c r="E58" s="3">
        <v>0</v>
      </c>
      <c r="F58" s="3">
        <v>0.41</v>
      </c>
      <c r="G58" s="3">
        <v>0</v>
      </c>
      <c r="H58" s="3">
        <v>457332</v>
      </c>
      <c r="I58" s="3">
        <v>8608.4599999999991</v>
      </c>
      <c r="J58" s="3">
        <v>20.694400000000002</v>
      </c>
      <c r="K58" s="21">
        <f ca="1">_xll.IMDP("BND",B58,K8,B3)</f>
        <v>20720910</v>
      </c>
      <c r="L58" s="23">
        <f ca="1">_xll.IMDP("BND",B58,L8,B3)</f>
        <v>4.2389999999999999</v>
      </c>
      <c r="M58" s="2"/>
      <c r="W58" s="21" t="str">
        <f ca="1">_xll.IMDP("BND",N58,W8,N3)</f>
        <v>입력오류</v>
      </c>
      <c r="X58" s="23" t="str">
        <f ca="1">_xll.IMDP("BND",N58,X8,N3)</f>
        <v>입력오류</v>
      </c>
      <c r="Y58" s="2"/>
      <c r="AI58" s="21" t="str">
        <f ca="1">_xll.IMDP("BND",Z58,AI8,Z3)</f>
        <v>입력오류</v>
      </c>
      <c r="AJ58" s="23" t="str">
        <f ca="1">_xll.IMDP("BND",Z58,AJ8,Z3)</f>
        <v>입력오류</v>
      </c>
      <c r="AK58" s="2"/>
      <c r="AU58" s="21" t="str">
        <f ca="1">_xll.IMDP("BND",AL58,AU8,AL3)</f>
        <v>입력오류</v>
      </c>
      <c r="AV58" s="23" t="str">
        <f ca="1">_xll.IMDP("BND",AL58,AV8,AL3)</f>
        <v>입력오류</v>
      </c>
      <c r="AW58" s="2"/>
      <c r="BG58" s="21" t="str">
        <f ca="1">_xll.IMDP("BND",AX58,BG8,AX3)</f>
        <v>입력오류</v>
      </c>
      <c r="BH58" s="23" t="str">
        <f ca="1">_xll.IMDP("BND",AX58,BH8,AX3)</f>
        <v>입력오류</v>
      </c>
      <c r="BI58" s="2">
        <v>46198</v>
      </c>
      <c r="BJ58" s="3" t="s">
        <v>471</v>
      </c>
      <c r="BK58" s="3" t="s">
        <v>472</v>
      </c>
      <c r="BL58" s="3" t="s">
        <v>400</v>
      </c>
      <c r="BM58" s="3">
        <v>0</v>
      </c>
      <c r="BN58" s="3">
        <v>0.61</v>
      </c>
      <c r="BO58" s="3">
        <v>0</v>
      </c>
      <c r="BP58" s="3">
        <v>761517</v>
      </c>
      <c r="BS58" s="21" t="str">
        <f ca="1">_xll.IMDP("BND",BJ58,BS8,BJ3)</f>
        <v/>
      </c>
      <c r="BT58" s="23" t="str">
        <f ca="1">_xll.IMDP("BND",BJ58,BT8,BJ3)</f>
        <v/>
      </c>
      <c r="BU58" s="2">
        <v>46198</v>
      </c>
      <c r="BV58" s="3" t="s">
        <v>1079</v>
      </c>
      <c r="BW58" s="3" t="s">
        <v>1080</v>
      </c>
      <c r="BX58" s="3" t="s">
        <v>1081</v>
      </c>
      <c r="BY58" s="3">
        <v>0</v>
      </c>
      <c r="BZ58" s="3">
        <v>0.7</v>
      </c>
      <c r="CA58" s="3">
        <v>0</v>
      </c>
      <c r="CB58" s="3">
        <v>935729</v>
      </c>
      <c r="CC58" s="3">
        <v>10029.91</v>
      </c>
      <c r="CD58" s="3">
        <v>0.41889999999999999</v>
      </c>
      <c r="CE58" s="21">
        <f ca="1">_xll.IMDP("BND",BV58,CE8,BV3)</f>
        <v>20261127</v>
      </c>
      <c r="CF58" s="23">
        <f ca="1">_xll.IMDP("BND",BV58,CF8,BV3)</f>
        <v>3.3620000000000001</v>
      </c>
      <c r="CG58" s="2">
        <v>46198</v>
      </c>
      <c r="CH58" s="3" t="s">
        <v>719</v>
      </c>
      <c r="CI58" s="3" t="s">
        <v>589</v>
      </c>
      <c r="CJ58" s="3" t="s">
        <v>720</v>
      </c>
      <c r="CK58" s="3">
        <v>0</v>
      </c>
      <c r="CL58" s="3">
        <v>0.25</v>
      </c>
      <c r="CM58" s="3">
        <v>0</v>
      </c>
      <c r="CN58" s="3">
        <v>254165</v>
      </c>
      <c r="CO58" s="3">
        <v>10088.15</v>
      </c>
      <c r="CP58" s="3">
        <v>0.65820000000000001</v>
      </c>
      <c r="CQ58" s="21">
        <f ca="1">_xll.IMDP("BND",CH58,CQ8,CH3)</f>
        <v>20270226</v>
      </c>
      <c r="CR58" s="23">
        <f ca="1">_xll.IMDP("BND",CH58,CR8,CH3)</f>
        <v>3.6779999999999999</v>
      </c>
      <c r="CS58" s="2">
        <v>46198</v>
      </c>
      <c r="CT58" s="3" t="s">
        <v>245</v>
      </c>
      <c r="CU58" s="3" t="s">
        <v>246</v>
      </c>
      <c r="CV58" s="3" t="s">
        <v>247</v>
      </c>
      <c r="CW58" s="3">
        <v>0</v>
      </c>
      <c r="CX58" s="3">
        <v>0.33</v>
      </c>
      <c r="CY58" s="3">
        <v>0</v>
      </c>
      <c r="CZ58" s="3">
        <v>470076</v>
      </c>
      <c r="DA58" s="3">
        <v>10066.69</v>
      </c>
      <c r="DB58" s="3">
        <v>0.37880000000000003</v>
      </c>
      <c r="DC58" s="21">
        <f ca="1">_xll.IMDP("BND",CT58,DC8,CT3)</f>
        <v>20261113</v>
      </c>
      <c r="DD58" s="23">
        <f ca="1">_xll.IMDP("BND",CT58,DD8,CT3)</f>
        <v>3.8180000000000001</v>
      </c>
      <c r="DE58" s="2"/>
      <c r="DO58" s="21" t="str">
        <f ca="1">_xll.IMDP("BND",DF58,DO8,DF3)</f>
        <v>입력오류</v>
      </c>
      <c r="DP58" s="23" t="str">
        <f ca="1">_xll.IMDP("BND",DF58,DP8,DF3)</f>
        <v>입력오류</v>
      </c>
      <c r="DQ58" s="2">
        <v>46198</v>
      </c>
      <c r="DR58" s="3" t="s">
        <v>1308</v>
      </c>
      <c r="DS58" s="3" t="s">
        <v>1309</v>
      </c>
      <c r="DT58" s="3" t="s">
        <v>1310</v>
      </c>
      <c r="DU58" s="3">
        <v>0</v>
      </c>
      <c r="DV58" s="3">
        <v>0.86</v>
      </c>
      <c r="DW58" s="3">
        <v>0</v>
      </c>
      <c r="DX58" s="3">
        <v>1988300</v>
      </c>
      <c r="DY58" s="3">
        <v>9542.08</v>
      </c>
      <c r="DZ58" s="3">
        <v>3.4681000000000002</v>
      </c>
      <c r="EA58" s="21">
        <f ca="1">_xll.IMDP("BND",DR58,EA8,DR3)</f>
        <v>20300314</v>
      </c>
      <c r="EB58" s="23">
        <f ca="1">_xll.IMDP("BND",DR58,EB8,DR3)</f>
        <v>4.6589999999999998</v>
      </c>
    </row>
    <row r="59" spans="1:132" ht="13.5" customHeight="1" x14ac:dyDescent="0.3">
      <c r="A59" s="2">
        <v>46198</v>
      </c>
      <c r="B59" s="3" t="s">
        <v>818</v>
      </c>
      <c r="C59" s="3" t="s">
        <v>548</v>
      </c>
      <c r="D59" s="3" t="s">
        <v>819</v>
      </c>
      <c r="E59" s="3">
        <v>0</v>
      </c>
      <c r="F59" s="3">
        <v>0.4</v>
      </c>
      <c r="G59" s="3">
        <v>0</v>
      </c>
      <c r="H59" s="3">
        <v>449362</v>
      </c>
      <c r="I59" s="3">
        <v>9895.2800000000007</v>
      </c>
      <c r="J59" s="3">
        <v>1.5955999999999999</v>
      </c>
      <c r="K59" s="21">
        <f ca="1">_xll.IMDP("BND",B59,K8,B3)</f>
        <v>20280220</v>
      </c>
      <c r="L59" s="23">
        <f ca="1">_xll.IMDP("BND",B59,L8,B3)</f>
        <v>4.1470000000000002</v>
      </c>
      <c r="M59" s="2"/>
      <c r="W59" s="21" t="str">
        <f ca="1">_xll.IMDP("BND",N59,W8,N3)</f>
        <v>입력오류</v>
      </c>
      <c r="X59" s="23" t="str">
        <f ca="1">_xll.IMDP("BND",N59,X8,N3)</f>
        <v>입력오류</v>
      </c>
      <c r="Y59" s="2"/>
      <c r="AI59" s="21" t="str">
        <f ca="1">_xll.IMDP("BND",Z59,AI8,Z3)</f>
        <v>입력오류</v>
      </c>
      <c r="AJ59" s="23" t="str">
        <f ca="1">_xll.IMDP("BND",Z59,AJ8,Z3)</f>
        <v>입력오류</v>
      </c>
      <c r="AK59" s="2"/>
      <c r="AU59" s="21" t="str">
        <f ca="1">_xll.IMDP("BND",AL59,AU8,AL3)</f>
        <v>입력오류</v>
      </c>
      <c r="AV59" s="23" t="str">
        <f ca="1">_xll.IMDP("BND",AL59,AV8,AL3)</f>
        <v>입력오류</v>
      </c>
      <c r="AW59" s="2"/>
      <c r="BG59" s="21" t="str">
        <f ca="1">_xll.IMDP("BND",AX59,BG8,AX3)</f>
        <v>입력오류</v>
      </c>
      <c r="BH59" s="23" t="str">
        <f ca="1">_xll.IMDP("BND",AX59,BH8,AX3)</f>
        <v>입력오류</v>
      </c>
      <c r="BI59" s="2">
        <v>46198</v>
      </c>
      <c r="BJ59" s="3" t="s">
        <v>473</v>
      </c>
      <c r="BK59" s="3" t="s">
        <v>246</v>
      </c>
      <c r="BL59" s="3" t="s">
        <v>474</v>
      </c>
      <c r="BM59" s="3">
        <v>0</v>
      </c>
      <c r="BN59" s="3">
        <v>0.61</v>
      </c>
      <c r="BO59" s="3">
        <v>0</v>
      </c>
      <c r="BP59" s="3">
        <v>759371</v>
      </c>
      <c r="BQ59" s="3">
        <v>9901.5300000000007</v>
      </c>
      <c r="BR59" s="3">
        <v>1.3221000000000001</v>
      </c>
      <c r="BS59" s="21">
        <f ca="1">_xll.IMDP("BND",BJ59,BS8,BJ3)</f>
        <v>20271105</v>
      </c>
      <c r="BT59" s="23">
        <f ca="1">_xll.IMDP("BND",BJ59,BT8,BJ3)</f>
        <v>4.17</v>
      </c>
      <c r="BU59" s="2">
        <v>46198</v>
      </c>
      <c r="BV59" s="3" t="s">
        <v>1082</v>
      </c>
      <c r="BW59" s="3" t="s">
        <v>1083</v>
      </c>
      <c r="BX59" s="3" t="s">
        <v>1084</v>
      </c>
      <c r="BY59" s="3">
        <v>0</v>
      </c>
      <c r="BZ59" s="3">
        <v>0.7</v>
      </c>
      <c r="CA59" s="3">
        <v>0</v>
      </c>
      <c r="CB59" s="3">
        <v>935611</v>
      </c>
      <c r="CC59" s="3">
        <v>10028.75</v>
      </c>
      <c r="CD59" s="3">
        <v>0.21010000000000001</v>
      </c>
      <c r="CE59" s="21">
        <f ca="1">_xll.IMDP("BND",BV59,CE8,BV3)</f>
        <v>20260910</v>
      </c>
      <c r="CF59" s="23">
        <f ca="1">_xll.IMDP("BND",BV59,CF8,BV3)</f>
        <v>3.25</v>
      </c>
      <c r="CG59" s="2">
        <v>46198</v>
      </c>
      <c r="CH59" s="3" t="s">
        <v>721</v>
      </c>
      <c r="CI59" s="3" t="s">
        <v>722</v>
      </c>
      <c r="CJ59" s="3" t="s">
        <v>723</v>
      </c>
      <c r="CK59" s="3">
        <v>0</v>
      </c>
      <c r="CL59" s="3">
        <v>0.25</v>
      </c>
      <c r="CM59" s="3">
        <v>0</v>
      </c>
      <c r="CN59" s="3">
        <v>253514</v>
      </c>
      <c r="CO59" s="3">
        <v>10062.19</v>
      </c>
      <c r="CP59" s="3">
        <v>0.68930000000000002</v>
      </c>
      <c r="CQ59" s="21">
        <f ca="1">_xll.IMDP("BND",CH59,CQ8,CH3)</f>
        <v>20270308</v>
      </c>
      <c r="CR59" s="23">
        <f ca="1">_xll.IMDP("BND",CH59,CR8,CH3)</f>
        <v>3.7909999999999999</v>
      </c>
      <c r="CS59" s="2">
        <v>46198</v>
      </c>
      <c r="CT59" s="3" t="s">
        <v>243</v>
      </c>
      <c r="CU59" s="3" t="s">
        <v>92</v>
      </c>
      <c r="CV59" s="3" t="s">
        <v>244</v>
      </c>
      <c r="CW59" s="3">
        <v>0</v>
      </c>
      <c r="CX59" s="3">
        <v>0.33</v>
      </c>
      <c r="CY59" s="3">
        <v>0</v>
      </c>
      <c r="CZ59" s="3">
        <v>470005</v>
      </c>
      <c r="DA59" s="3">
        <v>10065.450000000001</v>
      </c>
      <c r="DB59" s="3">
        <v>1.9661999999999999</v>
      </c>
      <c r="DC59" s="21">
        <f ca="1">_xll.IMDP("BND",CT59,DC8,CT3)</f>
        <v>20280721</v>
      </c>
      <c r="DD59" s="23">
        <f ca="1">_xll.IMDP("BND",CT59,DD8,CT3)</f>
        <v>4.0309999999999997</v>
      </c>
      <c r="DE59" s="2"/>
      <c r="DO59" s="21" t="str">
        <f ca="1">_xll.IMDP("BND",DF59,DO8,DF3)</f>
        <v>입력오류</v>
      </c>
      <c r="DP59" s="23" t="str">
        <f ca="1">_xll.IMDP("BND",DF59,DP8,DF3)</f>
        <v>입력오류</v>
      </c>
      <c r="DQ59" s="2">
        <v>46198</v>
      </c>
      <c r="DR59" s="3" t="s">
        <v>1311</v>
      </c>
      <c r="DS59" s="3" t="s">
        <v>95</v>
      </c>
      <c r="DT59" s="3" t="s">
        <v>1312</v>
      </c>
      <c r="DU59" s="3">
        <v>0</v>
      </c>
      <c r="DV59" s="3">
        <v>0.86</v>
      </c>
      <c r="DW59" s="3">
        <v>0</v>
      </c>
      <c r="DX59" s="3">
        <v>1982911</v>
      </c>
      <c r="DY59" s="3">
        <v>9518.56</v>
      </c>
      <c r="DZ59" s="3">
        <v>3.7959999999999998</v>
      </c>
      <c r="EA59" s="21">
        <f ca="1">_xll.IMDP("BND",DR59,EA8,DR3)</f>
        <v>20300725</v>
      </c>
      <c r="EB59" s="23">
        <f ca="1">_xll.IMDP("BND",DR59,EB8,DR3)</f>
        <v>4.3499999999999996</v>
      </c>
    </row>
    <row r="60" spans="1:132" ht="13.5" customHeight="1" x14ac:dyDescent="0.3">
      <c r="A60" s="2">
        <v>46198</v>
      </c>
      <c r="B60" s="3" t="s">
        <v>820</v>
      </c>
      <c r="C60" s="3" t="s">
        <v>518</v>
      </c>
      <c r="D60" s="3" t="s">
        <v>821</v>
      </c>
      <c r="E60" s="3">
        <v>0</v>
      </c>
      <c r="F60" s="3">
        <v>0.4</v>
      </c>
      <c r="G60" s="3">
        <v>0</v>
      </c>
      <c r="H60" s="3">
        <v>443168</v>
      </c>
      <c r="I60" s="3">
        <v>8347.2800000000007</v>
      </c>
      <c r="J60" s="3">
        <v>13.2927</v>
      </c>
      <c r="K60" s="21">
        <f ca="1">_xll.IMDP("BND",B60,K8,B3)</f>
        <v>20441108</v>
      </c>
      <c r="L60" s="23">
        <f ca="1">_xll.IMDP("BND",B60,L8,B3)</f>
        <v>4.4589999999999996</v>
      </c>
      <c r="M60" s="2"/>
      <c r="W60" s="21" t="str">
        <f ca="1">_xll.IMDP("BND",N60,W8,N3)</f>
        <v>입력오류</v>
      </c>
      <c r="X60" s="23" t="str">
        <f ca="1">_xll.IMDP("BND",N60,X8,N3)</f>
        <v>입력오류</v>
      </c>
      <c r="Y60" s="2"/>
      <c r="AI60" s="21" t="str">
        <f ca="1">_xll.IMDP("BND",Z60,AI8,Z3)</f>
        <v>입력오류</v>
      </c>
      <c r="AJ60" s="23" t="str">
        <f ca="1">_xll.IMDP("BND",Z60,AJ8,Z3)</f>
        <v>입력오류</v>
      </c>
      <c r="AK60" s="2"/>
      <c r="AU60" s="21" t="str">
        <f ca="1">_xll.IMDP("BND",AL60,AU8,AL3)</f>
        <v>입력오류</v>
      </c>
      <c r="AV60" s="23" t="str">
        <f ca="1">_xll.IMDP("BND",AL60,AV8,AL3)</f>
        <v>입력오류</v>
      </c>
      <c r="AW60" s="2"/>
      <c r="BG60" s="21" t="str">
        <f ca="1">_xll.IMDP("BND",AX60,BG8,AX3)</f>
        <v>입력오류</v>
      </c>
      <c r="BH60" s="23" t="str">
        <f ca="1">_xll.IMDP("BND",AX60,BH8,AX3)</f>
        <v>입력오류</v>
      </c>
      <c r="BI60" s="2">
        <v>46198</v>
      </c>
      <c r="BJ60" s="3" t="s">
        <v>475</v>
      </c>
      <c r="BK60" s="3" t="s">
        <v>476</v>
      </c>
      <c r="BL60" s="3" t="s">
        <v>477</v>
      </c>
      <c r="BM60" s="3">
        <v>0</v>
      </c>
      <c r="BN60" s="3">
        <v>0.6</v>
      </c>
      <c r="BO60" s="3">
        <v>0</v>
      </c>
      <c r="BP60" s="3">
        <v>756573</v>
      </c>
      <c r="BQ60" s="3">
        <v>9864.83</v>
      </c>
      <c r="BR60" s="3">
        <v>2.512</v>
      </c>
      <c r="BS60" s="21">
        <f ca="1">_xll.IMDP("BND",BJ60,BS8,BJ3)</f>
        <v>20290220</v>
      </c>
      <c r="BT60" s="23">
        <f ca="1">_xll.IMDP("BND",BJ60,BT8,BJ3)</f>
        <v>4.1740000000000004</v>
      </c>
      <c r="BU60" s="2">
        <v>46198</v>
      </c>
      <c r="BV60" s="3" t="s">
        <v>1085</v>
      </c>
      <c r="BW60" s="3" t="s">
        <v>170</v>
      </c>
      <c r="BX60" s="3" t="s">
        <v>1086</v>
      </c>
      <c r="BY60" s="3">
        <v>0</v>
      </c>
      <c r="BZ60" s="3">
        <v>0.7</v>
      </c>
      <c r="CA60" s="3">
        <v>0</v>
      </c>
      <c r="CB60" s="3">
        <v>935412</v>
      </c>
      <c r="CC60" s="3">
        <v>10026.709999999999</v>
      </c>
      <c r="CD60" s="3">
        <v>0.12790000000000001</v>
      </c>
      <c r="CE60" s="21">
        <f ca="1">_xll.IMDP("BND",BV60,CE8,BV3)</f>
        <v>20260811</v>
      </c>
      <c r="CF60" s="23">
        <f ca="1">_xll.IMDP("BND",BV60,CF8,BV3)</f>
        <v>3.3479999999999999</v>
      </c>
      <c r="CG60" s="2">
        <v>46198</v>
      </c>
      <c r="CH60" s="3" t="s">
        <v>724</v>
      </c>
      <c r="CI60" s="3" t="s">
        <v>725</v>
      </c>
      <c r="CJ60" s="3" t="s">
        <v>726</v>
      </c>
      <c r="CK60" s="3">
        <v>0</v>
      </c>
      <c r="CL60" s="3">
        <v>0.25</v>
      </c>
      <c r="CM60" s="3">
        <v>0</v>
      </c>
      <c r="CN60" s="3">
        <v>252204</v>
      </c>
      <c r="CO60" s="3">
        <v>10010.02</v>
      </c>
      <c r="CP60" s="3">
        <v>0.21160000000000001</v>
      </c>
      <c r="CQ60" s="21">
        <f ca="1">_xll.IMDP("BND",CH60,CQ8,CH3)</f>
        <v>20260911</v>
      </c>
      <c r="CR60" s="23">
        <f ca="1">_xll.IMDP("BND",CH60,CR8,CH3)</f>
        <v>3.3119999999999998</v>
      </c>
      <c r="CS60" s="2">
        <v>46198</v>
      </c>
      <c r="CT60" s="3" t="s">
        <v>248</v>
      </c>
      <c r="CU60" s="3" t="s">
        <v>249</v>
      </c>
      <c r="CV60" s="3" t="s">
        <v>250</v>
      </c>
      <c r="CW60" s="3">
        <v>0</v>
      </c>
      <c r="CX60" s="3">
        <v>0.33</v>
      </c>
      <c r="CY60" s="3">
        <v>0</v>
      </c>
      <c r="CZ60" s="3">
        <v>469446</v>
      </c>
      <c r="DA60" s="3">
        <v>10053.57</v>
      </c>
      <c r="DB60" s="3">
        <v>0.81479999999999997</v>
      </c>
      <c r="DC60" s="21">
        <f ca="1">_xll.IMDP("BND",CT60,DC8,CT3)</f>
        <v>20270426</v>
      </c>
      <c r="DD60" s="23">
        <f ca="1">_xll.IMDP("BND",CT60,DD8,CT3)</f>
        <v>3.758</v>
      </c>
      <c r="DE60" s="2"/>
      <c r="DO60" s="21" t="str">
        <f ca="1">_xll.IMDP("BND",DF60,DO8,DF3)</f>
        <v>입력오류</v>
      </c>
      <c r="DP60" s="23" t="str">
        <f ca="1">_xll.IMDP("BND",DF60,DP8,DF3)</f>
        <v>입력오류</v>
      </c>
      <c r="DQ60" s="2">
        <v>46198</v>
      </c>
      <c r="DR60" s="3" t="s">
        <v>1313</v>
      </c>
      <c r="DS60" s="3" t="s">
        <v>1314</v>
      </c>
      <c r="DT60" s="3" t="s">
        <v>1315</v>
      </c>
      <c r="DU60" s="3">
        <v>0</v>
      </c>
      <c r="DV60" s="3">
        <v>0.86</v>
      </c>
      <c r="DW60" s="3">
        <v>0</v>
      </c>
      <c r="DX60" s="3">
        <v>1982722</v>
      </c>
      <c r="DY60" s="3">
        <v>9519.07</v>
      </c>
      <c r="DZ60" s="3">
        <v>3.5760000000000001</v>
      </c>
      <c r="EA60" s="21">
        <f ca="1">_xll.IMDP("BND",DR60,EA8,DR3)</f>
        <v>20300423</v>
      </c>
      <c r="EB60" s="23">
        <f ca="1">_xll.IMDP("BND",DR60,EB8,DR3)</f>
        <v>4.3739999999999997</v>
      </c>
    </row>
    <row r="61" spans="1:132" ht="13.5" customHeight="1" x14ac:dyDescent="0.3">
      <c r="A61" s="2">
        <v>46198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0.39</v>
      </c>
      <c r="G61" s="3">
        <v>0</v>
      </c>
      <c r="H61" s="3">
        <v>435560</v>
      </c>
      <c r="I61" s="3">
        <v>7682.91</v>
      </c>
      <c r="J61" s="3">
        <v>15.3127</v>
      </c>
      <c r="K61" s="21">
        <f ca="1">_xll.IMDP("BND",B61,K8,B3)</f>
        <v>20480310</v>
      </c>
      <c r="L61" s="23">
        <f ca="1">_xll.IMDP("BND",B61,L8,B3)</f>
        <v>4.3369999999999997</v>
      </c>
      <c r="M61" s="2"/>
      <c r="W61" s="21" t="str">
        <f ca="1">_xll.IMDP("BND",N61,W8,N3)</f>
        <v>입력오류</v>
      </c>
      <c r="X61" s="23" t="str">
        <f ca="1">_xll.IMDP("BND",N61,X8,N3)</f>
        <v>입력오류</v>
      </c>
      <c r="Y61" s="2"/>
      <c r="AI61" s="21" t="str">
        <f ca="1">_xll.IMDP("BND",Z61,AI8,Z3)</f>
        <v>입력오류</v>
      </c>
      <c r="AJ61" s="23" t="str">
        <f ca="1">_xll.IMDP("BND",Z61,AJ8,Z3)</f>
        <v>입력오류</v>
      </c>
      <c r="AK61" s="2"/>
      <c r="AU61" s="21" t="str">
        <f ca="1">_xll.IMDP("BND",AL61,AU8,AL3)</f>
        <v>입력오류</v>
      </c>
      <c r="AV61" s="23" t="str">
        <f ca="1">_xll.IMDP("BND",AL61,AV8,AL3)</f>
        <v>입력오류</v>
      </c>
      <c r="AW61" s="2"/>
      <c r="BG61" s="21" t="str">
        <f ca="1">_xll.IMDP("BND",AX61,BG8,AX3)</f>
        <v>입력오류</v>
      </c>
      <c r="BH61" s="23" t="str">
        <f ca="1">_xll.IMDP("BND",AX61,BH8,AX3)</f>
        <v>입력오류</v>
      </c>
      <c r="BI61" s="2">
        <v>46198</v>
      </c>
      <c r="BJ61" s="3" t="s">
        <v>478</v>
      </c>
      <c r="BK61" s="3" t="s">
        <v>479</v>
      </c>
      <c r="BL61" s="3" t="s">
        <v>480</v>
      </c>
      <c r="BM61" s="3">
        <v>0</v>
      </c>
      <c r="BN61" s="3">
        <v>0.6</v>
      </c>
      <c r="BO61" s="3">
        <v>0</v>
      </c>
      <c r="BP61" s="3">
        <v>756104</v>
      </c>
      <c r="BQ61" s="3">
        <v>9859.16</v>
      </c>
      <c r="BR61" s="3">
        <v>2.4447000000000001</v>
      </c>
      <c r="BS61" s="21">
        <f ca="1">_xll.IMDP("BND",BJ61,BS8,BJ3)</f>
        <v>20290126</v>
      </c>
      <c r="BT61" s="23">
        <f ca="1">_xll.IMDP("BND",BJ61,BT8,BJ3)</f>
        <v>4.3310000000000004</v>
      </c>
      <c r="BU61" s="2">
        <v>46198</v>
      </c>
      <c r="BV61" s="3" t="s">
        <v>1087</v>
      </c>
      <c r="BW61" s="3" t="s">
        <v>1068</v>
      </c>
      <c r="BX61" s="3" t="s">
        <v>1088</v>
      </c>
      <c r="BY61" s="3">
        <v>0</v>
      </c>
      <c r="BZ61" s="3">
        <v>0.7</v>
      </c>
      <c r="CA61" s="3">
        <v>0</v>
      </c>
      <c r="CB61" s="3">
        <v>934707</v>
      </c>
      <c r="CC61" s="3">
        <v>10019.14</v>
      </c>
      <c r="CD61" s="3">
        <v>0.38</v>
      </c>
      <c r="CE61" s="21">
        <f ca="1">_xll.IMDP("BND",BV61,CE8,BV3)</f>
        <v>20261113</v>
      </c>
      <c r="CF61" s="23">
        <f ca="1">_xll.IMDP("BND",BV61,CF8,BV3)</f>
        <v>3.3380000000000001</v>
      </c>
      <c r="CG61" s="2">
        <v>46198</v>
      </c>
      <c r="CH61" s="3" t="s">
        <v>7</v>
      </c>
      <c r="CI61" s="3" t="s">
        <v>7</v>
      </c>
      <c r="CJ61" s="3" t="s">
        <v>46</v>
      </c>
      <c r="CL61" s="3">
        <v>0.35</v>
      </c>
      <c r="CN61" s="3">
        <v>357913</v>
      </c>
      <c r="CQ61" s="21" t="str">
        <f ca="1">_xll.IMDP("BND",CH61,CQ8,CH3)</f>
        <v/>
      </c>
      <c r="CR61" s="23" t="str">
        <f ca="1">_xll.IMDP("BND",CH61,CR8,CH3)</f>
        <v/>
      </c>
      <c r="CS61" s="2">
        <v>46198</v>
      </c>
      <c r="CT61" s="3" t="s">
        <v>251</v>
      </c>
      <c r="CU61" s="3" t="s">
        <v>252</v>
      </c>
      <c r="CV61" s="3" t="s">
        <v>253</v>
      </c>
      <c r="CW61" s="3">
        <v>0</v>
      </c>
      <c r="CX61" s="3">
        <v>0.33</v>
      </c>
      <c r="CY61" s="3">
        <v>0</v>
      </c>
      <c r="CZ61" s="3">
        <v>469233</v>
      </c>
      <c r="DA61" s="3">
        <v>10048.280000000001</v>
      </c>
      <c r="DB61" s="3">
        <v>2.5745</v>
      </c>
      <c r="DC61" s="21">
        <f ca="1">_xll.IMDP("BND",CT61,DC8,CT3)</f>
        <v>20290331</v>
      </c>
      <c r="DD61" s="23">
        <f ca="1">_xll.IMDP("BND",CT61,DD8,CT3)</f>
        <v>4.3159999999999998</v>
      </c>
      <c r="DE61" s="2"/>
      <c r="DO61" s="21" t="str">
        <f ca="1">_xll.IMDP("BND",DF61,DO8,DF3)</f>
        <v>입력오류</v>
      </c>
      <c r="DP61" s="23" t="str">
        <f ca="1">_xll.IMDP("BND",DF61,DP8,DF3)</f>
        <v>입력오류</v>
      </c>
      <c r="DQ61" s="2">
        <v>46198</v>
      </c>
      <c r="DR61" s="3" t="s">
        <v>1316</v>
      </c>
      <c r="DS61" s="3" t="s">
        <v>1317</v>
      </c>
      <c r="DT61" s="3" t="s">
        <v>1318</v>
      </c>
      <c r="DU61" s="3">
        <v>0</v>
      </c>
      <c r="DV61" s="3">
        <v>0.86</v>
      </c>
      <c r="DW61" s="3">
        <v>0</v>
      </c>
      <c r="DX61" s="3">
        <v>1982424</v>
      </c>
      <c r="DY61" s="3">
        <v>9517.2099999999991</v>
      </c>
      <c r="DZ61" s="3">
        <v>4.0152000000000001</v>
      </c>
      <c r="EA61" s="21">
        <f ca="1">_xll.IMDP("BND",DR61,EA8,DR3)</f>
        <v>20301030</v>
      </c>
      <c r="EB61" s="23">
        <f ca="1">_xll.IMDP("BND",DR61,EB8,DR3)</f>
        <v>4.4050000000000002</v>
      </c>
    </row>
    <row r="62" spans="1:132" ht="13.5" customHeight="1" x14ac:dyDescent="0.3">
      <c r="A62" s="2">
        <v>46198</v>
      </c>
      <c r="B62" s="3" t="s">
        <v>822</v>
      </c>
      <c r="C62" s="3" t="s">
        <v>452</v>
      </c>
      <c r="D62" s="3" t="s">
        <v>823</v>
      </c>
      <c r="E62" s="3">
        <v>0</v>
      </c>
      <c r="F62" s="3">
        <v>0.38</v>
      </c>
      <c r="G62" s="3">
        <v>0</v>
      </c>
      <c r="H62" s="3">
        <v>424658</v>
      </c>
      <c r="I62" s="3">
        <v>7996.27</v>
      </c>
      <c r="J62" s="3">
        <v>10.415699999999999</v>
      </c>
      <c r="K62" s="21">
        <f ca="1">_xll.IMDP("BND",B62,K8,B3)</f>
        <v>20381123</v>
      </c>
      <c r="L62" s="23">
        <f ca="1">_xll.IMDP("BND",B62,L8,B3)</f>
        <v>4.383</v>
      </c>
      <c r="M62" s="2"/>
      <c r="W62" s="21" t="str">
        <f ca="1">_xll.IMDP("BND",N62,W8,N3)</f>
        <v>입력오류</v>
      </c>
      <c r="X62" s="23" t="str">
        <f ca="1">_xll.IMDP("BND",N62,X8,N3)</f>
        <v>입력오류</v>
      </c>
      <c r="Y62" s="2"/>
      <c r="AI62" s="21" t="str">
        <f ca="1">_xll.IMDP("BND",Z62,AI8,Z3)</f>
        <v>입력오류</v>
      </c>
      <c r="AJ62" s="23" t="str">
        <f ca="1">_xll.IMDP("BND",Z62,AJ8,Z3)</f>
        <v>입력오류</v>
      </c>
      <c r="AK62" s="2"/>
      <c r="AU62" s="21" t="str">
        <f ca="1">_xll.IMDP("BND",AL62,AU8,AL3)</f>
        <v>입력오류</v>
      </c>
      <c r="AV62" s="23" t="str">
        <f ca="1">_xll.IMDP("BND",AL62,AV8,AL3)</f>
        <v>입력오류</v>
      </c>
      <c r="AW62" s="2"/>
      <c r="BG62" s="21" t="str">
        <f ca="1">_xll.IMDP("BND",AX62,BG8,AX3)</f>
        <v>입력오류</v>
      </c>
      <c r="BH62" s="23" t="str">
        <f ca="1">_xll.IMDP("BND",AX62,BH8,AX3)</f>
        <v>입력오류</v>
      </c>
      <c r="BI62" s="2">
        <v>46198</v>
      </c>
      <c r="BJ62" s="3" t="s">
        <v>481</v>
      </c>
      <c r="BK62" s="3" t="s">
        <v>482</v>
      </c>
      <c r="BL62" s="3" t="s">
        <v>483</v>
      </c>
      <c r="BM62" s="3">
        <v>0</v>
      </c>
      <c r="BN62" s="3">
        <v>0.6</v>
      </c>
      <c r="BO62" s="3">
        <v>0</v>
      </c>
      <c r="BP62" s="3">
        <v>754653</v>
      </c>
      <c r="BQ62" s="3">
        <v>9839.7900000000009</v>
      </c>
      <c r="BR62" s="3">
        <v>2.42</v>
      </c>
      <c r="BS62" s="21">
        <f ca="1">_xll.IMDP("BND",BJ62,BS8,BJ3)</f>
        <v>20290115</v>
      </c>
      <c r="BT62" s="23">
        <f ca="1">_xll.IMDP("BND",BJ62,BT8,BJ3)</f>
        <v>4.2549999999999999</v>
      </c>
      <c r="BU62" s="2">
        <v>46198</v>
      </c>
      <c r="BV62" s="3" t="s">
        <v>1089</v>
      </c>
      <c r="BW62" s="3" t="s">
        <v>1090</v>
      </c>
      <c r="BX62" s="3" t="s">
        <v>1091</v>
      </c>
      <c r="BY62" s="3">
        <v>0</v>
      </c>
      <c r="BZ62" s="3">
        <v>0.7</v>
      </c>
      <c r="CA62" s="3">
        <v>0</v>
      </c>
      <c r="CB62" s="3">
        <v>934578</v>
      </c>
      <c r="CC62" s="3">
        <v>10017.68</v>
      </c>
      <c r="CD62" s="3">
        <v>0.21290000000000001</v>
      </c>
      <c r="CE62" s="21">
        <f ca="1">_xll.IMDP("BND",BV62,CE8,BV3)</f>
        <v>20260911</v>
      </c>
      <c r="CF62" s="23">
        <f ca="1">_xll.IMDP("BND",BV62,CF8,BV3)</f>
        <v>3.2410000000000001</v>
      </c>
      <c r="CG62" s="2"/>
      <c r="CQ62" s="21" t="str">
        <f ca="1">_xll.IMDP("BND",CH62,CQ8,CH3)</f>
        <v>입력오류</v>
      </c>
      <c r="CR62" s="23" t="str">
        <f ca="1">_xll.IMDP("BND",CH62,CR8,CH3)</f>
        <v>입력오류</v>
      </c>
      <c r="CS62" s="2">
        <v>46198</v>
      </c>
      <c r="CT62" s="3" t="s">
        <v>254</v>
      </c>
      <c r="CU62" s="3" t="s">
        <v>255</v>
      </c>
      <c r="CV62" s="3" t="s">
        <v>256</v>
      </c>
      <c r="CW62" s="3">
        <v>0</v>
      </c>
      <c r="CX62" s="3">
        <v>0.33</v>
      </c>
      <c r="CY62" s="3">
        <v>0</v>
      </c>
      <c r="CZ62" s="3">
        <v>468977</v>
      </c>
      <c r="DA62" s="3">
        <v>10043.56</v>
      </c>
      <c r="DB62" s="3">
        <v>1.8572</v>
      </c>
      <c r="DC62" s="21">
        <f ca="1">_xll.IMDP("BND",CT62,DC8,CT3)</f>
        <v>20280608</v>
      </c>
      <c r="DD62" s="23">
        <f ca="1">_xll.IMDP("BND",CT62,DD8,CT3)</f>
        <v>4.048</v>
      </c>
      <c r="DE62" s="2"/>
      <c r="DO62" s="21" t="str">
        <f ca="1">_xll.IMDP("BND",DF62,DO8,DF3)</f>
        <v>입력오류</v>
      </c>
      <c r="DP62" s="23" t="str">
        <f ca="1">_xll.IMDP("BND",DF62,DP8,DF3)</f>
        <v>입력오류</v>
      </c>
      <c r="DQ62" s="2">
        <v>46198</v>
      </c>
      <c r="DR62" s="3" t="s">
        <v>1319</v>
      </c>
      <c r="DS62" s="3" t="s">
        <v>1320</v>
      </c>
      <c r="DT62" s="3" t="s">
        <v>1321</v>
      </c>
      <c r="DU62" s="3">
        <v>0</v>
      </c>
      <c r="DV62" s="3">
        <v>0.86</v>
      </c>
      <c r="DW62" s="3">
        <v>0</v>
      </c>
      <c r="DX62" s="3">
        <v>1982414</v>
      </c>
      <c r="DY62" s="3">
        <v>9517.33</v>
      </c>
      <c r="DZ62" s="3">
        <v>3.4750999999999999</v>
      </c>
      <c r="EA62" s="21">
        <f ca="1">_xll.IMDP("BND",DR62,EA8,DR3)</f>
        <v>20300308</v>
      </c>
      <c r="EB62" s="23">
        <f ca="1">_xll.IMDP("BND",DR62,EB8,DR3)</f>
        <v>4.37</v>
      </c>
    </row>
    <row r="63" spans="1:132" ht="13.5" customHeight="1" x14ac:dyDescent="0.3">
      <c r="A63" s="2">
        <v>46198</v>
      </c>
      <c r="B63" s="3" t="s">
        <v>824</v>
      </c>
      <c r="C63" s="3" t="s">
        <v>825</v>
      </c>
      <c r="D63" s="3" t="s">
        <v>826</v>
      </c>
      <c r="E63" s="3">
        <v>0</v>
      </c>
      <c r="F63" s="3">
        <v>0.38</v>
      </c>
      <c r="G63" s="3">
        <v>0</v>
      </c>
      <c r="H63" s="3">
        <v>423872</v>
      </c>
      <c r="I63" s="3">
        <v>7984.54</v>
      </c>
      <c r="J63" s="3">
        <v>8.2509999999999994</v>
      </c>
      <c r="K63" s="21">
        <f ca="1">_xll.IMDP("BND",B63,K8,B3)</f>
        <v>20350824</v>
      </c>
      <c r="L63" s="23">
        <f ca="1">_xll.IMDP("BND",B63,L8,B3)</f>
        <v>4.3159999999999998</v>
      </c>
      <c r="M63" s="2"/>
      <c r="W63" s="21" t="str">
        <f ca="1">_xll.IMDP("BND",N63,W8,N3)</f>
        <v>입력오류</v>
      </c>
      <c r="X63" s="23" t="str">
        <f ca="1">_xll.IMDP("BND",N63,X8,N3)</f>
        <v>입력오류</v>
      </c>
      <c r="Y63" s="2"/>
      <c r="AI63" s="21" t="str">
        <f ca="1">_xll.IMDP("BND",Z63,AI8,Z3)</f>
        <v>입력오류</v>
      </c>
      <c r="AJ63" s="23" t="str">
        <f ca="1">_xll.IMDP("BND",Z63,AJ8,Z3)</f>
        <v>입력오류</v>
      </c>
      <c r="AK63" s="2"/>
      <c r="AU63" s="21" t="str">
        <f ca="1">_xll.IMDP("BND",AL63,AU8,AL3)</f>
        <v>입력오류</v>
      </c>
      <c r="AV63" s="23" t="str">
        <f ca="1">_xll.IMDP("BND",AL63,AV8,AL3)</f>
        <v>입력오류</v>
      </c>
      <c r="AW63" s="2"/>
      <c r="BG63" s="21" t="str">
        <f ca="1">_xll.IMDP("BND",AX63,BG8,AX3)</f>
        <v>입력오류</v>
      </c>
      <c r="BH63" s="23" t="str">
        <f ca="1">_xll.IMDP("BND",AX63,BH8,AX3)</f>
        <v>입력오류</v>
      </c>
      <c r="BI63" s="2">
        <v>46198</v>
      </c>
      <c r="BJ63" s="3" t="s">
        <v>484</v>
      </c>
      <c r="BK63" s="3" t="s">
        <v>485</v>
      </c>
      <c r="BL63" s="3" t="s">
        <v>486</v>
      </c>
      <c r="BM63" s="3">
        <v>0</v>
      </c>
      <c r="BN63" s="3">
        <v>0.6</v>
      </c>
      <c r="BO63" s="3">
        <v>0</v>
      </c>
      <c r="BP63" s="3">
        <v>751167</v>
      </c>
      <c r="BQ63" s="3">
        <v>9795.0499999999993</v>
      </c>
      <c r="BR63" s="3">
        <v>1.7848999999999999</v>
      </c>
      <c r="BS63" s="21">
        <f ca="1">_xll.IMDP("BND",BJ63,BS8,BJ3)</f>
        <v>20280430</v>
      </c>
      <c r="BT63" s="23">
        <f ca="1">_xll.IMDP("BND",BJ63,BT8,BJ3)</f>
        <v>3.9809999999999999</v>
      </c>
      <c r="BU63" s="2">
        <v>46198</v>
      </c>
      <c r="BV63" s="3" t="s">
        <v>1092</v>
      </c>
      <c r="BW63" s="3" t="s">
        <v>1093</v>
      </c>
      <c r="BX63" s="3" t="s">
        <v>1094</v>
      </c>
      <c r="BY63" s="3">
        <v>0</v>
      </c>
      <c r="BZ63" s="3">
        <v>0.7</v>
      </c>
      <c r="CA63" s="3">
        <v>0</v>
      </c>
      <c r="CB63" s="3">
        <v>934526</v>
      </c>
      <c r="CC63" s="3">
        <v>10017.049999999999</v>
      </c>
      <c r="CD63" s="3">
        <v>0.29520000000000002</v>
      </c>
      <c r="CE63" s="21">
        <f ca="1">_xll.IMDP("BND",BV63,CE8,BV3)</f>
        <v>20261012</v>
      </c>
      <c r="CF63" s="23">
        <f ca="1">_xll.IMDP("BND",BV63,CF8,BV3)</f>
        <v>3.286</v>
      </c>
      <c r="CG63" s="2"/>
      <c r="CQ63" s="21" t="str">
        <f ca="1">_xll.IMDP("BND",CH63,CQ8,CH3)</f>
        <v>입력오류</v>
      </c>
      <c r="CR63" s="23" t="str">
        <f ca="1">_xll.IMDP("BND",CH63,CR8,CH3)</f>
        <v>입력오류</v>
      </c>
      <c r="CS63" s="2">
        <v>46198</v>
      </c>
      <c r="CT63" s="3" t="s">
        <v>257</v>
      </c>
      <c r="CU63" s="3" t="s">
        <v>258</v>
      </c>
      <c r="CV63" s="3" t="s">
        <v>259</v>
      </c>
      <c r="CW63" s="3">
        <v>0</v>
      </c>
      <c r="CX63" s="3">
        <v>0.33</v>
      </c>
      <c r="CY63" s="3">
        <v>0</v>
      </c>
      <c r="CZ63" s="3">
        <v>468821</v>
      </c>
      <c r="DA63" s="3">
        <v>10040.19</v>
      </c>
      <c r="DB63" s="3">
        <v>2.7456</v>
      </c>
      <c r="DC63" s="21">
        <f ca="1">_xll.IMDP("BND",CT63,DC8,CT3)</f>
        <v>20290604</v>
      </c>
      <c r="DD63" s="23">
        <f ca="1">_xll.IMDP("BND",CT63,DD8,CT3)</f>
        <v>4.2549999999999999</v>
      </c>
      <c r="DE63" s="2"/>
      <c r="DO63" s="21" t="str">
        <f ca="1">_xll.IMDP("BND",DF63,DO8,DF3)</f>
        <v>입력오류</v>
      </c>
      <c r="DP63" s="23" t="str">
        <f ca="1">_xll.IMDP("BND",DF63,DP8,DF3)</f>
        <v>입력오류</v>
      </c>
      <c r="DQ63" s="2">
        <v>46198</v>
      </c>
      <c r="DR63" s="3" t="s">
        <v>1322</v>
      </c>
      <c r="DS63" s="3" t="s">
        <v>1323</v>
      </c>
      <c r="DT63" s="3" t="s">
        <v>1324</v>
      </c>
      <c r="DU63" s="3">
        <v>0</v>
      </c>
      <c r="DV63" s="3">
        <v>0.86</v>
      </c>
      <c r="DW63" s="3">
        <v>0</v>
      </c>
      <c r="DX63" s="3">
        <v>1982032</v>
      </c>
      <c r="DY63" s="3">
        <v>9515.67</v>
      </c>
      <c r="DZ63" s="3">
        <v>4.0160999999999998</v>
      </c>
      <c r="EA63" s="21">
        <f ca="1">_xll.IMDP("BND",DR63,EA8,DR3)</f>
        <v>20301030</v>
      </c>
      <c r="EB63" s="23">
        <f ca="1">_xll.IMDP("BND",DR63,EB8,DR3)</f>
        <v>4.399</v>
      </c>
    </row>
    <row r="64" spans="1:132" ht="13.5" customHeight="1" x14ac:dyDescent="0.3">
      <c r="A64" s="2">
        <v>46198</v>
      </c>
      <c r="B64" s="3" t="s">
        <v>827</v>
      </c>
      <c r="C64" s="3" t="s">
        <v>793</v>
      </c>
      <c r="D64" s="3" t="s">
        <v>828</v>
      </c>
      <c r="E64" s="3">
        <v>0</v>
      </c>
      <c r="F64" s="3">
        <v>0.36</v>
      </c>
      <c r="G64" s="3">
        <v>0</v>
      </c>
      <c r="H64" s="3">
        <v>400665</v>
      </c>
      <c r="I64" s="3">
        <v>7548.99</v>
      </c>
      <c r="J64" s="3">
        <v>17.6328</v>
      </c>
      <c r="K64" s="21">
        <f ca="1">_xll.IMDP("BND",B64,K8,B3)</f>
        <v>20551015</v>
      </c>
      <c r="L64" s="23">
        <f ca="1">_xll.IMDP("BND",B64,L8,B3)</f>
        <v>4.4939999999999998</v>
      </c>
      <c r="M64" s="2"/>
      <c r="W64" s="21" t="str">
        <f ca="1">_xll.IMDP("BND",N64,W8,N3)</f>
        <v>입력오류</v>
      </c>
      <c r="X64" s="23" t="str">
        <f ca="1">_xll.IMDP("BND",N64,X8,N3)</f>
        <v>입력오류</v>
      </c>
      <c r="Y64" s="2"/>
      <c r="AI64" s="21" t="str">
        <f ca="1">_xll.IMDP("BND",Z64,AI8,Z3)</f>
        <v>입력오류</v>
      </c>
      <c r="AJ64" s="23" t="str">
        <f ca="1">_xll.IMDP("BND",Z64,AJ8,Z3)</f>
        <v>입력오류</v>
      </c>
      <c r="AK64" s="2"/>
      <c r="AU64" s="21" t="str">
        <f ca="1">_xll.IMDP("BND",AL64,AU8,AL3)</f>
        <v>입력오류</v>
      </c>
      <c r="AV64" s="23" t="str">
        <f ca="1">_xll.IMDP("BND",AL64,AV8,AL3)</f>
        <v>입력오류</v>
      </c>
      <c r="AW64" s="2"/>
      <c r="BG64" s="21" t="str">
        <f ca="1">_xll.IMDP("BND",AX64,BG8,AX3)</f>
        <v>입력오류</v>
      </c>
      <c r="BH64" s="23" t="str">
        <f ca="1">_xll.IMDP("BND",AX64,BH8,AX3)</f>
        <v>입력오류</v>
      </c>
      <c r="BI64" s="2">
        <v>46198</v>
      </c>
      <c r="BJ64" s="3" t="s">
        <v>490</v>
      </c>
      <c r="BK64" s="3" t="s">
        <v>249</v>
      </c>
      <c r="BL64" s="3" t="s">
        <v>491</v>
      </c>
      <c r="BM64" s="3">
        <v>0</v>
      </c>
      <c r="BN64" s="3">
        <v>0.6</v>
      </c>
      <c r="BO64" s="3">
        <v>0</v>
      </c>
      <c r="BP64" s="3">
        <v>749646</v>
      </c>
      <c r="BQ64" s="3">
        <v>9774.44</v>
      </c>
      <c r="BR64" s="3">
        <v>1.8106</v>
      </c>
      <c r="BS64" s="21">
        <f ca="1">_xll.IMDP("BND",BJ64,BS8,BJ3)</f>
        <v>20280512</v>
      </c>
      <c r="BT64" s="23">
        <f ca="1">_xll.IMDP("BND",BJ64,BT8,BJ3)</f>
        <v>4.2990000000000004</v>
      </c>
      <c r="BU64" s="2">
        <v>46198</v>
      </c>
      <c r="BV64" s="3" t="s">
        <v>1095</v>
      </c>
      <c r="BW64" s="3" t="s">
        <v>1096</v>
      </c>
      <c r="BX64" s="3" t="s">
        <v>1097</v>
      </c>
      <c r="BY64" s="3">
        <v>0</v>
      </c>
      <c r="BZ64" s="3">
        <v>0.7</v>
      </c>
      <c r="CA64" s="3">
        <v>0</v>
      </c>
      <c r="CB64" s="3">
        <v>934514</v>
      </c>
      <c r="CC64" s="3">
        <v>10017.07</v>
      </c>
      <c r="CD64" s="3">
        <v>0.21290000000000001</v>
      </c>
      <c r="CE64" s="21">
        <f ca="1">_xll.IMDP("BND",BV64,CE8,BV3)</f>
        <v>20260911</v>
      </c>
      <c r="CF64" s="23">
        <f ca="1">_xll.IMDP("BND",BV64,CF8,BV3)</f>
        <v>3.2360000000000002</v>
      </c>
      <c r="CG64" s="2"/>
      <c r="CQ64" s="21" t="str">
        <f ca="1">_xll.IMDP("BND",CH64,CQ8,CH3)</f>
        <v>입력오류</v>
      </c>
      <c r="CR64" s="23" t="str">
        <f ca="1">_xll.IMDP("BND",CH64,CR8,CH3)</f>
        <v>입력오류</v>
      </c>
      <c r="CS64" s="2">
        <v>46198</v>
      </c>
      <c r="CT64" s="3" t="s">
        <v>260</v>
      </c>
      <c r="CU64" s="3" t="s">
        <v>261</v>
      </c>
      <c r="CV64" s="3" t="s">
        <v>262</v>
      </c>
      <c r="CW64" s="3">
        <v>0</v>
      </c>
      <c r="CX64" s="3">
        <v>0.32</v>
      </c>
      <c r="CY64" s="3">
        <v>0</v>
      </c>
      <c r="CZ64" s="3">
        <v>468214</v>
      </c>
      <c r="DA64" s="3">
        <v>10027.52</v>
      </c>
      <c r="DB64" s="3">
        <v>0.98399999999999999</v>
      </c>
      <c r="DC64" s="21">
        <f ca="1">_xll.IMDP("BND",CT64,DC8,CT3)</f>
        <v>20270630</v>
      </c>
      <c r="DD64" s="23">
        <f ca="1">_xll.IMDP("BND",CT64,DD8,CT3)</f>
        <v>3.915</v>
      </c>
      <c r="DE64" s="2"/>
      <c r="DO64" s="21" t="str">
        <f ca="1">_xll.IMDP("BND",DF64,DO8,DF3)</f>
        <v>입력오류</v>
      </c>
      <c r="DP64" s="23" t="str">
        <f ca="1">_xll.IMDP("BND",DF64,DP8,DF3)</f>
        <v>입력오류</v>
      </c>
      <c r="DQ64" s="2">
        <v>46198</v>
      </c>
      <c r="DR64" s="3" t="s">
        <v>1325</v>
      </c>
      <c r="DS64" s="3" t="s">
        <v>1326</v>
      </c>
      <c r="DT64" s="3" t="s">
        <v>1327</v>
      </c>
      <c r="DU64" s="3">
        <v>0</v>
      </c>
      <c r="DV64" s="3">
        <v>0.86</v>
      </c>
      <c r="DW64" s="3">
        <v>0</v>
      </c>
      <c r="DX64" s="3">
        <v>1981351</v>
      </c>
      <c r="DY64" s="3">
        <v>9512.17</v>
      </c>
      <c r="DZ64" s="3">
        <v>3.6057000000000001</v>
      </c>
      <c r="EA64" s="21">
        <f ca="1">_xll.IMDP("BND",DR64,EA8,DR3)</f>
        <v>20300508</v>
      </c>
      <c r="EB64" s="23">
        <f ca="1">_xll.IMDP("BND",DR64,EB8,DR3)</f>
        <v>4.4640000000000004</v>
      </c>
    </row>
    <row r="65" spans="1:132" ht="13.5" customHeight="1" x14ac:dyDescent="0.3">
      <c r="A65" s="2">
        <v>46198</v>
      </c>
      <c r="B65" s="3" t="s">
        <v>829</v>
      </c>
      <c r="C65" s="3" t="s">
        <v>830</v>
      </c>
      <c r="D65" s="3" t="s">
        <v>831</v>
      </c>
      <c r="E65" s="3">
        <v>0</v>
      </c>
      <c r="F65" s="3">
        <v>0.35</v>
      </c>
      <c r="G65" s="3">
        <v>0</v>
      </c>
      <c r="H65" s="3">
        <v>388879</v>
      </c>
      <c r="I65" s="3">
        <v>10099.77</v>
      </c>
      <c r="J65" s="3">
        <v>1.4816</v>
      </c>
      <c r="K65" s="21">
        <f ca="1">_xll.IMDP("BND",B65,K8,B3)</f>
        <v>20280112</v>
      </c>
      <c r="L65" s="23">
        <f ca="1">_xll.IMDP("BND",B65,L8,B3)</f>
        <v>4.0030000000000001</v>
      </c>
      <c r="M65" s="2"/>
      <c r="W65" s="21" t="str">
        <f ca="1">_xll.IMDP("BND",N65,W8,N3)</f>
        <v>입력오류</v>
      </c>
      <c r="X65" s="23" t="str">
        <f ca="1">_xll.IMDP("BND",N65,X8,N3)</f>
        <v>입력오류</v>
      </c>
      <c r="Y65" s="2"/>
      <c r="AI65" s="21" t="str">
        <f ca="1">_xll.IMDP("BND",Z65,AI8,Z3)</f>
        <v>입력오류</v>
      </c>
      <c r="AJ65" s="23" t="str">
        <f ca="1">_xll.IMDP("BND",Z65,AJ8,Z3)</f>
        <v>입력오류</v>
      </c>
      <c r="AK65" s="2"/>
      <c r="AU65" s="21" t="str">
        <f ca="1">_xll.IMDP("BND",AL65,AU8,AL3)</f>
        <v>입력오류</v>
      </c>
      <c r="AV65" s="23" t="str">
        <f ca="1">_xll.IMDP("BND",AL65,AV8,AL3)</f>
        <v>입력오류</v>
      </c>
      <c r="AW65" s="2"/>
      <c r="BG65" s="21" t="str">
        <f ca="1">_xll.IMDP("BND",AX65,BG8,AX3)</f>
        <v>입력오류</v>
      </c>
      <c r="BH65" s="23" t="str">
        <f ca="1">_xll.IMDP("BND",AX65,BH8,AX3)</f>
        <v>입력오류</v>
      </c>
      <c r="BI65" s="2">
        <v>46198</v>
      </c>
      <c r="BJ65" s="3" t="s">
        <v>487</v>
      </c>
      <c r="BK65" s="3" t="s">
        <v>488</v>
      </c>
      <c r="BL65" s="3" t="s">
        <v>489</v>
      </c>
      <c r="BM65" s="3">
        <v>0</v>
      </c>
      <c r="BN65" s="3">
        <v>0.6</v>
      </c>
      <c r="BO65" s="3">
        <v>0</v>
      </c>
      <c r="BP65" s="3">
        <v>749598</v>
      </c>
      <c r="BQ65" s="3">
        <v>9775.2199999999993</v>
      </c>
      <c r="BR65" s="3">
        <v>2.3296000000000001</v>
      </c>
      <c r="BS65" s="21">
        <f ca="1">_xll.IMDP("BND",BJ65,BS8,BJ3)</f>
        <v>20281207</v>
      </c>
      <c r="BT65" s="23">
        <f ca="1">_xll.IMDP("BND",BJ65,BT8,BJ3)</f>
        <v>4.5490000000000004</v>
      </c>
      <c r="BU65" s="2">
        <v>46198</v>
      </c>
      <c r="BV65" s="3" t="s">
        <v>1098</v>
      </c>
      <c r="BW65" s="3" t="s">
        <v>1099</v>
      </c>
      <c r="BX65" s="3" t="s">
        <v>1100</v>
      </c>
      <c r="BY65" s="3">
        <v>0</v>
      </c>
      <c r="BZ65" s="3">
        <v>0.7</v>
      </c>
      <c r="CA65" s="3">
        <v>0</v>
      </c>
      <c r="CB65" s="3">
        <v>934236</v>
      </c>
      <c r="CC65" s="3">
        <v>10014.01</v>
      </c>
      <c r="CD65" s="3">
        <v>0.45490000000000003</v>
      </c>
      <c r="CE65" s="21">
        <f ca="1">_xll.IMDP("BND",BV65,CE8,BV3)</f>
        <v>20261211</v>
      </c>
      <c r="CF65" s="23">
        <f ca="1">_xll.IMDP("BND",BV65,CF8,BV3)</f>
        <v>3.4209999999999998</v>
      </c>
      <c r="CG65" s="2"/>
      <c r="CQ65" s="21" t="str">
        <f ca="1">_xll.IMDP("BND",CH65,CQ8,CH3)</f>
        <v>입력오류</v>
      </c>
      <c r="CR65" s="23" t="str">
        <f ca="1">_xll.IMDP("BND",CH65,CR8,CH3)</f>
        <v>입력오류</v>
      </c>
      <c r="CS65" s="2">
        <v>46198</v>
      </c>
      <c r="CT65" s="3" t="s">
        <v>266</v>
      </c>
      <c r="CU65" s="3" t="s">
        <v>267</v>
      </c>
      <c r="CV65" s="3" t="s">
        <v>268</v>
      </c>
      <c r="CW65" s="3">
        <v>0</v>
      </c>
      <c r="CX65" s="3">
        <v>0.32</v>
      </c>
      <c r="CY65" s="3">
        <v>0</v>
      </c>
      <c r="CZ65" s="3">
        <v>467944</v>
      </c>
      <c r="DA65" s="3">
        <v>10021.86</v>
      </c>
      <c r="DB65" s="3">
        <v>1.8431</v>
      </c>
      <c r="DC65" s="21">
        <f ca="1">_xll.IMDP("BND",CT65,DC8,CT3)</f>
        <v>20280602</v>
      </c>
      <c r="DD65" s="23">
        <f ca="1">_xll.IMDP("BND",CT65,DD8,CT3)</f>
        <v>4.0449999999999999</v>
      </c>
      <c r="DE65" s="2"/>
      <c r="DO65" s="21" t="str">
        <f ca="1">_xll.IMDP("BND",DF65,DO8,DF3)</f>
        <v>입력오류</v>
      </c>
      <c r="DP65" s="23" t="str">
        <f ca="1">_xll.IMDP("BND",DF65,DP8,DF3)</f>
        <v>입력오류</v>
      </c>
      <c r="DQ65" s="2">
        <v>46198</v>
      </c>
      <c r="DR65" s="3" t="s">
        <v>560</v>
      </c>
      <c r="DS65" s="3" t="s">
        <v>561</v>
      </c>
      <c r="DT65" s="3" t="s">
        <v>562</v>
      </c>
      <c r="DU65" s="3">
        <v>0</v>
      </c>
      <c r="DV65" s="3">
        <v>0.86</v>
      </c>
      <c r="DW65" s="3">
        <v>0</v>
      </c>
      <c r="DX65" s="3">
        <v>1980431</v>
      </c>
      <c r="DY65" s="3">
        <v>9506.1200000000008</v>
      </c>
      <c r="DZ65" s="3">
        <v>4.0133000000000001</v>
      </c>
      <c r="EA65" s="21">
        <f ca="1">_xll.IMDP("BND",DR65,EA8,DR3)</f>
        <v>20301027</v>
      </c>
      <c r="EB65" s="23">
        <f ca="1">_xll.IMDP("BND",DR65,EB8,DR3)</f>
        <v>4.3680000000000003</v>
      </c>
    </row>
    <row r="66" spans="1:132" ht="13.5" customHeight="1" x14ac:dyDescent="0.3">
      <c r="A66" s="2">
        <v>46198</v>
      </c>
      <c r="B66" s="3" t="s">
        <v>832</v>
      </c>
      <c r="C66" s="3" t="s">
        <v>833</v>
      </c>
      <c r="D66" s="3" t="s">
        <v>834</v>
      </c>
      <c r="E66" s="3">
        <v>0</v>
      </c>
      <c r="F66" s="3">
        <v>0.33</v>
      </c>
      <c r="G66" s="3">
        <v>0</v>
      </c>
      <c r="H66" s="3">
        <v>371365</v>
      </c>
      <c r="I66" s="3">
        <v>9645.5300000000007</v>
      </c>
      <c r="J66" s="3">
        <v>3.3450000000000002</v>
      </c>
      <c r="K66" s="21">
        <f ca="1">_xll.IMDP("BND",B66,K8,B3)</f>
        <v>20300123</v>
      </c>
      <c r="L66" s="23">
        <f ca="1">_xll.IMDP("BND",B66,L8,B3)</f>
        <v>4.3049999999999997</v>
      </c>
      <c r="M66" s="2"/>
      <c r="W66" s="21" t="str">
        <f ca="1">_xll.IMDP("BND",N66,W8,N3)</f>
        <v>입력오류</v>
      </c>
      <c r="X66" s="23" t="str">
        <f ca="1">_xll.IMDP("BND",N66,X8,N3)</f>
        <v>입력오류</v>
      </c>
      <c r="Y66" s="2"/>
      <c r="AI66" s="21" t="str">
        <f ca="1">_xll.IMDP("BND",Z66,AI8,Z3)</f>
        <v>입력오류</v>
      </c>
      <c r="AJ66" s="23" t="str">
        <f ca="1">_xll.IMDP("BND",Z66,AJ8,Z3)</f>
        <v>입력오류</v>
      </c>
      <c r="AK66" s="2"/>
      <c r="AU66" s="21" t="str">
        <f ca="1">_xll.IMDP("BND",AL66,AU8,AL3)</f>
        <v>입력오류</v>
      </c>
      <c r="AV66" s="23" t="str">
        <f ca="1">_xll.IMDP("BND",AL66,AV8,AL3)</f>
        <v>입력오류</v>
      </c>
      <c r="AW66" s="2"/>
      <c r="BG66" s="21" t="str">
        <f ca="1">_xll.IMDP("BND",AX66,BG8,AX3)</f>
        <v>입력오류</v>
      </c>
      <c r="BH66" s="23" t="str">
        <f ca="1">_xll.IMDP("BND",AX66,BH8,AX3)</f>
        <v>입력오류</v>
      </c>
      <c r="BI66" s="2">
        <v>46198</v>
      </c>
      <c r="BJ66" s="3" t="s">
        <v>492</v>
      </c>
      <c r="BK66" s="3" t="s">
        <v>493</v>
      </c>
      <c r="BL66" s="3" t="s">
        <v>494</v>
      </c>
      <c r="BM66" s="3">
        <v>0</v>
      </c>
      <c r="BN66" s="3">
        <v>0.6</v>
      </c>
      <c r="BO66" s="3">
        <v>0</v>
      </c>
      <c r="BP66" s="3">
        <v>749247</v>
      </c>
      <c r="BQ66" s="3">
        <v>9769.91</v>
      </c>
      <c r="BR66" s="3">
        <v>1.8453999999999999</v>
      </c>
      <c r="BS66" s="21">
        <f ca="1">_xll.IMDP("BND",BJ66,BS8,BJ3)</f>
        <v>20280522</v>
      </c>
      <c r="BT66" s="23">
        <f ca="1">_xll.IMDP("BND",BJ66,BT8,BJ3)</f>
        <v>3.9889999999999999</v>
      </c>
      <c r="BU66" s="2">
        <v>46198</v>
      </c>
      <c r="BV66" s="3" t="s">
        <v>1101</v>
      </c>
      <c r="BW66" s="3" t="s">
        <v>1102</v>
      </c>
      <c r="BX66" s="3" t="s">
        <v>1103</v>
      </c>
      <c r="BY66" s="3">
        <v>0</v>
      </c>
      <c r="BZ66" s="3">
        <v>0.7</v>
      </c>
      <c r="CA66" s="3">
        <v>0</v>
      </c>
      <c r="CB66" s="3">
        <v>934124</v>
      </c>
      <c r="CC66" s="3">
        <v>10012.66</v>
      </c>
      <c r="CD66" s="3">
        <v>0.21440000000000001</v>
      </c>
      <c r="CE66" s="21">
        <f ca="1">_xll.IMDP("BND",BV66,CE8,BV3)</f>
        <v>20260912</v>
      </c>
      <c r="CF66" s="23">
        <f ca="1">_xll.IMDP("BND",BV66,CF8,BV3)</f>
        <v>3.246</v>
      </c>
      <c r="CG66" s="2"/>
      <c r="CQ66" s="21" t="str">
        <f ca="1">_xll.IMDP("BND",CH66,CQ8,CH3)</f>
        <v>입력오류</v>
      </c>
      <c r="CR66" s="23" t="str">
        <f ca="1">_xll.IMDP("BND",CH66,CR8,CH3)</f>
        <v>입력오류</v>
      </c>
      <c r="CS66" s="2">
        <v>46198</v>
      </c>
      <c r="CT66" s="3" t="s">
        <v>269</v>
      </c>
      <c r="CU66" s="3" t="s">
        <v>270</v>
      </c>
      <c r="CV66" s="3" t="s">
        <v>271</v>
      </c>
      <c r="CW66" s="3">
        <v>0</v>
      </c>
      <c r="CX66" s="3">
        <v>0.32</v>
      </c>
      <c r="CY66" s="3">
        <v>0</v>
      </c>
      <c r="CZ66" s="3">
        <v>467913</v>
      </c>
      <c r="DA66" s="3">
        <v>10020.83</v>
      </c>
      <c r="DB66" s="3">
        <v>1.8211999999999999</v>
      </c>
      <c r="DC66" s="21">
        <f ca="1">_xll.IMDP("BND",CT66,DC8,CT3)</f>
        <v>20280522</v>
      </c>
      <c r="DD66" s="23">
        <f ca="1">_xll.IMDP("BND",CT66,DD8,CT3)</f>
        <v>4.1500000000000004</v>
      </c>
      <c r="DE66" s="2"/>
      <c r="DO66" s="21" t="str">
        <f ca="1">_xll.IMDP("BND",DF66,DO8,DF3)</f>
        <v>입력오류</v>
      </c>
      <c r="DP66" s="23" t="str">
        <f ca="1">_xll.IMDP("BND",DF66,DP8,DF3)</f>
        <v>입력오류</v>
      </c>
      <c r="DQ66" s="2">
        <v>46198</v>
      </c>
      <c r="DR66" s="3" t="s">
        <v>1328</v>
      </c>
      <c r="DS66" s="3" t="s">
        <v>773</v>
      </c>
      <c r="DT66" s="3" t="s">
        <v>1329</v>
      </c>
      <c r="DU66" s="3">
        <v>0</v>
      </c>
      <c r="DV66" s="3">
        <v>0.85</v>
      </c>
      <c r="DW66" s="3">
        <v>0</v>
      </c>
      <c r="DX66" s="3">
        <v>1964365</v>
      </c>
      <c r="DY66" s="3">
        <v>9430.9</v>
      </c>
      <c r="DZ66" s="3">
        <v>3.2759</v>
      </c>
      <c r="EA66" s="21">
        <f ca="1">_xll.IMDP("BND",DR66,EA8,DR3)</f>
        <v>20291204</v>
      </c>
      <c r="EB66" s="23">
        <f ca="1">_xll.IMDP("BND",DR66,EB8,DR3)</f>
        <v>4.3840000000000003</v>
      </c>
    </row>
    <row r="67" spans="1:132" ht="13.5" customHeight="1" x14ac:dyDescent="0.3">
      <c r="A67" s="2">
        <v>46198</v>
      </c>
      <c r="B67" s="3" t="s">
        <v>835</v>
      </c>
      <c r="C67" s="3" t="s">
        <v>836</v>
      </c>
      <c r="D67" s="3" t="s">
        <v>837</v>
      </c>
      <c r="E67" s="3">
        <v>0</v>
      </c>
      <c r="F67" s="3">
        <v>0.32</v>
      </c>
      <c r="G67" s="3">
        <v>0</v>
      </c>
      <c r="H67" s="3">
        <v>358768</v>
      </c>
      <c r="I67" s="3">
        <v>9651.68</v>
      </c>
      <c r="J67" s="3">
        <v>2.3161999999999998</v>
      </c>
      <c r="K67" s="21">
        <f ca="1">_xll.IMDP("BND",B67,K8,B3)</f>
        <v>20281124</v>
      </c>
      <c r="L67" s="23">
        <f ca="1">_xll.IMDP("BND",B67,L8,B3)</f>
        <v>4.2869999999999999</v>
      </c>
      <c r="M67" s="2"/>
      <c r="W67" s="21" t="str">
        <f ca="1">_xll.IMDP("BND",N67,W8,N3)</f>
        <v>입력오류</v>
      </c>
      <c r="X67" s="23" t="str">
        <f ca="1">_xll.IMDP("BND",N67,X8,N3)</f>
        <v>입력오류</v>
      </c>
      <c r="Y67" s="2"/>
      <c r="AI67" s="21" t="str">
        <f ca="1">_xll.IMDP("BND",Z67,AI8,Z3)</f>
        <v>입력오류</v>
      </c>
      <c r="AJ67" s="23" t="str">
        <f ca="1">_xll.IMDP("BND",Z67,AJ8,Z3)</f>
        <v>입력오류</v>
      </c>
      <c r="AK67" s="2"/>
      <c r="AU67" s="21" t="str">
        <f ca="1">_xll.IMDP("BND",AL67,AU8,AL3)</f>
        <v>입력오류</v>
      </c>
      <c r="AV67" s="23" t="str">
        <f ca="1">_xll.IMDP("BND",AL67,AV8,AL3)</f>
        <v>입력오류</v>
      </c>
      <c r="AW67" s="2"/>
      <c r="BG67" s="21" t="str">
        <f ca="1">_xll.IMDP("BND",AX67,BG8,AX3)</f>
        <v>입력오류</v>
      </c>
      <c r="BH67" s="23" t="str">
        <f ca="1">_xll.IMDP("BND",AX67,BH8,AX3)</f>
        <v>입력오류</v>
      </c>
      <c r="BI67" s="2">
        <v>46198</v>
      </c>
      <c r="BJ67" s="3" t="s">
        <v>495</v>
      </c>
      <c r="BK67" s="3" t="s">
        <v>496</v>
      </c>
      <c r="BL67" s="3" t="s">
        <v>497</v>
      </c>
      <c r="BM67" s="3">
        <v>0</v>
      </c>
      <c r="BN67" s="3">
        <v>0.6</v>
      </c>
      <c r="BO67" s="3">
        <v>0</v>
      </c>
      <c r="BP67" s="3">
        <v>746559</v>
      </c>
      <c r="BQ67" s="3">
        <v>9734.15</v>
      </c>
      <c r="BR67" s="3">
        <v>1.8996999999999999</v>
      </c>
      <c r="BS67" s="21">
        <f ca="1">_xll.IMDP("BND",BJ67,BS8,BJ3)</f>
        <v>20280613</v>
      </c>
      <c r="BT67" s="23">
        <f ca="1">_xll.IMDP("BND",BJ67,BT8,BJ3)</f>
        <v>4.2750000000000004</v>
      </c>
      <c r="BU67" s="2">
        <v>46198</v>
      </c>
      <c r="BV67" s="3" t="s">
        <v>724</v>
      </c>
      <c r="BW67" s="3" t="s">
        <v>725</v>
      </c>
      <c r="BX67" s="3" t="s">
        <v>726</v>
      </c>
      <c r="BY67" s="3">
        <v>0</v>
      </c>
      <c r="BZ67" s="3">
        <v>0.7</v>
      </c>
      <c r="CA67" s="3">
        <v>0</v>
      </c>
      <c r="CB67" s="3">
        <v>933854</v>
      </c>
      <c r="CC67" s="3">
        <v>10010.02</v>
      </c>
      <c r="CD67" s="3">
        <v>0.21160000000000001</v>
      </c>
      <c r="CE67" s="21">
        <f ca="1">_xll.IMDP("BND",BV67,CE8,BV3)</f>
        <v>20260911</v>
      </c>
      <c r="CF67" s="23">
        <f ca="1">_xll.IMDP("BND",BV67,CF8,BV3)</f>
        <v>3.3119999999999998</v>
      </c>
      <c r="CG67" s="2"/>
      <c r="CQ67" s="21" t="str">
        <f ca="1">_xll.IMDP("BND",CH67,CQ8,CH3)</f>
        <v>입력오류</v>
      </c>
      <c r="CR67" s="23" t="str">
        <f ca="1">_xll.IMDP("BND",CH67,CR8,CH3)</f>
        <v>입력오류</v>
      </c>
      <c r="CS67" s="2">
        <v>46198</v>
      </c>
      <c r="CT67" s="3" t="s">
        <v>272</v>
      </c>
      <c r="CU67" s="3" t="s">
        <v>273</v>
      </c>
      <c r="CV67" s="3" t="s">
        <v>274</v>
      </c>
      <c r="CW67" s="3">
        <v>0</v>
      </c>
      <c r="CX67" s="3">
        <v>0.32</v>
      </c>
      <c r="CY67" s="3">
        <v>0</v>
      </c>
      <c r="CZ67" s="3">
        <v>467659</v>
      </c>
      <c r="DA67" s="3">
        <v>10014.73</v>
      </c>
      <c r="DB67" s="3">
        <v>2.5941000000000001</v>
      </c>
      <c r="DC67" s="21">
        <f ca="1">_xll.IMDP("BND",CT67,DC8,CT3)</f>
        <v>20290406</v>
      </c>
      <c r="DD67" s="23">
        <f ca="1">_xll.IMDP("BND",CT67,DD8,CT3)</f>
        <v>4.2729999999999997</v>
      </c>
      <c r="DE67" s="2"/>
      <c r="DO67" s="21" t="str">
        <f ca="1">_xll.IMDP("BND",DF67,DO8,DF3)</f>
        <v>입력오류</v>
      </c>
      <c r="DP67" s="23" t="str">
        <f ca="1">_xll.IMDP("BND",DF67,DP8,DF3)</f>
        <v>입력오류</v>
      </c>
      <c r="DQ67" s="2">
        <v>46198</v>
      </c>
      <c r="DR67" s="3" t="s">
        <v>1330</v>
      </c>
      <c r="DS67" s="3" t="s">
        <v>1331</v>
      </c>
      <c r="DT67" s="3" t="s">
        <v>1332</v>
      </c>
      <c r="DU67" s="3">
        <v>0</v>
      </c>
      <c r="DV67" s="3">
        <v>0.85</v>
      </c>
      <c r="DW67" s="3">
        <v>0</v>
      </c>
      <c r="DX67" s="3">
        <v>1957431</v>
      </c>
      <c r="DY67" s="3">
        <v>9403.9699999999993</v>
      </c>
      <c r="DZ67" s="3">
        <v>5.1851000000000003</v>
      </c>
      <c r="EA67" s="21">
        <f ca="1">_xll.IMDP("BND",DR67,EA8,DR3)</f>
        <v>20320323</v>
      </c>
      <c r="EB67" s="23">
        <f ca="1">_xll.IMDP("BND",DR67,EB8,DR3)</f>
        <v>4.5999999999999996</v>
      </c>
    </row>
    <row r="68" spans="1:132" ht="13.5" customHeight="1" x14ac:dyDescent="0.3">
      <c r="A68" s="2">
        <v>46198</v>
      </c>
      <c r="B68" s="3" t="s">
        <v>838</v>
      </c>
      <c r="C68" s="3" t="s">
        <v>29</v>
      </c>
      <c r="D68" s="3" t="s">
        <v>839</v>
      </c>
      <c r="E68" s="3">
        <v>0</v>
      </c>
      <c r="F68" s="3">
        <v>0.32</v>
      </c>
      <c r="G68" s="3">
        <v>0</v>
      </c>
      <c r="H68" s="3">
        <v>356692</v>
      </c>
      <c r="I68" s="3">
        <v>9899.1299999999992</v>
      </c>
      <c r="J68" s="3">
        <v>0.93910000000000005</v>
      </c>
      <c r="K68" s="21">
        <f ca="1">_xll.IMDP("BND",B68,K8,B3)</f>
        <v>20270610</v>
      </c>
      <c r="L68" s="23">
        <f ca="1">_xll.IMDP("BND",B68,L8,B3)</f>
        <v>3.2930000000000001</v>
      </c>
      <c r="M68" s="2"/>
      <c r="W68" s="21" t="str">
        <f ca="1">_xll.IMDP("BND",N68,W8,N3)</f>
        <v>입력오류</v>
      </c>
      <c r="X68" s="23" t="str">
        <f ca="1">_xll.IMDP("BND",N68,X8,N3)</f>
        <v>입력오류</v>
      </c>
      <c r="Y68" s="2"/>
      <c r="AI68" s="21" t="str">
        <f ca="1">_xll.IMDP("BND",Z68,AI8,Z3)</f>
        <v>입력오류</v>
      </c>
      <c r="AJ68" s="23" t="str">
        <f ca="1">_xll.IMDP("BND",Z68,AJ8,Z3)</f>
        <v>입력오류</v>
      </c>
      <c r="AK68" s="2"/>
      <c r="AU68" s="21" t="str">
        <f ca="1">_xll.IMDP("BND",AL68,AU8,AL3)</f>
        <v>입력오류</v>
      </c>
      <c r="AV68" s="23" t="str">
        <f ca="1">_xll.IMDP("BND",AL68,AV8,AL3)</f>
        <v>입력오류</v>
      </c>
      <c r="AW68" s="2"/>
      <c r="BG68" s="21" t="str">
        <f ca="1">_xll.IMDP("BND",AX68,BG8,AX3)</f>
        <v>입력오류</v>
      </c>
      <c r="BH68" s="23" t="str">
        <f ca="1">_xll.IMDP("BND",AX68,BH8,AX3)</f>
        <v>입력오류</v>
      </c>
      <c r="BI68" s="2">
        <v>46198</v>
      </c>
      <c r="BJ68" s="3" t="s">
        <v>498</v>
      </c>
      <c r="BK68" s="3" t="s">
        <v>499</v>
      </c>
      <c r="BL68" s="3" t="s">
        <v>500</v>
      </c>
      <c r="BM68" s="3">
        <v>0</v>
      </c>
      <c r="BN68" s="3">
        <v>0.59</v>
      </c>
      <c r="BO68" s="3">
        <v>0</v>
      </c>
      <c r="BP68" s="3">
        <v>744097</v>
      </c>
      <c r="BQ68" s="3">
        <v>9702.34</v>
      </c>
      <c r="BR68" s="3">
        <v>2.1223000000000001</v>
      </c>
      <c r="BS68" s="21">
        <f ca="1">_xll.IMDP("BND",BJ68,BS8,BJ3)</f>
        <v>20280908</v>
      </c>
      <c r="BT68" s="23">
        <f ca="1">_xll.IMDP("BND",BJ68,BT8,BJ3)</f>
        <v>4.2670000000000003</v>
      </c>
      <c r="BU68" s="2">
        <v>46198</v>
      </c>
      <c r="BV68" s="3" t="s">
        <v>1104</v>
      </c>
      <c r="BW68" s="3" t="s">
        <v>1105</v>
      </c>
      <c r="BX68" s="3" t="s">
        <v>1106</v>
      </c>
      <c r="BY68" s="3">
        <v>0</v>
      </c>
      <c r="BZ68" s="3">
        <v>0.7</v>
      </c>
      <c r="CA68" s="3">
        <v>0</v>
      </c>
      <c r="CB68" s="3">
        <v>933818</v>
      </c>
      <c r="CC68" s="3">
        <v>10009.620000000001</v>
      </c>
      <c r="CD68" s="3">
        <v>0.21279999999999999</v>
      </c>
      <c r="CE68" s="21">
        <f ca="1">_xll.IMDP("BND",BV68,CE8,BV3)</f>
        <v>20260911</v>
      </c>
      <c r="CF68" s="23">
        <f ca="1">_xll.IMDP("BND",BV68,CF8,BV3)</f>
        <v>3.2829999999999999</v>
      </c>
      <c r="CG68" s="2"/>
      <c r="CQ68" s="21" t="str">
        <f ca="1">_xll.IMDP("BND",CH68,CQ8,CH3)</f>
        <v>입력오류</v>
      </c>
      <c r="CR68" s="23" t="str">
        <f ca="1">_xll.IMDP("BND",CH68,CR8,CH3)</f>
        <v>입력오류</v>
      </c>
      <c r="CS68" s="2">
        <v>46198</v>
      </c>
      <c r="CT68" s="3" t="s">
        <v>275</v>
      </c>
      <c r="CU68" s="3" t="s">
        <v>276</v>
      </c>
      <c r="CV68" s="3" t="s">
        <v>277</v>
      </c>
      <c r="CW68" s="3">
        <v>0</v>
      </c>
      <c r="CX68" s="3">
        <v>0.32</v>
      </c>
      <c r="CY68" s="3">
        <v>0</v>
      </c>
      <c r="CZ68" s="3">
        <v>467386</v>
      </c>
      <c r="DA68" s="3">
        <v>10009.629999999999</v>
      </c>
      <c r="DB68" s="3">
        <v>1.8151999999999999</v>
      </c>
      <c r="DC68" s="21">
        <f ca="1">_xll.IMDP("BND",CT68,DC8,CT3)</f>
        <v>20280519</v>
      </c>
      <c r="DD68" s="23">
        <f ca="1">_xll.IMDP("BND",CT68,DD8,CT3)</f>
        <v>4.0039999999999996</v>
      </c>
      <c r="DE68" s="2"/>
      <c r="DO68" s="21" t="str">
        <f ca="1">_xll.IMDP("BND",DF68,DO8,DF3)</f>
        <v>입력오류</v>
      </c>
      <c r="DP68" s="23" t="str">
        <f ca="1">_xll.IMDP("BND",DF68,DP8,DF3)</f>
        <v>입력오류</v>
      </c>
      <c r="DQ68" s="2">
        <v>46198</v>
      </c>
      <c r="DR68" s="3" t="s">
        <v>1333</v>
      </c>
      <c r="DS68" s="3" t="s">
        <v>1334</v>
      </c>
      <c r="DT68" s="3" t="s">
        <v>1335</v>
      </c>
      <c r="DU68" s="3">
        <v>0</v>
      </c>
      <c r="DV68" s="3">
        <v>0.84</v>
      </c>
      <c r="DW68" s="3">
        <v>0</v>
      </c>
      <c r="DX68" s="3">
        <v>1928473</v>
      </c>
      <c r="DY68" s="3">
        <v>9258.67</v>
      </c>
      <c r="DZ68" s="3">
        <v>3.5665</v>
      </c>
      <c r="EA68" s="21">
        <f ca="1">_xll.IMDP("BND",DR68,EA8,DR3)</f>
        <v>20300324</v>
      </c>
      <c r="EB68" s="23">
        <f ca="1">_xll.IMDP("BND",DR68,EB8,DR3)</f>
        <v>4.4809999999999999</v>
      </c>
    </row>
    <row r="69" spans="1:132" ht="13.5" customHeight="1" x14ac:dyDescent="0.3">
      <c r="A69" s="2">
        <v>46198</v>
      </c>
      <c r="B69" s="3" t="s">
        <v>840</v>
      </c>
      <c r="C69" s="3" t="s">
        <v>745</v>
      </c>
      <c r="D69" s="3" t="s">
        <v>841</v>
      </c>
      <c r="E69" s="3">
        <v>0</v>
      </c>
      <c r="F69" s="3">
        <v>0.32</v>
      </c>
      <c r="G69" s="3">
        <v>0</v>
      </c>
      <c r="H69" s="3">
        <v>354265</v>
      </c>
      <c r="I69" s="3">
        <v>9881.7199999999993</v>
      </c>
      <c r="J69" s="3">
        <v>1.5444</v>
      </c>
      <c r="K69" s="21">
        <f ca="1">_xll.IMDP("BND",B69,K8,B3)</f>
        <v>20280130</v>
      </c>
      <c r="L69" s="23">
        <f ca="1">_xll.IMDP("BND",B69,L8,B3)</f>
        <v>4.0090000000000003</v>
      </c>
      <c r="M69" s="2"/>
      <c r="W69" s="21" t="str">
        <f ca="1">_xll.IMDP("BND",N69,W8,N3)</f>
        <v>입력오류</v>
      </c>
      <c r="X69" s="23" t="str">
        <f ca="1">_xll.IMDP("BND",N69,X8,N3)</f>
        <v>입력오류</v>
      </c>
      <c r="Y69" s="2"/>
      <c r="AI69" s="21" t="str">
        <f ca="1">_xll.IMDP("BND",Z69,AI8,Z3)</f>
        <v>입력오류</v>
      </c>
      <c r="AJ69" s="23" t="str">
        <f ca="1">_xll.IMDP("BND",Z69,AJ8,Z3)</f>
        <v>입력오류</v>
      </c>
      <c r="AK69" s="2"/>
      <c r="AU69" s="21" t="str">
        <f ca="1">_xll.IMDP("BND",AL69,AU8,AL3)</f>
        <v>입력오류</v>
      </c>
      <c r="AV69" s="23" t="str">
        <f ca="1">_xll.IMDP("BND",AL69,AV8,AL3)</f>
        <v>입력오류</v>
      </c>
      <c r="AW69" s="2"/>
      <c r="BG69" s="21" t="str">
        <f ca="1">_xll.IMDP("BND",AX69,BG8,AX3)</f>
        <v>입력오류</v>
      </c>
      <c r="BH69" s="23" t="str">
        <f ca="1">_xll.IMDP("BND",AX69,BH8,AX3)</f>
        <v>입력오류</v>
      </c>
      <c r="BI69" s="2">
        <v>46198</v>
      </c>
      <c r="BJ69" s="3" t="s">
        <v>501</v>
      </c>
      <c r="BK69" s="3" t="s">
        <v>502</v>
      </c>
      <c r="BL69" s="3" t="s">
        <v>503</v>
      </c>
      <c r="BM69" s="3">
        <v>0</v>
      </c>
      <c r="BN69" s="3">
        <v>0.59</v>
      </c>
      <c r="BO69" s="3">
        <v>0</v>
      </c>
      <c r="BP69" s="3">
        <v>743544</v>
      </c>
      <c r="BQ69" s="3">
        <v>9694.9699999999993</v>
      </c>
      <c r="BR69" s="3">
        <v>1.8669</v>
      </c>
      <c r="BS69" s="21">
        <f ca="1">_xll.IMDP("BND",BJ69,BS8,BJ3)</f>
        <v>20280602</v>
      </c>
      <c r="BT69" s="23">
        <f ca="1">_xll.IMDP("BND",BJ69,BT8,BJ3)</f>
        <v>4.7050000000000001</v>
      </c>
      <c r="BU69" s="2">
        <v>46198</v>
      </c>
      <c r="BV69" s="3" t="s">
        <v>1107</v>
      </c>
      <c r="BW69" s="3" t="s">
        <v>1108</v>
      </c>
      <c r="BX69" s="3" t="s">
        <v>1109</v>
      </c>
      <c r="BY69" s="3">
        <v>0</v>
      </c>
      <c r="BZ69" s="3">
        <v>0.7</v>
      </c>
      <c r="CA69" s="3">
        <v>0</v>
      </c>
      <c r="CB69" s="3">
        <v>933705</v>
      </c>
      <c r="CC69" s="3">
        <v>10008.4</v>
      </c>
      <c r="CD69" s="3">
        <v>0.17480000000000001</v>
      </c>
      <c r="CE69" s="21">
        <f ca="1">_xll.IMDP("BND",BV69,CE8,BV3)</f>
        <v>20260828</v>
      </c>
      <c r="CF69" s="23">
        <f ca="1">_xll.IMDP("BND",BV69,CF8,BV3)</f>
        <v>3.33</v>
      </c>
      <c r="CG69" s="2"/>
      <c r="CQ69" s="21" t="str">
        <f ca="1">_xll.IMDP("BND",CH69,CQ8,CH3)</f>
        <v>입력오류</v>
      </c>
      <c r="CR69" s="23" t="str">
        <f ca="1">_xll.IMDP("BND",CH69,CR8,CH3)</f>
        <v>입력오류</v>
      </c>
      <c r="CS69" s="2">
        <v>46198</v>
      </c>
      <c r="CT69" s="3" t="s">
        <v>278</v>
      </c>
      <c r="CU69" s="3" t="s">
        <v>279</v>
      </c>
      <c r="CV69" s="3" t="s">
        <v>280</v>
      </c>
      <c r="CW69" s="3">
        <v>0</v>
      </c>
      <c r="CX69" s="3">
        <v>0.32</v>
      </c>
      <c r="CY69" s="3">
        <v>0</v>
      </c>
      <c r="CZ69" s="3">
        <v>467318</v>
      </c>
      <c r="DA69" s="3">
        <v>10008.01</v>
      </c>
      <c r="DB69" s="3">
        <v>1.7876000000000001</v>
      </c>
      <c r="DC69" s="21">
        <f ca="1">_xll.IMDP("BND",CT69,DC8,CT3)</f>
        <v>20280508</v>
      </c>
      <c r="DD69" s="23">
        <f ca="1">_xll.IMDP("BND",CT69,DD8,CT3)</f>
        <v>4.0570000000000004</v>
      </c>
      <c r="DE69" s="2"/>
      <c r="DO69" s="21" t="str">
        <f ca="1">_xll.IMDP("BND",DF69,DO8,DF3)</f>
        <v>입력오류</v>
      </c>
      <c r="DP69" s="23" t="str">
        <f ca="1">_xll.IMDP("BND",DF69,DP8,DF3)</f>
        <v>입력오류</v>
      </c>
      <c r="DQ69" s="2">
        <v>46198</v>
      </c>
      <c r="DR69" s="3" t="s">
        <v>1336</v>
      </c>
      <c r="DS69" s="3" t="s">
        <v>493</v>
      </c>
      <c r="DT69" s="3" t="s">
        <v>1337</v>
      </c>
      <c r="DU69" s="3">
        <v>0</v>
      </c>
      <c r="DV69" s="3">
        <v>0.84</v>
      </c>
      <c r="DW69" s="3">
        <v>0</v>
      </c>
      <c r="DX69" s="3">
        <v>1927700</v>
      </c>
      <c r="DY69" s="3">
        <v>9255.09</v>
      </c>
      <c r="DZ69" s="3">
        <v>6.0644</v>
      </c>
      <c r="EA69" s="21">
        <f ca="1">_xll.IMDP("BND",DR69,EA8,DR3)</f>
        <v>20330529</v>
      </c>
      <c r="EB69" s="23">
        <f ca="1">_xll.IMDP("BND",DR69,EB8,DR3)</f>
        <v>4.8879999999999999</v>
      </c>
    </row>
    <row r="70" spans="1:132" ht="13.5" customHeight="1" x14ac:dyDescent="0.3">
      <c r="A70" s="2">
        <v>46198</v>
      </c>
      <c r="B70" s="3" t="s">
        <v>842</v>
      </c>
      <c r="C70" s="3" t="s">
        <v>98</v>
      </c>
      <c r="D70" s="3" t="s">
        <v>843</v>
      </c>
      <c r="E70" s="3">
        <v>0</v>
      </c>
      <c r="F70" s="3">
        <v>0.31</v>
      </c>
      <c r="G70" s="3">
        <v>0</v>
      </c>
      <c r="H70" s="3">
        <v>345056</v>
      </c>
      <c r="I70" s="3">
        <v>8662.42</v>
      </c>
      <c r="J70" s="3">
        <v>3.5678999999999998</v>
      </c>
      <c r="K70" s="21">
        <f ca="1">_xll.IMDP("BND",B70,K8,B3)</f>
        <v>20300310</v>
      </c>
      <c r="L70" s="23">
        <f ca="1">_xll.IMDP("BND",B70,L8,B3)</f>
        <v>3.9449999999999998</v>
      </c>
      <c r="M70" s="2"/>
      <c r="W70" s="21" t="str">
        <f ca="1">_xll.IMDP("BND",N70,W8,N3)</f>
        <v>입력오류</v>
      </c>
      <c r="X70" s="23" t="str">
        <f ca="1">_xll.IMDP("BND",N70,X8,N3)</f>
        <v>입력오류</v>
      </c>
      <c r="Y70" s="2"/>
      <c r="AI70" s="21" t="str">
        <f ca="1">_xll.IMDP("BND",Z70,AI8,Z3)</f>
        <v>입력오류</v>
      </c>
      <c r="AJ70" s="23" t="str">
        <f ca="1">_xll.IMDP("BND",Z70,AJ8,Z3)</f>
        <v>입력오류</v>
      </c>
      <c r="AK70" s="2"/>
      <c r="AU70" s="21" t="str">
        <f ca="1">_xll.IMDP("BND",AL70,AU8,AL3)</f>
        <v>입력오류</v>
      </c>
      <c r="AV70" s="23" t="str">
        <f ca="1">_xll.IMDP("BND",AL70,AV8,AL3)</f>
        <v>입력오류</v>
      </c>
      <c r="AW70" s="2"/>
      <c r="BG70" s="21" t="str">
        <f ca="1">_xll.IMDP("BND",AX70,BG8,AX3)</f>
        <v>입력오류</v>
      </c>
      <c r="BH70" s="23" t="str">
        <f ca="1">_xll.IMDP("BND",AX70,BH8,AX3)</f>
        <v>입력오류</v>
      </c>
      <c r="BI70" s="2">
        <v>46198</v>
      </c>
      <c r="BJ70" s="3" t="s">
        <v>504</v>
      </c>
      <c r="BK70" s="3" t="s">
        <v>505</v>
      </c>
      <c r="BL70" s="3" t="s">
        <v>506</v>
      </c>
      <c r="BM70" s="3">
        <v>0</v>
      </c>
      <c r="BN70" s="3">
        <v>0.59</v>
      </c>
      <c r="BO70" s="3">
        <v>0</v>
      </c>
      <c r="BP70" s="3">
        <v>742722</v>
      </c>
      <c r="BQ70" s="3">
        <v>9685.91</v>
      </c>
      <c r="BR70" s="3">
        <v>2.6511</v>
      </c>
      <c r="BS70" s="21">
        <f ca="1">_xll.IMDP("BND",BJ70,BS8,BJ3)</f>
        <v>20290413</v>
      </c>
      <c r="BT70" s="23">
        <f ca="1">_xll.IMDP("BND",BJ70,BT8,BJ3)</f>
        <v>4.3369999999999997</v>
      </c>
      <c r="BU70" s="2">
        <v>46198</v>
      </c>
      <c r="BV70" s="3" t="s">
        <v>1110</v>
      </c>
      <c r="BW70" s="3" t="s">
        <v>642</v>
      </c>
      <c r="BX70" s="3" t="s">
        <v>1111</v>
      </c>
      <c r="BY70" s="3">
        <v>0</v>
      </c>
      <c r="BZ70" s="3">
        <v>0.7</v>
      </c>
      <c r="CA70" s="3">
        <v>0</v>
      </c>
      <c r="CB70" s="3">
        <v>933067</v>
      </c>
      <c r="CC70" s="3">
        <v>10001.51</v>
      </c>
      <c r="CD70" s="3">
        <v>0.1177</v>
      </c>
      <c r="CE70" s="21">
        <f ca="1">_xll.IMDP("BND",BV70,CE8,BV3)</f>
        <v>20260807</v>
      </c>
      <c r="CF70" s="23">
        <f ca="1">_xll.IMDP("BND",BV70,CF8,BV3)</f>
        <v>3.5609999999999999</v>
      </c>
      <c r="CG70" s="2"/>
      <c r="CQ70" s="21" t="str">
        <f ca="1">_xll.IMDP("BND",CH70,CQ8,CH3)</f>
        <v>입력오류</v>
      </c>
      <c r="CR70" s="23" t="str">
        <f ca="1">_xll.IMDP("BND",CH70,CR8,CH3)</f>
        <v>입력오류</v>
      </c>
      <c r="CS70" s="2">
        <v>46198</v>
      </c>
      <c r="CT70" s="3" t="s">
        <v>281</v>
      </c>
      <c r="CU70" s="3" t="s">
        <v>282</v>
      </c>
      <c r="CV70" s="3" t="s">
        <v>283</v>
      </c>
      <c r="CW70" s="3">
        <v>0</v>
      </c>
      <c r="CX70" s="3">
        <v>0.32</v>
      </c>
      <c r="CY70" s="3">
        <v>0</v>
      </c>
      <c r="CZ70" s="3">
        <v>467138</v>
      </c>
      <c r="DA70" s="3">
        <v>10003.299999999999</v>
      </c>
      <c r="DB70" s="3">
        <v>1.7007000000000001</v>
      </c>
      <c r="DC70" s="21">
        <f ca="1">_xll.IMDP("BND",CT70,DC8,CT3)</f>
        <v>20280407</v>
      </c>
      <c r="DD70" s="23">
        <f ca="1">_xll.IMDP("BND",CT70,DD8,CT3)</f>
        <v>4.3099999999999996</v>
      </c>
      <c r="DE70" s="2"/>
      <c r="DO70" s="21" t="str">
        <f ca="1">_xll.IMDP("BND",DF70,DO8,DF3)</f>
        <v>입력오류</v>
      </c>
      <c r="DP70" s="23" t="str">
        <f ca="1">_xll.IMDP("BND",DF70,DP8,DF3)</f>
        <v>입력오류</v>
      </c>
      <c r="DQ70" s="2">
        <v>46198</v>
      </c>
      <c r="DR70" s="3" t="s">
        <v>1338</v>
      </c>
      <c r="DS70" s="3" t="s">
        <v>1339</v>
      </c>
      <c r="DT70" s="3" t="s">
        <v>1340</v>
      </c>
      <c r="DU70" s="3">
        <v>0</v>
      </c>
      <c r="DV70" s="3">
        <v>0.84</v>
      </c>
      <c r="DW70" s="3">
        <v>0</v>
      </c>
      <c r="DX70" s="3">
        <v>1924442</v>
      </c>
      <c r="DY70" s="3">
        <v>9240.18</v>
      </c>
      <c r="DZ70" s="3">
        <v>4.8689</v>
      </c>
      <c r="EA70" s="21">
        <f ca="1">_xll.IMDP("BND",DR70,EA8,DR3)</f>
        <v>20311019</v>
      </c>
      <c r="EB70" s="23">
        <f ca="1">_xll.IMDP("BND",DR70,EB8,DR3)</f>
        <v>4.5789999999999997</v>
      </c>
    </row>
    <row r="71" spans="1:132" ht="13.5" customHeight="1" x14ac:dyDescent="0.3">
      <c r="A71" s="2">
        <v>46198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324935</v>
      </c>
      <c r="I71" s="3">
        <v>9583.4</v>
      </c>
      <c r="J71" s="3">
        <v>6.8400999999999996</v>
      </c>
      <c r="K71" s="21">
        <f ca="1">_xll.IMDP("BND",B71,K8,B3)</f>
        <v>20340610</v>
      </c>
      <c r="L71" s="23">
        <f ca="1">_xll.IMDP("BND",B71,L8,B3)</f>
        <v>4.1399999999999997</v>
      </c>
      <c r="M71" s="2"/>
      <c r="W71" s="21" t="str">
        <f ca="1">_xll.IMDP("BND",N71,W8,N3)</f>
        <v>입력오류</v>
      </c>
      <c r="X71" s="23" t="str">
        <f ca="1">_xll.IMDP("BND",N71,X8,N3)</f>
        <v>입력오류</v>
      </c>
      <c r="Y71" s="2"/>
      <c r="AI71" s="21" t="str">
        <f ca="1">_xll.IMDP("BND",Z71,AI8,Z3)</f>
        <v>입력오류</v>
      </c>
      <c r="AJ71" s="23" t="str">
        <f ca="1">_xll.IMDP("BND",Z71,AJ8,Z3)</f>
        <v>입력오류</v>
      </c>
      <c r="AK71" s="2"/>
      <c r="AU71" s="21" t="str">
        <f ca="1">_xll.IMDP("BND",AL71,AU8,AL3)</f>
        <v>입력오류</v>
      </c>
      <c r="AV71" s="23" t="str">
        <f ca="1">_xll.IMDP("BND",AL71,AV8,AL3)</f>
        <v>입력오류</v>
      </c>
      <c r="AW71" s="2"/>
      <c r="BG71" s="21" t="str">
        <f ca="1">_xll.IMDP("BND",AX71,BG8,AX3)</f>
        <v>입력오류</v>
      </c>
      <c r="BH71" s="23" t="str">
        <f ca="1">_xll.IMDP("BND",AX71,BH8,AX3)</f>
        <v>입력오류</v>
      </c>
      <c r="BI71" s="2">
        <v>46198</v>
      </c>
      <c r="BJ71" s="3" t="s">
        <v>507</v>
      </c>
      <c r="BK71" s="3" t="s">
        <v>508</v>
      </c>
      <c r="BL71" s="3" t="s">
        <v>509</v>
      </c>
      <c r="BM71" s="3">
        <v>0</v>
      </c>
      <c r="BN71" s="3">
        <v>0.59</v>
      </c>
      <c r="BO71" s="3">
        <v>0</v>
      </c>
      <c r="BP71" s="3">
        <v>741288</v>
      </c>
      <c r="BQ71" s="3">
        <v>9665.25</v>
      </c>
      <c r="BR71" s="3">
        <v>4.0664999999999996</v>
      </c>
      <c r="BS71" s="21">
        <f ca="1">_xll.IMDP("BND",BJ71,BS8,BJ3)</f>
        <v>20301125</v>
      </c>
      <c r="BT71" s="23">
        <f ca="1">_xll.IMDP("BND",BJ71,BT8,BJ3)</f>
        <v>4.2279999999999998</v>
      </c>
      <c r="BU71" s="2">
        <v>46198</v>
      </c>
      <c r="BV71" s="3" t="s">
        <v>1112</v>
      </c>
      <c r="BW71" s="3" t="s">
        <v>1113</v>
      </c>
      <c r="BX71" s="3" t="s">
        <v>1114</v>
      </c>
      <c r="BY71" s="3">
        <v>0</v>
      </c>
      <c r="BZ71" s="3">
        <v>0.7</v>
      </c>
      <c r="CA71" s="3">
        <v>0</v>
      </c>
      <c r="CB71" s="3">
        <v>932472</v>
      </c>
      <c r="CE71" s="21" t="str">
        <f ca="1">_xll.IMDP("BND",BV71,CE8,BV3)</f>
        <v/>
      </c>
      <c r="CF71" s="23" t="str">
        <f ca="1">_xll.IMDP("BND",BV71,CF8,BV3)</f>
        <v/>
      </c>
      <c r="CG71" s="2"/>
      <c r="CQ71" s="21" t="str">
        <f ca="1">_xll.IMDP("BND",CH71,CQ8,CH3)</f>
        <v>입력오류</v>
      </c>
      <c r="CR71" s="23" t="str">
        <f ca="1">_xll.IMDP("BND",CH71,CR8,CH3)</f>
        <v>입력오류</v>
      </c>
      <c r="CS71" s="2">
        <v>46198</v>
      </c>
      <c r="CT71" s="3" t="s">
        <v>284</v>
      </c>
      <c r="CU71" s="3" t="s">
        <v>285</v>
      </c>
      <c r="CV71" s="3" t="s">
        <v>286</v>
      </c>
      <c r="CW71" s="3">
        <v>0</v>
      </c>
      <c r="CX71" s="3">
        <v>0.32</v>
      </c>
      <c r="CY71" s="3">
        <v>0</v>
      </c>
      <c r="CZ71" s="3">
        <v>467115</v>
      </c>
      <c r="DA71" s="3">
        <v>10002.99</v>
      </c>
      <c r="DB71" s="3">
        <v>2.6547000000000001</v>
      </c>
      <c r="DC71" s="21">
        <f ca="1">_xll.IMDP("BND",CT71,DC8,CT3)</f>
        <v>20290430</v>
      </c>
      <c r="DD71" s="23">
        <f ca="1">_xll.IMDP("BND",CT71,DD8,CT3)</f>
        <v>4.3739999999999997</v>
      </c>
      <c r="DE71" s="2"/>
      <c r="DO71" s="21" t="str">
        <f ca="1">_xll.IMDP("BND",DF71,DO8,DF3)</f>
        <v>입력오류</v>
      </c>
      <c r="DP71" s="23" t="str">
        <f ca="1">_xll.IMDP("BND",DF71,DP8,DF3)</f>
        <v>입력오류</v>
      </c>
      <c r="DQ71" s="2">
        <v>46198</v>
      </c>
      <c r="DR71" s="3" t="s">
        <v>1341</v>
      </c>
      <c r="DS71" s="3" t="s">
        <v>1342</v>
      </c>
      <c r="DT71" s="3" t="s">
        <v>1343</v>
      </c>
      <c r="DU71" s="3">
        <v>0</v>
      </c>
      <c r="DV71" s="3">
        <v>0.84</v>
      </c>
      <c r="DW71" s="3">
        <v>0</v>
      </c>
      <c r="DX71" s="3">
        <v>1924013</v>
      </c>
      <c r="DY71" s="3">
        <v>9237.16</v>
      </c>
      <c r="DZ71" s="3">
        <v>4.0707000000000004</v>
      </c>
      <c r="EA71" s="21">
        <f ca="1">_xll.IMDP("BND",DR71,EA8,DR3)</f>
        <v>20301029</v>
      </c>
      <c r="EB71" s="23">
        <f ca="1">_xll.IMDP("BND",DR71,EB8,DR3)</f>
        <v>4.3979999999999997</v>
      </c>
    </row>
    <row r="72" spans="1:132" ht="13.5" customHeight="1" x14ac:dyDescent="0.3">
      <c r="A72" s="2">
        <v>46198</v>
      </c>
      <c r="B72" s="3" t="s">
        <v>844</v>
      </c>
      <c r="C72" s="3" t="s">
        <v>845</v>
      </c>
      <c r="D72" s="3" t="s">
        <v>846</v>
      </c>
      <c r="E72" s="3">
        <v>0</v>
      </c>
      <c r="F72" s="3">
        <v>0.28000000000000003</v>
      </c>
      <c r="G72" s="3">
        <v>0</v>
      </c>
      <c r="H72" s="3">
        <v>306534</v>
      </c>
      <c r="I72" s="3">
        <v>10038.6</v>
      </c>
      <c r="J72" s="3">
        <v>0.68320000000000003</v>
      </c>
      <c r="K72" s="21">
        <f ca="1">_xll.IMDP("BND",B72,K8,B3)</f>
        <v>20270309</v>
      </c>
      <c r="L72" s="23">
        <f ca="1">_xll.IMDP("BND",B72,L8,B3)</f>
        <v>3.1909999999999998</v>
      </c>
      <c r="M72" s="2"/>
      <c r="W72" s="21" t="str">
        <f ca="1">_xll.IMDP("BND",N72,W8,N3)</f>
        <v>입력오류</v>
      </c>
      <c r="X72" s="23" t="str">
        <f ca="1">_xll.IMDP("BND",N72,X8,N3)</f>
        <v>입력오류</v>
      </c>
      <c r="Y72" s="2"/>
      <c r="AI72" s="21" t="str">
        <f ca="1">_xll.IMDP("BND",Z72,AI8,Z3)</f>
        <v>입력오류</v>
      </c>
      <c r="AJ72" s="23" t="str">
        <f ca="1">_xll.IMDP("BND",Z72,AJ8,Z3)</f>
        <v>입력오류</v>
      </c>
      <c r="AK72" s="2"/>
      <c r="AU72" s="21" t="str">
        <f ca="1">_xll.IMDP("BND",AL72,AU8,AL3)</f>
        <v>입력오류</v>
      </c>
      <c r="AV72" s="23" t="str">
        <f ca="1">_xll.IMDP("BND",AL72,AV8,AL3)</f>
        <v>입력오류</v>
      </c>
      <c r="AW72" s="2"/>
      <c r="BG72" s="21" t="str">
        <f ca="1">_xll.IMDP("BND",AX72,BG8,AX3)</f>
        <v>입력오류</v>
      </c>
      <c r="BH72" s="23" t="str">
        <f ca="1">_xll.IMDP("BND",AX72,BH8,AX3)</f>
        <v>입력오류</v>
      </c>
      <c r="BI72" s="2">
        <v>46198</v>
      </c>
      <c r="BJ72" s="3" t="s">
        <v>52</v>
      </c>
      <c r="BK72" s="3" t="s">
        <v>53</v>
      </c>
      <c r="BL72" s="3" t="s">
        <v>54</v>
      </c>
      <c r="BM72" s="3">
        <v>0</v>
      </c>
      <c r="BN72" s="3">
        <v>0.59</v>
      </c>
      <c r="BO72" s="3">
        <v>0</v>
      </c>
      <c r="BP72" s="3">
        <v>740204</v>
      </c>
      <c r="BQ72" s="3">
        <v>9651.19</v>
      </c>
      <c r="BR72" s="3">
        <v>4.0742000000000003</v>
      </c>
      <c r="BS72" s="21">
        <f ca="1">_xll.IMDP("BND",BJ72,BS8,BJ3)</f>
        <v>20301127</v>
      </c>
      <c r="BT72" s="23">
        <f ca="1">_xll.IMDP("BND",BJ72,BT8,BJ3)</f>
        <v>4.2290000000000001</v>
      </c>
      <c r="BU72" s="2">
        <v>46198</v>
      </c>
      <c r="BV72" s="3" t="s">
        <v>1115</v>
      </c>
      <c r="BW72" s="3" t="s">
        <v>313</v>
      </c>
      <c r="BX72" s="3" t="s">
        <v>1116</v>
      </c>
      <c r="BY72" s="3">
        <v>0</v>
      </c>
      <c r="BZ72" s="3">
        <v>0.7</v>
      </c>
      <c r="CA72" s="3">
        <v>0</v>
      </c>
      <c r="CB72" s="3">
        <v>931955</v>
      </c>
      <c r="CC72" s="3">
        <v>9989.59</v>
      </c>
      <c r="CD72" s="3">
        <v>0.2387</v>
      </c>
      <c r="CE72" s="21">
        <f ca="1">_xll.IMDP("BND",BV72,CE8,BV3)</f>
        <v>20260921</v>
      </c>
      <c r="CF72" s="23">
        <f ca="1">_xll.IMDP("BND",BV72,CF8,BV3)</f>
        <v>3.2970000000000002</v>
      </c>
      <c r="CG72" s="2"/>
      <c r="CQ72" s="21" t="str">
        <f ca="1">_xll.IMDP("BND",CH72,CQ8,CH3)</f>
        <v>입력오류</v>
      </c>
      <c r="CR72" s="23" t="str">
        <f ca="1">_xll.IMDP("BND",CH72,CR8,CH3)</f>
        <v>입력오류</v>
      </c>
      <c r="CS72" s="2">
        <v>46198</v>
      </c>
      <c r="CT72" s="3" t="s">
        <v>287</v>
      </c>
      <c r="CU72" s="3" t="s">
        <v>288</v>
      </c>
      <c r="CV72" s="3" t="s">
        <v>289</v>
      </c>
      <c r="CW72" s="3">
        <v>0</v>
      </c>
      <c r="CX72" s="3">
        <v>0.32</v>
      </c>
      <c r="CY72" s="3">
        <v>0</v>
      </c>
      <c r="CZ72" s="3">
        <v>467109</v>
      </c>
      <c r="DA72" s="3">
        <v>10003.32</v>
      </c>
      <c r="DB72" s="3">
        <v>1.3788</v>
      </c>
      <c r="DC72" s="21">
        <f ca="1">_xll.IMDP("BND",CT72,DC8,CT3)</f>
        <v>20271130</v>
      </c>
      <c r="DD72" s="23">
        <f ca="1">_xll.IMDP("BND",CT72,DD8,CT3)</f>
        <v>4.1669999999999998</v>
      </c>
      <c r="DE72" s="2"/>
      <c r="DO72" s="21" t="str">
        <f ca="1">_xll.IMDP("BND",DF72,DO8,DF3)</f>
        <v>입력오류</v>
      </c>
      <c r="DP72" s="23" t="str">
        <f ca="1">_xll.IMDP("BND",DF72,DP8,DF3)</f>
        <v>입력오류</v>
      </c>
      <c r="DQ72" s="2">
        <v>46198</v>
      </c>
      <c r="DR72" s="3" t="s">
        <v>1344</v>
      </c>
      <c r="DS72" s="3" t="s">
        <v>1345</v>
      </c>
      <c r="DT72" s="3" t="s">
        <v>1346</v>
      </c>
      <c r="DU72" s="3">
        <v>0</v>
      </c>
      <c r="DV72" s="3">
        <v>0.83</v>
      </c>
      <c r="DW72" s="3">
        <v>0</v>
      </c>
      <c r="DX72" s="3">
        <v>1921037</v>
      </c>
      <c r="DY72" s="3">
        <v>9221.8700000000008</v>
      </c>
      <c r="DZ72" s="3">
        <v>4.4212999999999996</v>
      </c>
      <c r="EA72" s="21">
        <f ca="1">_xll.IMDP("BND",DR72,EA8,DR3)</f>
        <v>20310406</v>
      </c>
      <c r="EB72" s="23">
        <f ca="1">_xll.IMDP("BND",DR72,EB8,DR3)</f>
        <v>4.5350000000000001</v>
      </c>
    </row>
    <row r="73" spans="1:132" ht="13.5" customHeight="1" x14ac:dyDescent="0.3">
      <c r="A73" s="2">
        <v>46198</v>
      </c>
      <c r="B73" s="3" t="s">
        <v>847</v>
      </c>
      <c r="C73" s="3" t="s">
        <v>452</v>
      </c>
      <c r="D73" s="3" t="s">
        <v>848</v>
      </c>
      <c r="E73" s="3">
        <v>0</v>
      </c>
      <c r="F73" s="3">
        <v>0.27</v>
      </c>
      <c r="G73" s="3">
        <v>0</v>
      </c>
      <c r="H73" s="3">
        <v>296751</v>
      </c>
      <c r="I73" s="3">
        <v>7450.47</v>
      </c>
      <c r="J73" s="3">
        <v>17.530200000000001</v>
      </c>
      <c r="K73" s="21">
        <f ca="1">_xll.IMDP("BND",B73,K8,B3)</f>
        <v>20550715</v>
      </c>
      <c r="L73" s="23">
        <f ca="1">_xll.IMDP("BND",B73,L8,B3)</f>
        <v>4.4980000000000002</v>
      </c>
      <c r="M73" s="2"/>
      <c r="W73" s="21" t="str">
        <f ca="1">_xll.IMDP("BND",N73,W8,N3)</f>
        <v>입력오류</v>
      </c>
      <c r="X73" s="23" t="str">
        <f ca="1">_xll.IMDP("BND",N73,X8,N3)</f>
        <v>입력오류</v>
      </c>
      <c r="Y73" s="2"/>
      <c r="AI73" s="21" t="str">
        <f ca="1">_xll.IMDP("BND",Z73,AI8,Z3)</f>
        <v>입력오류</v>
      </c>
      <c r="AJ73" s="23" t="str">
        <f ca="1">_xll.IMDP("BND",Z73,AJ8,Z3)</f>
        <v>입력오류</v>
      </c>
      <c r="AK73" s="2"/>
      <c r="AU73" s="21" t="str">
        <f ca="1">_xll.IMDP("BND",AL73,AU8,AL3)</f>
        <v>입력오류</v>
      </c>
      <c r="AV73" s="23" t="str">
        <f ca="1">_xll.IMDP("BND",AL73,AV8,AL3)</f>
        <v>입력오류</v>
      </c>
      <c r="AW73" s="2"/>
      <c r="BG73" s="21" t="str">
        <f ca="1">_xll.IMDP("BND",AX73,BG8,AX3)</f>
        <v>입력오류</v>
      </c>
      <c r="BH73" s="23" t="str">
        <f ca="1">_xll.IMDP("BND",AX73,BH8,AX3)</f>
        <v>입력오류</v>
      </c>
      <c r="BI73" s="2">
        <v>46198</v>
      </c>
      <c r="BJ73" s="3" t="s">
        <v>510</v>
      </c>
      <c r="BK73" s="3" t="s">
        <v>511</v>
      </c>
      <c r="BL73" s="3" t="s">
        <v>512</v>
      </c>
      <c r="BM73" s="3">
        <v>0</v>
      </c>
      <c r="BN73" s="3">
        <v>0.59</v>
      </c>
      <c r="BO73" s="3">
        <v>0</v>
      </c>
      <c r="BP73" s="3">
        <v>736476</v>
      </c>
      <c r="BQ73" s="3">
        <v>9604</v>
      </c>
      <c r="BR73" s="3">
        <v>2.4771999999999998</v>
      </c>
      <c r="BS73" s="21">
        <f ca="1">_xll.IMDP("BND",BJ73,BS8,BJ3)</f>
        <v>20290130</v>
      </c>
      <c r="BT73" s="23">
        <f ca="1">_xll.IMDP("BND",BJ73,BT8,BJ3)</f>
        <v>4.5220000000000002</v>
      </c>
      <c r="BU73" s="2">
        <v>46198</v>
      </c>
      <c r="BV73" s="3" t="s">
        <v>1117</v>
      </c>
      <c r="BW73" s="3" t="s">
        <v>399</v>
      </c>
      <c r="BX73" s="3" t="s">
        <v>400</v>
      </c>
      <c r="BY73" s="3">
        <v>0</v>
      </c>
      <c r="BZ73" s="3">
        <v>0.7</v>
      </c>
      <c r="CA73" s="3">
        <v>0</v>
      </c>
      <c r="CB73" s="3">
        <v>931873</v>
      </c>
      <c r="CE73" s="21" t="str">
        <f ca="1">_xll.IMDP("BND",BV73,CE8,BV3)</f>
        <v/>
      </c>
      <c r="CF73" s="23" t="str">
        <f ca="1">_xll.IMDP("BND",BV73,CF8,BV3)</f>
        <v/>
      </c>
      <c r="CG73" s="2"/>
      <c r="CQ73" s="21" t="str">
        <f ca="1">_xll.IMDP("BND",CH73,CQ8,CH3)</f>
        <v>입력오류</v>
      </c>
      <c r="CR73" s="23" t="str">
        <f ca="1">_xll.IMDP("BND",CH73,CR8,CH3)</f>
        <v>입력오류</v>
      </c>
      <c r="CS73" s="2">
        <v>46198</v>
      </c>
      <c r="CT73" s="3" t="s">
        <v>290</v>
      </c>
      <c r="CU73" s="3" t="s">
        <v>241</v>
      </c>
      <c r="CV73" s="3" t="s">
        <v>291</v>
      </c>
      <c r="CW73" s="3">
        <v>0</v>
      </c>
      <c r="CX73" s="3">
        <v>0.32</v>
      </c>
      <c r="CY73" s="3">
        <v>0</v>
      </c>
      <c r="CZ73" s="3">
        <v>467083</v>
      </c>
      <c r="DA73" s="3">
        <v>10002.98</v>
      </c>
      <c r="DB73" s="3">
        <v>0.58430000000000004</v>
      </c>
      <c r="DC73" s="21">
        <f ca="1">_xll.IMDP("BND",CT73,DC8,CT3)</f>
        <v>20270129</v>
      </c>
      <c r="DD73" s="23">
        <f ca="1">_xll.IMDP("BND",CT73,DD8,CT3)</f>
        <v>4.0590000000000002</v>
      </c>
      <c r="DE73" s="2"/>
      <c r="DO73" s="21" t="str">
        <f ca="1">_xll.IMDP("BND",DF73,DO8,DF3)</f>
        <v>입력오류</v>
      </c>
      <c r="DP73" s="23" t="str">
        <f ca="1">_xll.IMDP("BND",DF73,DP8,DF3)</f>
        <v>입력오류</v>
      </c>
      <c r="DQ73" s="2">
        <v>46198</v>
      </c>
      <c r="DR73" s="3" t="s">
        <v>1347</v>
      </c>
      <c r="DS73" s="3" t="s">
        <v>1348</v>
      </c>
      <c r="DT73" s="3" t="s">
        <v>1349</v>
      </c>
      <c r="DU73" s="3">
        <v>0</v>
      </c>
      <c r="DV73" s="3">
        <v>0.83</v>
      </c>
      <c r="DW73" s="3">
        <v>0</v>
      </c>
      <c r="DX73" s="3">
        <v>1914853</v>
      </c>
      <c r="DY73" s="3">
        <v>9189.8700000000008</v>
      </c>
      <c r="DZ73" s="3">
        <v>3.5714999999999999</v>
      </c>
      <c r="EA73" s="21">
        <f ca="1">_xll.IMDP("BND",DR73,EA8,DR3)</f>
        <v>20300319</v>
      </c>
      <c r="EB73" s="23">
        <f ca="1">_xll.IMDP("BND",DR73,EB8,DR3)</f>
        <v>4.3940000000000001</v>
      </c>
    </row>
    <row r="74" spans="1:132" ht="13.5" customHeight="1" x14ac:dyDescent="0.3">
      <c r="A74" s="2">
        <v>46198</v>
      </c>
      <c r="B74" s="3" t="s">
        <v>849</v>
      </c>
      <c r="C74" s="3" t="s">
        <v>850</v>
      </c>
      <c r="D74" s="3" t="s">
        <v>851</v>
      </c>
      <c r="E74" s="3">
        <v>0</v>
      </c>
      <c r="F74" s="3">
        <v>0.25</v>
      </c>
      <c r="G74" s="3">
        <v>0</v>
      </c>
      <c r="H74" s="3">
        <v>282753</v>
      </c>
      <c r="I74" s="3">
        <v>10648.32</v>
      </c>
      <c r="J74" s="3">
        <v>1.6217999999999999</v>
      </c>
      <c r="K74" s="21">
        <f ca="1">_xll.IMDP("BND",B74,K8,B3)</f>
        <v>20280229</v>
      </c>
      <c r="L74" s="23">
        <f ca="1">_xll.IMDP("BND",B74,L8,B3)</f>
        <v>3.6680000000000001</v>
      </c>
      <c r="M74" s="2"/>
      <c r="W74" s="21" t="str">
        <f ca="1">_xll.IMDP("BND",N74,W8,N3)</f>
        <v>입력오류</v>
      </c>
      <c r="X74" s="23" t="str">
        <f ca="1">_xll.IMDP("BND",N74,X8,N3)</f>
        <v>입력오류</v>
      </c>
      <c r="Y74" s="2"/>
      <c r="AI74" s="21" t="str">
        <f ca="1">_xll.IMDP("BND",Z74,AI8,Z3)</f>
        <v>입력오류</v>
      </c>
      <c r="AJ74" s="23" t="str">
        <f ca="1">_xll.IMDP("BND",Z74,AJ8,Z3)</f>
        <v>입력오류</v>
      </c>
      <c r="AK74" s="2"/>
      <c r="AU74" s="21" t="str">
        <f ca="1">_xll.IMDP("BND",AL74,AU8,AL3)</f>
        <v>입력오류</v>
      </c>
      <c r="AV74" s="23" t="str">
        <f ca="1">_xll.IMDP("BND",AL74,AV8,AL3)</f>
        <v>입력오류</v>
      </c>
      <c r="AW74" s="2"/>
      <c r="BG74" s="21" t="str">
        <f ca="1">_xll.IMDP("BND",AX74,BG8,AX3)</f>
        <v>입력오류</v>
      </c>
      <c r="BH74" s="23" t="str">
        <f ca="1">_xll.IMDP("BND",AX74,BH8,AX3)</f>
        <v>입력오류</v>
      </c>
      <c r="BI74" s="2">
        <v>46198</v>
      </c>
      <c r="BJ74" s="3" t="s">
        <v>202</v>
      </c>
      <c r="BK74" s="3" t="s">
        <v>29</v>
      </c>
      <c r="BL74" s="3" t="s">
        <v>513</v>
      </c>
      <c r="BM74" s="3">
        <v>0</v>
      </c>
      <c r="BN74" s="3">
        <v>0.57999999999999996</v>
      </c>
      <c r="BO74" s="3">
        <v>0</v>
      </c>
      <c r="BP74" s="3">
        <v>729942</v>
      </c>
      <c r="BQ74" s="3">
        <v>9471.27</v>
      </c>
      <c r="BR74" s="3">
        <v>2.8355999999999999</v>
      </c>
      <c r="BS74" s="21">
        <f ca="1">_xll.IMDP("BND",BJ74,BS8,BJ3)</f>
        <v>20290610</v>
      </c>
      <c r="BT74" s="23">
        <f ca="1">_xll.IMDP("BND",BJ74,BT8,BJ3)</f>
        <v>3.8079999999999998</v>
      </c>
      <c r="BU74" s="2">
        <v>46198</v>
      </c>
      <c r="BV74" s="3" t="s">
        <v>1118</v>
      </c>
      <c r="BW74" s="3" t="s">
        <v>712</v>
      </c>
      <c r="BX74" s="3" t="s">
        <v>1119</v>
      </c>
      <c r="BY74" s="3">
        <v>0</v>
      </c>
      <c r="BZ74" s="3">
        <v>0.7</v>
      </c>
      <c r="CA74" s="3">
        <v>0</v>
      </c>
      <c r="CB74" s="3">
        <v>931738</v>
      </c>
      <c r="CC74" s="3">
        <v>9987.31</v>
      </c>
      <c r="CD74" s="3">
        <v>0.20619999999999999</v>
      </c>
      <c r="CE74" s="21">
        <f ca="1">_xll.IMDP("BND",BV74,CE8,BV3)</f>
        <v>20260909</v>
      </c>
      <c r="CF74" s="23">
        <f ca="1">_xll.IMDP("BND",BV74,CF8,BV3)</f>
        <v>3.3420000000000001</v>
      </c>
      <c r="CG74" s="2"/>
      <c r="CQ74" s="21" t="str">
        <f ca="1">_xll.IMDP("BND",CH74,CQ8,CH3)</f>
        <v>입력오류</v>
      </c>
      <c r="CR74" s="23" t="str">
        <f ca="1">_xll.IMDP("BND",CH74,CR8,CH3)</f>
        <v>입력오류</v>
      </c>
      <c r="CS74" s="2">
        <v>46198</v>
      </c>
      <c r="CT74" s="3" t="s">
        <v>295</v>
      </c>
      <c r="CU74" s="3" t="s">
        <v>296</v>
      </c>
      <c r="CV74" s="3" t="s">
        <v>297</v>
      </c>
      <c r="CW74" s="3">
        <v>0</v>
      </c>
      <c r="CX74" s="3">
        <v>0.32</v>
      </c>
      <c r="CY74" s="3">
        <v>0</v>
      </c>
      <c r="CZ74" s="3">
        <v>466946</v>
      </c>
      <c r="DA74" s="3">
        <v>9999.36</v>
      </c>
      <c r="DB74" s="3">
        <v>1.2807999999999999</v>
      </c>
      <c r="DC74" s="21">
        <f ca="1">_xll.IMDP("BND",CT74,DC8,CT3)</f>
        <v>20271022</v>
      </c>
      <c r="DD74" s="23">
        <f ca="1">_xll.IMDP("BND",CT74,DD8,CT3)</f>
        <v>4.0970000000000004</v>
      </c>
      <c r="DE74" s="2"/>
      <c r="DO74" s="21" t="str">
        <f ca="1">_xll.IMDP("BND",DF74,DO8,DF3)</f>
        <v>입력오류</v>
      </c>
      <c r="DP74" s="23" t="str">
        <f ca="1">_xll.IMDP("BND",DF74,DP8,DF3)</f>
        <v>입력오류</v>
      </c>
      <c r="DQ74" s="2">
        <v>46198</v>
      </c>
      <c r="DR74" s="3" t="s">
        <v>1350</v>
      </c>
      <c r="DS74" s="3" t="s">
        <v>811</v>
      </c>
      <c r="DT74" s="3" t="s">
        <v>1351</v>
      </c>
      <c r="DU74" s="3">
        <v>0</v>
      </c>
      <c r="DV74" s="3">
        <v>0.83</v>
      </c>
      <c r="DW74" s="3">
        <v>0</v>
      </c>
      <c r="DX74" s="3">
        <v>1904884</v>
      </c>
      <c r="DY74" s="3">
        <v>9149.5</v>
      </c>
      <c r="DZ74" s="3">
        <v>7.8327999999999998</v>
      </c>
      <c r="EA74" s="21">
        <f ca="1">_xll.IMDP("BND",DR74,EA8,DR3)</f>
        <v>20351031</v>
      </c>
      <c r="EB74" s="23">
        <f ca="1">_xll.IMDP("BND",DR74,EB8,DR3)</f>
        <v>4.6029999999999998</v>
      </c>
    </row>
    <row r="75" spans="1:132" ht="13.5" customHeight="1" x14ac:dyDescent="0.3">
      <c r="A75" s="2">
        <v>46198</v>
      </c>
      <c r="B75" s="3" t="s">
        <v>852</v>
      </c>
      <c r="C75" s="3" t="s">
        <v>216</v>
      </c>
      <c r="D75" s="3" t="s">
        <v>853</v>
      </c>
      <c r="E75" s="3">
        <v>0</v>
      </c>
      <c r="F75" s="3">
        <v>0.25</v>
      </c>
      <c r="G75" s="3">
        <v>0</v>
      </c>
      <c r="H75" s="3">
        <v>278056</v>
      </c>
      <c r="I75" s="3">
        <v>10459.07</v>
      </c>
      <c r="J75" s="3">
        <v>1.6033999999999999</v>
      </c>
      <c r="K75" s="21">
        <f ca="1">_xll.IMDP("BND",B75,K8,B3)</f>
        <v>20280310</v>
      </c>
      <c r="L75" s="23">
        <f ca="1">_xll.IMDP("BND",B75,L8,B3)</f>
        <v>3.6720000000000002</v>
      </c>
      <c r="M75" s="2"/>
      <c r="W75" s="21" t="str">
        <f ca="1">_xll.IMDP("BND",N75,W8,N3)</f>
        <v>입력오류</v>
      </c>
      <c r="X75" s="23" t="str">
        <f ca="1">_xll.IMDP("BND",N75,X8,N3)</f>
        <v>입력오류</v>
      </c>
      <c r="Y75" s="2"/>
      <c r="AI75" s="21" t="str">
        <f ca="1">_xll.IMDP("BND",Z75,AI8,Z3)</f>
        <v>입력오류</v>
      </c>
      <c r="AJ75" s="23" t="str">
        <f ca="1">_xll.IMDP("BND",Z75,AJ8,Z3)</f>
        <v>입력오류</v>
      </c>
      <c r="AK75" s="2"/>
      <c r="AU75" s="21" t="str">
        <f ca="1">_xll.IMDP("BND",AL75,AU8,AL3)</f>
        <v>입력오류</v>
      </c>
      <c r="AV75" s="23" t="str">
        <f ca="1">_xll.IMDP("BND",AL75,AV8,AL3)</f>
        <v>입력오류</v>
      </c>
      <c r="AW75" s="2"/>
      <c r="BG75" s="21" t="str">
        <f ca="1">_xll.IMDP("BND",AX75,BG8,AX3)</f>
        <v>입력오류</v>
      </c>
      <c r="BH75" s="23" t="str">
        <f ca="1">_xll.IMDP("BND",AX75,BH8,AX3)</f>
        <v>입력오류</v>
      </c>
      <c r="BI75" s="2">
        <v>46198</v>
      </c>
      <c r="BJ75" s="3" t="s">
        <v>514</v>
      </c>
      <c r="BK75" s="3" t="s">
        <v>515</v>
      </c>
      <c r="BL75" s="3" t="s">
        <v>516</v>
      </c>
      <c r="BM75" s="3">
        <v>0</v>
      </c>
      <c r="BN75" s="3">
        <v>0.57999999999999996</v>
      </c>
      <c r="BO75" s="3">
        <v>0</v>
      </c>
      <c r="BP75" s="3">
        <v>727908</v>
      </c>
      <c r="BQ75" s="3">
        <v>9491.65</v>
      </c>
      <c r="BR75" s="3">
        <v>3.6714000000000002</v>
      </c>
      <c r="BS75" s="21">
        <f ca="1">_xll.IMDP("BND",BJ75,BS8,BJ3)</f>
        <v>20300529</v>
      </c>
      <c r="BT75" s="23">
        <f ca="1">_xll.IMDP("BND",BJ75,BT8,BJ3)</f>
        <v>4.38</v>
      </c>
      <c r="BU75" s="2">
        <v>46198</v>
      </c>
      <c r="BV75" s="3" t="s">
        <v>1120</v>
      </c>
      <c r="BW75" s="3" t="s">
        <v>346</v>
      </c>
      <c r="BX75" s="3" t="s">
        <v>1121</v>
      </c>
      <c r="BY75" s="3">
        <v>0</v>
      </c>
      <c r="BZ75" s="3">
        <v>0.7</v>
      </c>
      <c r="CA75" s="3">
        <v>0</v>
      </c>
      <c r="CB75" s="3">
        <v>931370</v>
      </c>
      <c r="CE75" s="21" t="str">
        <f ca="1">_xll.IMDP("BND",BV75,CE8,BV3)</f>
        <v/>
      </c>
      <c r="CF75" s="23" t="str">
        <f ca="1">_xll.IMDP("BND",BV75,CF8,BV3)</f>
        <v/>
      </c>
      <c r="CG75" s="2"/>
      <c r="CQ75" s="21" t="str">
        <f ca="1">_xll.IMDP("BND",CH75,CQ8,CH3)</f>
        <v>입력오류</v>
      </c>
      <c r="CR75" s="23" t="str">
        <f ca="1">_xll.IMDP("BND",CH75,CR8,CH3)</f>
        <v>입력오류</v>
      </c>
      <c r="CS75" s="2">
        <v>46198</v>
      </c>
      <c r="CT75" s="3" t="s">
        <v>292</v>
      </c>
      <c r="CU75" s="3" t="s">
        <v>293</v>
      </c>
      <c r="CV75" s="3" t="s">
        <v>294</v>
      </c>
      <c r="CW75" s="3">
        <v>0</v>
      </c>
      <c r="CX75" s="3">
        <v>0.32</v>
      </c>
      <c r="CY75" s="3">
        <v>0</v>
      </c>
      <c r="CZ75" s="3">
        <v>466942</v>
      </c>
      <c r="DA75" s="3">
        <v>9998.86</v>
      </c>
      <c r="DB75" s="3">
        <v>1.9038999999999999</v>
      </c>
      <c r="DC75" s="21">
        <f ca="1">_xll.IMDP("BND",CT75,DC8,CT3)</f>
        <v>20280623</v>
      </c>
      <c r="DD75" s="23">
        <f ca="1">_xll.IMDP("BND",CT75,DD8,CT3)</f>
        <v>4.2679999999999998</v>
      </c>
      <c r="DE75" s="2"/>
      <c r="DO75" s="21" t="str">
        <f ca="1">_xll.IMDP("BND",DF75,DO8,DF3)</f>
        <v>입력오류</v>
      </c>
      <c r="DP75" s="23" t="str">
        <f ca="1">_xll.IMDP("BND",DF75,DP8,DF3)</f>
        <v>입력오류</v>
      </c>
      <c r="DQ75" s="2">
        <v>46198</v>
      </c>
      <c r="DR75" s="3" t="s">
        <v>1352</v>
      </c>
      <c r="DS75" s="3" t="s">
        <v>1334</v>
      </c>
      <c r="DT75" s="3" t="s">
        <v>1353</v>
      </c>
      <c r="DU75" s="3">
        <v>0</v>
      </c>
      <c r="DV75" s="3">
        <v>0.82</v>
      </c>
      <c r="DW75" s="3">
        <v>0</v>
      </c>
      <c r="DX75" s="3">
        <v>1899802</v>
      </c>
      <c r="DY75" s="3">
        <v>9127.49</v>
      </c>
      <c r="DZ75" s="3">
        <v>4.6254999999999997</v>
      </c>
      <c r="EA75" s="21">
        <f ca="1">_xll.IMDP("BND",DR75,EA8,DR3)</f>
        <v>20310614</v>
      </c>
      <c r="EB75" s="23">
        <f ca="1">_xll.IMDP("BND",DR75,EB8,DR3)</f>
        <v>4.569</v>
      </c>
    </row>
    <row r="76" spans="1:132" ht="13.5" customHeight="1" x14ac:dyDescent="0.3">
      <c r="A76" s="2">
        <v>46198</v>
      </c>
      <c r="B76" s="3" t="s">
        <v>854</v>
      </c>
      <c r="C76" s="3" t="s">
        <v>671</v>
      </c>
      <c r="D76" s="3" t="s">
        <v>855</v>
      </c>
      <c r="E76" s="3">
        <v>0</v>
      </c>
      <c r="F76" s="3">
        <v>0.25</v>
      </c>
      <c r="G76" s="3">
        <v>0</v>
      </c>
      <c r="H76" s="3">
        <v>274710</v>
      </c>
      <c r="I76" s="3">
        <v>10343.74</v>
      </c>
      <c r="J76" s="3">
        <v>5.6319999999999997</v>
      </c>
      <c r="K76" s="21">
        <f ca="1">_xll.IMDP("BND",B76,K8,B3)</f>
        <v>20330214</v>
      </c>
      <c r="L76" s="23">
        <f ca="1">_xll.IMDP("BND",B76,L8,B3)</f>
        <v>4.4000000000000004</v>
      </c>
      <c r="M76" s="2"/>
      <c r="W76" s="21" t="str">
        <f ca="1">_xll.IMDP("BND",N76,W8,N3)</f>
        <v>입력오류</v>
      </c>
      <c r="X76" s="23" t="str">
        <f ca="1">_xll.IMDP("BND",N76,X8,N3)</f>
        <v>입력오류</v>
      </c>
      <c r="Y76" s="2"/>
      <c r="AI76" s="21" t="str">
        <f ca="1">_xll.IMDP("BND",Z76,AI8,Z3)</f>
        <v>입력오류</v>
      </c>
      <c r="AJ76" s="23" t="str">
        <f ca="1">_xll.IMDP("BND",Z76,AJ8,Z3)</f>
        <v>입력오류</v>
      </c>
      <c r="AK76" s="2"/>
      <c r="AU76" s="21" t="str">
        <f ca="1">_xll.IMDP("BND",AL76,AU8,AL3)</f>
        <v>입력오류</v>
      </c>
      <c r="AV76" s="23" t="str">
        <f ca="1">_xll.IMDP("BND",AL76,AV8,AL3)</f>
        <v>입력오류</v>
      </c>
      <c r="AW76" s="2"/>
      <c r="BG76" s="21" t="str">
        <f ca="1">_xll.IMDP("BND",AX76,BG8,AX3)</f>
        <v>입력오류</v>
      </c>
      <c r="BH76" s="23" t="str">
        <f ca="1">_xll.IMDP("BND",AX76,BH8,AX3)</f>
        <v>입력오류</v>
      </c>
      <c r="BI76" s="2">
        <v>46198</v>
      </c>
      <c r="BJ76" s="3" t="s">
        <v>517</v>
      </c>
      <c r="BK76" s="3" t="s">
        <v>518</v>
      </c>
      <c r="BL76" s="3" t="s">
        <v>519</v>
      </c>
      <c r="BM76" s="3">
        <v>0</v>
      </c>
      <c r="BN76" s="3">
        <v>0.56000000000000005</v>
      </c>
      <c r="BO76" s="3">
        <v>0</v>
      </c>
      <c r="BP76" s="3">
        <v>701759</v>
      </c>
      <c r="BQ76" s="3">
        <v>9155.76</v>
      </c>
      <c r="BR76" s="3">
        <v>7.3544</v>
      </c>
      <c r="BS76" s="21">
        <f ca="1">_xll.IMDP("BND",BJ76,BS8,BJ3)</f>
        <v>20350206</v>
      </c>
      <c r="BT76" s="23">
        <f ca="1">_xll.IMDP("BND",BJ76,BT8,BJ3)</f>
        <v>4.3129999999999997</v>
      </c>
      <c r="BU76" s="2">
        <v>46198</v>
      </c>
      <c r="BV76" s="3" t="s">
        <v>1122</v>
      </c>
      <c r="BW76" s="3" t="s">
        <v>1123</v>
      </c>
      <c r="BX76" s="3" t="s">
        <v>1124</v>
      </c>
      <c r="BY76" s="3">
        <v>0</v>
      </c>
      <c r="BZ76" s="3">
        <v>0.7</v>
      </c>
      <c r="CA76" s="3">
        <v>0</v>
      </c>
      <c r="CB76" s="3">
        <v>931116</v>
      </c>
      <c r="CE76" s="21" t="str">
        <f ca="1">_xll.IMDP("BND",BV76,CE8,BV3)</f>
        <v/>
      </c>
      <c r="CF76" s="23" t="str">
        <f ca="1">_xll.IMDP("BND",BV76,CF8,BV3)</f>
        <v/>
      </c>
      <c r="CG76" s="2"/>
      <c r="CQ76" s="21" t="str">
        <f ca="1">_xll.IMDP("BND",CH76,CQ8,CH3)</f>
        <v>입력오류</v>
      </c>
      <c r="CR76" s="23" t="str">
        <f ca="1">_xll.IMDP("BND",CH76,CR8,CH3)</f>
        <v>입력오류</v>
      </c>
      <c r="CS76" s="2">
        <v>46198</v>
      </c>
      <c r="CT76" s="3" t="s">
        <v>307</v>
      </c>
      <c r="CU76" s="3" t="s">
        <v>212</v>
      </c>
      <c r="CV76" s="3" t="s">
        <v>308</v>
      </c>
      <c r="CW76" s="3">
        <v>0</v>
      </c>
      <c r="CX76" s="3">
        <v>0.32</v>
      </c>
      <c r="CY76" s="3">
        <v>0</v>
      </c>
      <c r="CZ76" s="3">
        <v>466790</v>
      </c>
      <c r="DC76" s="21" t="str">
        <f ca="1">_xll.IMDP("BND",CT76,DC8,CT3)</f>
        <v/>
      </c>
      <c r="DD76" s="23" t="str">
        <f ca="1">_xll.IMDP("BND",CT76,DD8,CT3)</f>
        <v/>
      </c>
      <c r="DE76" s="2"/>
      <c r="DO76" s="21" t="str">
        <f ca="1">_xll.IMDP("BND",DF76,DO8,DF3)</f>
        <v>입력오류</v>
      </c>
      <c r="DP76" s="23" t="str">
        <f ca="1">_xll.IMDP("BND",DF76,DP8,DF3)</f>
        <v>입력오류</v>
      </c>
      <c r="DQ76" s="2">
        <v>46198</v>
      </c>
      <c r="DR76" s="3" t="s">
        <v>1354</v>
      </c>
      <c r="DS76" s="3" t="s">
        <v>1355</v>
      </c>
      <c r="DT76" s="3" t="s">
        <v>1356</v>
      </c>
      <c r="DU76" s="3">
        <v>0</v>
      </c>
      <c r="DV76" s="3">
        <v>0.82</v>
      </c>
      <c r="DW76" s="3">
        <v>0</v>
      </c>
      <c r="DX76" s="3">
        <v>1897354</v>
      </c>
      <c r="DY76" s="3">
        <v>9103.9</v>
      </c>
      <c r="DZ76" s="3">
        <v>3.9188000000000001</v>
      </c>
      <c r="EA76" s="21">
        <f ca="1">_xll.IMDP("BND",DR76,EA8,DR3)</f>
        <v>20300813</v>
      </c>
      <c r="EB76" s="23">
        <f ca="1">_xll.IMDP("BND",DR76,EB8,DR3)</f>
        <v>4.5979999999999999</v>
      </c>
    </row>
    <row r="77" spans="1:132" ht="13.5" customHeight="1" x14ac:dyDescent="0.3">
      <c r="A77" s="2">
        <v>46198</v>
      </c>
      <c r="B77" s="3" t="s">
        <v>856</v>
      </c>
      <c r="C77" s="3" t="s">
        <v>857</v>
      </c>
      <c r="D77" s="3" t="s">
        <v>858</v>
      </c>
      <c r="E77" s="3">
        <v>0</v>
      </c>
      <c r="F77" s="3">
        <v>0.24</v>
      </c>
      <c r="G77" s="3">
        <v>0</v>
      </c>
      <c r="H77" s="3">
        <v>270324</v>
      </c>
      <c r="I77" s="3">
        <v>10180.99</v>
      </c>
      <c r="J77" s="3">
        <v>2.2222</v>
      </c>
      <c r="K77" s="21">
        <f ca="1">_xll.IMDP("BND",B77,K8,B3)</f>
        <v>20281109</v>
      </c>
      <c r="L77" s="23">
        <f ca="1">_xll.IMDP("BND",B77,L8,B3)</f>
        <v>4.29</v>
      </c>
      <c r="M77" s="2"/>
      <c r="W77" s="21" t="str">
        <f ca="1">_xll.IMDP("BND",N77,W8,N3)</f>
        <v>입력오류</v>
      </c>
      <c r="X77" s="23" t="str">
        <f ca="1">_xll.IMDP("BND",N77,X8,N3)</f>
        <v>입력오류</v>
      </c>
      <c r="Y77" s="2"/>
      <c r="AI77" s="21" t="str">
        <f ca="1">_xll.IMDP("BND",Z77,AI8,Z3)</f>
        <v>입력오류</v>
      </c>
      <c r="AJ77" s="23" t="str">
        <f ca="1">_xll.IMDP("BND",Z77,AJ8,Z3)</f>
        <v>입력오류</v>
      </c>
      <c r="AK77" s="2"/>
      <c r="AU77" s="21" t="str">
        <f ca="1">_xll.IMDP("BND",AL77,AU8,AL3)</f>
        <v>입력오류</v>
      </c>
      <c r="AV77" s="23" t="str">
        <f ca="1">_xll.IMDP("BND",AL77,AV8,AL3)</f>
        <v>입력오류</v>
      </c>
      <c r="AW77" s="2"/>
      <c r="BG77" s="21" t="str">
        <f ca="1">_xll.IMDP("BND",AX77,BG8,AX3)</f>
        <v>입력오류</v>
      </c>
      <c r="BH77" s="23" t="str">
        <f ca="1">_xll.IMDP("BND",AX77,BH8,AX3)</f>
        <v>입력오류</v>
      </c>
      <c r="BI77" s="2">
        <v>46198</v>
      </c>
      <c r="BJ77" s="3" t="s">
        <v>117</v>
      </c>
      <c r="BK77" s="3" t="s">
        <v>56</v>
      </c>
      <c r="BL77" s="3" t="s">
        <v>118</v>
      </c>
      <c r="BM77" s="3">
        <v>0</v>
      </c>
      <c r="BN77" s="3">
        <v>0.53</v>
      </c>
      <c r="BO77" s="3">
        <v>0</v>
      </c>
      <c r="BP77" s="3">
        <v>657722</v>
      </c>
      <c r="BQ77" s="3">
        <v>7394.2</v>
      </c>
      <c r="BR77" s="3">
        <v>12.537100000000001</v>
      </c>
      <c r="BS77" s="21">
        <f ca="1">_xll.IMDP("BND",BJ77,BS8,BJ3)</f>
        <v>20410910</v>
      </c>
      <c r="BT77" s="23">
        <f ca="1">_xll.IMDP("BND",BJ77,BT8,BJ3)</f>
        <v>4.2699999999999996</v>
      </c>
      <c r="BU77" s="2">
        <v>46198</v>
      </c>
      <c r="BV77" s="3" t="s">
        <v>1126</v>
      </c>
      <c r="BW77" s="3" t="s">
        <v>458</v>
      </c>
      <c r="BX77" s="3" t="s">
        <v>459</v>
      </c>
      <c r="BY77" s="3">
        <v>0</v>
      </c>
      <c r="BZ77" s="3">
        <v>0.69</v>
      </c>
      <c r="CA77" s="3">
        <v>0</v>
      </c>
      <c r="CB77" s="3">
        <v>928953</v>
      </c>
      <c r="CE77" s="21" t="str">
        <f ca="1">_xll.IMDP("BND",BV77,CE8,BV3)</f>
        <v/>
      </c>
      <c r="CF77" s="23" t="str">
        <f ca="1">_xll.IMDP("BND",BV77,CF8,BV3)</f>
        <v/>
      </c>
      <c r="CG77" s="2"/>
      <c r="CQ77" s="21" t="str">
        <f ca="1">_xll.IMDP("BND",CH77,CQ8,CH3)</f>
        <v>입력오류</v>
      </c>
      <c r="CR77" s="23" t="str">
        <f ca="1">_xll.IMDP("BND",CH77,CR8,CH3)</f>
        <v>입력오류</v>
      </c>
      <c r="CS77" s="2">
        <v>46198</v>
      </c>
      <c r="CT77" s="3" t="s">
        <v>298</v>
      </c>
      <c r="CU77" s="3" t="s">
        <v>299</v>
      </c>
      <c r="CV77" s="3" t="s">
        <v>300</v>
      </c>
      <c r="CW77" s="3">
        <v>0</v>
      </c>
      <c r="CX77" s="3">
        <v>0.32</v>
      </c>
      <c r="CY77" s="3">
        <v>0</v>
      </c>
      <c r="CZ77" s="3">
        <v>466747</v>
      </c>
      <c r="DA77" s="3">
        <v>9996.3799999999992</v>
      </c>
      <c r="DB77" s="3">
        <v>2.6661000000000001</v>
      </c>
      <c r="DC77" s="21">
        <f ca="1">_xll.IMDP("BND",CT77,DC8,CT3)</f>
        <v>20290504</v>
      </c>
      <c r="DD77" s="23">
        <f ca="1">_xll.IMDP("BND",CT77,DD8,CT3)</f>
        <v>4.391</v>
      </c>
      <c r="DE77" s="2"/>
      <c r="DO77" s="21" t="str">
        <f ca="1">_xll.IMDP("BND",DF77,DO8,DF3)</f>
        <v>입력오류</v>
      </c>
      <c r="DP77" s="23" t="str">
        <f ca="1">_xll.IMDP("BND",DF77,DP8,DF3)</f>
        <v>입력오류</v>
      </c>
      <c r="DQ77" s="2">
        <v>46198</v>
      </c>
      <c r="DR77" s="3" t="s">
        <v>1357</v>
      </c>
      <c r="DS77" s="3" t="s">
        <v>1348</v>
      </c>
      <c r="DT77" s="3" t="s">
        <v>1358</v>
      </c>
      <c r="DU77" s="3">
        <v>0</v>
      </c>
      <c r="DV77" s="3">
        <v>0.82</v>
      </c>
      <c r="DW77" s="3">
        <v>0</v>
      </c>
      <c r="DX77" s="3">
        <v>1895619</v>
      </c>
      <c r="DY77" s="3">
        <v>9097.82</v>
      </c>
      <c r="DZ77" s="3">
        <v>3.9674</v>
      </c>
      <c r="EA77" s="21">
        <f ca="1">_xll.IMDP("BND",DR77,EA8,DR3)</f>
        <v>20300828</v>
      </c>
      <c r="EB77" s="23">
        <f ca="1">_xll.IMDP("BND",DR77,EB8,DR3)</f>
        <v>4.4710000000000001</v>
      </c>
    </row>
    <row r="78" spans="1:132" ht="13.5" customHeight="1" x14ac:dyDescent="0.3">
      <c r="A78" s="2">
        <v>46198</v>
      </c>
      <c r="B78" s="3" t="s">
        <v>859</v>
      </c>
      <c r="C78" s="3" t="s">
        <v>860</v>
      </c>
      <c r="D78" s="3" t="s">
        <v>861</v>
      </c>
      <c r="E78" s="3">
        <v>0</v>
      </c>
      <c r="F78" s="3">
        <v>0.24</v>
      </c>
      <c r="G78" s="3">
        <v>0</v>
      </c>
      <c r="H78" s="3">
        <v>269752</v>
      </c>
      <c r="I78" s="3">
        <v>10160.209999999999</v>
      </c>
      <c r="J78" s="3">
        <v>4.6111000000000004</v>
      </c>
      <c r="K78" s="21">
        <f ca="1">_xll.IMDP("BND",B78,K8,B3)</f>
        <v>20310929</v>
      </c>
      <c r="L78" s="23">
        <f ca="1">_xll.IMDP("BND",B78,L8,B3)</f>
        <v>4.2789999999999999</v>
      </c>
      <c r="M78" s="2"/>
      <c r="W78" s="21" t="str">
        <f ca="1">_xll.IMDP("BND",N78,W8,N3)</f>
        <v>입력오류</v>
      </c>
      <c r="X78" s="23" t="str">
        <f ca="1">_xll.IMDP("BND",N78,X8,N3)</f>
        <v>입력오류</v>
      </c>
      <c r="Y78" s="2"/>
      <c r="AI78" s="21" t="str">
        <f ca="1">_xll.IMDP("BND",Z78,AI8,Z3)</f>
        <v>입력오류</v>
      </c>
      <c r="AJ78" s="23" t="str">
        <f ca="1">_xll.IMDP("BND",Z78,AJ8,Z3)</f>
        <v>입력오류</v>
      </c>
      <c r="AK78" s="2"/>
      <c r="AU78" s="21" t="str">
        <f ca="1">_xll.IMDP("BND",AL78,AU8,AL3)</f>
        <v>입력오류</v>
      </c>
      <c r="AV78" s="23" t="str">
        <f ca="1">_xll.IMDP("BND",AL78,AV8,AL3)</f>
        <v>입력오류</v>
      </c>
      <c r="AW78" s="2"/>
      <c r="BG78" s="21" t="str">
        <f ca="1">_xll.IMDP("BND",AX78,BG8,AX3)</f>
        <v>입력오류</v>
      </c>
      <c r="BH78" s="23" t="str">
        <f ca="1">_xll.IMDP("BND",AX78,BH8,AX3)</f>
        <v>입력오류</v>
      </c>
      <c r="BI78" s="2">
        <v>46198</v>
      </c>
      <c r="BJ78" s="3" t="s">
        <v>520</v>
      </c>
      <c r="BK78" s="3" t="s">
        <v>521</v>
      </c>
      <c r="BL78" s="3" t="s">
        <v>522</v>
      </c>
      <c r="BM78" s="3">
        <v>0</v>
      </c>
      <c r="BN78" s="3">
        <v>0.51</v>
      </c>
      <c r="BO78" s="3">
        <v>0</v>
      </c>
      <c r="BP78" s="3">
        <v>642295</v>
      </c>
      <c r="BQ78" s="3">
        <v>9801.7900000000009</v>
      </c>
      <c r="BR78" s="3">
        <v>2.2850999999999999</v>
      </c>
      <c r="BS78" s="21">
        <f ca="1">_xll.IMDP("BND",BJ78,BS8,BJ3)</f>
        <v>20281117</v>
      </c>
      <c r="BT78" s="23">
        <f ca="1">_xll.IMDP("BND",BJ78,BT8,BJ3)</f>
        <v>4.3170000000000002</v>
      </c>
      <c r="BU78" s="2">
        <v>46198</v>
      </c>
      <c r="BV78" s="3" t="s">
        <v>1125</v>
      </c>
      <c r="BW78" s="3" t="s">
        <v>458</v>
      </c>
      <c r="BX78" s="3" t="s">
        <v>459</v>
      </c>
      <c r="BY78" s="3">
        <v>0</v>
      </c>
      <c r="BZ78" s="3">
        <v>0.69</v>
      </c>
      <c r="CA78" s="3">
        <v>0</v>
      </c>
      <c r="CB78" s="3">
        <v>928953</v>
      </c>
      <c r="CE78" s="21" t="str">
        <f ca="1">_xll.IMDP("BND",BV78,CE8,BV3)</f>
        <v/>
      </c>
      <c r="CF78" s="23" t="str">
        <f ca="1">_xll.IMDP("BND",BV78,CF8,BV3)</f>
        <v/>
      </c>
      <c r="CG78" s="2"/>
      <c r="CQ78" s="21" t="str">
        <f ca="1">_xll.IMDP("BND",CH78,CQ8,CH3)</f>
        <v>입력오류</v>
      </c>
      <c r="CR78" s="23" t="str">
        <f ca="1">_xll.IMDP("BND",CH78,CR8,CH3)</f>
        <v>입력오류</v>
      </c>
      <c r="CS78" s="2">
        <v>46198</v>
      </c>
      <c r="CT78" s="3" t="s">
        <v>304</v>
      </c>
      <c r="CU78" s="3" t="s">
        <v>305</v>
      </c>
      <c r="CV78" s="3" t="s">
        <v>306</v>
      </c>
      <c r="CW78" s="3">
        <v>0</v>
      </c>
      <c r="CX78" s="3">
        <v>0.32</v>
      </c>
      <c r="CY78" s="3">
        <v>0</v>
      </c>
      <c r="CZ78" s="3">
        <v>466701</v>
      </c>
      <c r="DA78" s="3">
        <v>9994.26</v>
      </c>
      <c r="DB78" s="3">
        <v>1.7984</v>
      </c>
      <c r="DC78" s="21">
        <f ca="1">_xll.IMDP("BND",CT78,DC8,CT3)</f>
        <v>20280515</v>
      </c>
      <c r="DD78" s="23">
        <f ca="1">_xll.IMDP("BND",CT78,DD8,CT3)</f>
        <v>4.0529999999999999</v>
      </c>
      <c r="DE78" s="2"/>
      <c r="DO78" s="21" t="str">
        <f ca="1">_xll.IMDP("BND",DF78,DO8,DF3)</f>
        <v>입력오류</v>
      </c>
      <c r="DP78" s="23" t="str">
        <f ca="1">_xll.IMDP("BND",DF78,DP8,DF3)</f>
        <v>입력오류</v>
      </c>
      <c r="DQ78" s="2">
        <v>46198</v>
      </c>
      <c r="DR78" s="3" t="s">
        <v>1359</v>
      </c>
      <c r="DS78" s="3" t="s">
        <v>273</v>
      </c>
      <c r="DT78" s="3" t="s">
        <v>1360</v>
      </c>
      <c r="DU78" s="3">
        <v>0</v>
      </c>
      <c r="DV78" s="3">
        <v>0.81</v>
      </c>
      <c r="DW78" s="3">
        <v>0</v>
      </c>
      <c r="DX78" s="3">
        <v>1872689</v>
      </c>
      <c r="DY78" s="3">
        <v>8992.67</v>
      </c>
      <c r="DZ78" s="3">
        <v>7.3278999999999996</v>
      </c>
      <c r="EA78" s="21">
        <f ca="1">_xll.IMDP("BND",DR78,EA8,DR3)</f>
        <v>20341215</v>
      </c>
      <c r="EB78" s="23">
        <f ca="1">_xll.IMDP("BND",DR78,EB8,DR3)</f>
        <v>4.55</v>
      </c>
    </row>
    <row r="79" spans="1:132" ht="13.5" customHeight="1" x14ac:dyDescent="0.3">
      <c r="A79" s="2">
        <v>46198</v>
      </c>
      <c r="B79" s="3" t="s">
        <v>862</v>
      </c>
      <c r="C79" s="3" t="s">
        <v>863</v>
      </c>
      <c r="D79" s="3" t="s">
        <v>864</v>
      </c>
      <c r="E79" s="3">
        <v>0</v>
      </c>
      <c r="F79" s="3">
        <v>0.24</v>
      </c>
      <c r="G79" s="3">
        <v>0</v>
      </c>
      <c r="H79" s="3">
        <v>269394</v>
      </c>
      <c r="I79" s="3">
        <v>10145.83</v>
      </c>
      <c r="J79" s="3">
        <v>2.0427</v>
      </c>
      <c r="K79" s="21">
        <f ca="1">_xll.IMDP("BND",B79,K8,B3)</f>
        <v>20280830</v>
      </c>
      <c r="L79" s="23">
        <f ca="1">_xll.IMDP("BND",B79,L8,B3)</f>
        <v>4.0259999999999998</v>
      </c>
      <c r="M79" s="2"/>
      <c r="W79" s="21" t="str">
        <f ca="1">_xll.IMDP("BND",N79,W8,N3)</f>
        <v>입력오류</v>
      </c>
      <c r="X79" s="23" t="str">
        <f ca="1">_xll.IMDP("BND",N79,X8,N3)</f>
        <v>입력오류</v>
      </c>
      <c r="Y79" s="2"/>
      <c r="AI79" s="21" t="str">
        <f ca="1">_xll.IMDP("BND",Z79,AI8,Z3)</f>
        <v>입력오류</v>
      </c>
      <c r="AJ79" s="23" t="str">
        <f ca="1">_xll.IMDP("BND",Z79,AJ8,Z3)</f>
        <v>입력오류</v>
      </c>
      <c r="AK79" s="2"/>
      <c r="AU79" s="21" t="str">
        <f ca="1">_xll.IMDP("BND",AL79,AU8,AL3)</f>
        <v>입력오류</v>
      </c>
      <c r="AV79" s="23" t="str">
        <f ca="1">_xll.IMDP("BND",AL79,AV8,AL3)</f>
        <v>입력오류</v>
      </c>
      <c r="AW79" s="2"/>
      <c r="BG79" s="21" t="str">
        <f ca="1">_xll.IMDP("BND",AX79,BG8,AX3)</f>
        <v>입력오류</v>
      </c>
      <c r="BH79" s="23" t="str">
        <f ca="1">_xll.IMDP("BND",AX79,BH8,AX3)</f>
        <v>입력오류</v>
      </c>
      <c r="BI79" s="2">
        <v>46198</v>
      </c>
      <c r="BJ79" s="3" t="s">
        <v>523</v>
      </c>
      <c r="BK79" s="3" t="s">
        <v>524</v>
      </c>
      <c r="BL79" s="3" t="s">
        <v>525</v>
      </c>
      <c r="BM79" s="3">
        <v>0</v>
      </c>
      <c r="BN79" s="3">
        <v>0.51</v>
      </c>
      <c r="BO79" s="3">
        <v>0</v>
      </c>
      <c r="BP79" s="3">
        <v>640344</v>
      </c>
      <c r="BQ79" s="3">
        <v>9772.32</v>
      </c>
      <c r="BR79" s="3">
        <v>1.9422999999999999</v>
      </c>
      <c r="BS79" s="21">
        <f ca="1">_xll.IMDP("BND",BJ79,BS8,BJ3)</f>
        <v>20280704</v>
      </c>
      <c r="BT79" s="23">
        <f ca="1">_xll.IMDP("BND",BJ79,BT8,BJ3)</f>
        <v>4.3220000000000001</v>
      </c>
      <c r="BU79" s="2">
        <v>46198</v>
      </c>
      <c r="BV79" s="3" t="s">
        <v>1127</v>
      </c>
      <c r="BW79" s="3" t="s">
        <v>458</v>
      </c>
      <c r="BX79" s="3" t="s">
        <v>459</v>
      </c>
      <c r="BY79" s="3">
        <v>0</v>
      </c>
      <c r="BZ79" s="3">
        <v>0.69</v>
      </c>
      <c r="CA79" s="3">
        <v>0</v>
      </c>
      <c r="CB79" s="3">
        <v>928953</v>
      </c>
      <c r="CE79" s="21" t="str">
        <f ca="1">_xll.IMDP("BND",BV79,CE8,BV3)</f>
        <v/>
      </c>
      <c r="CF79" s="23" t="str">
        <f ca="1">_xll.IMDP("BND",BV79,CF8,BV3)</f>
        <v/>
      </c>
      <c r="CG79" s="2"/>
      <c r="CQ79" s="21" t="str">
        <f ca="1">_xll.IMDP("BND",CH79,CQ8,CH3)</f>
        <v>입력오류</v>
      </c>
      <c r="CR79" s="23" t="str">
        <f ca="1">_xll.IMDP("BND",CH79,CR8,CH3)</f>
        <v>입력오류</v>
      </c>
      <c r="CS79" s="2">
        <v>46198</v>
      </c>
      <c r="CT79" s="3" t="s">
        <v>309</v>
      </c>
      <c r="CU79" s="3" t="s">
        <v>310</v>
      </c>
      <c r="CV79" s="3" t="s">
        <v>311</v>
      </c>
      <c r="CW79" s="3">
        <v>0</v>
      </c>
      <c r="CX79" s="3">
        <v>0.32</v>
      </c>
      <c r="CY79" s="3">
        <v>0</v>
      </c>
      <c r="CZ79" s="3">
        <v>466643</v>
      </c>
      <c r="DA79" s="3">
        <v>9994.14</v>
      </c>
      <c r="DB79" s="3">
        <v>2.7690999999999999</v>
      </c>
      <c r="DC79" s="21">
        <f ca="1">_xll.IMDP("BND",CT79,DC8,CT3)</f>
        <v>20290615</v>
      </c>
      <c r="DD79" s="23">
        <f ca="1">_xll.IMDP("BND",CT79,DD8,CT3)</f>
        <v>4.1669999999999998</v>
      </c>
      <c r="DE79" s="2"/>
      <c r="DO79" s="21" t="str">
        <f ca="1">_xll.IMDP("BND",DF79,DO8,DF3)</f>
        <v>입력오류</v>
      </c>
      <c r="DP79" s="23" t="str">
        <f ca="1">_xll.IMDP("BND",DF79,DP8,DF3)</f>
        <v>입력오류</v>
      </c>
      <c r="DQ79" s="2">
        <v>46198</v>
      </c>
      <c r="DR79" s="3" t="s">
        <v>1361</v>
      </c>
      <c r="DS79" s="3" t="s">
        <v>1281</v>
      </c>
      <c r="DT79" s="3" t="s">
        <v>1362</v>
      </c>
      <c r="DU79" s="3">
        <v>0</v>
      </c>
      <c r="DV79" s="3">
        <v>0.81</v>
      </c>
      <c r="DW79" s="3">
        <v>0</v>
      </c>
      <c r="DX79" s="3">
        <v>1865390</v>
      </c>
      <c r="DY79" s="3">
        <v>8955.27</v>
      </c>
      <c r="DZ79" s="3">
        <v>3.9434</v>
      </c>
      <c r="EA79" s="21">
        <f ca="1">_xll.IMDP("BND",DR79,EA8,DR3)</f>
        <v>20300731</v>
      </c>
      <c r="EB79" s="23">
        <f ca="1">_xll.IMDP("BND",DR79,EB8,DR3)</f>
        <v>3.9809999999999999</v>
      </c>
    </row>
    <row r="80" spans="1:132" ht="13.5" customHeight="1" x14ac:dyDescent="0.3">
      <c r="A80" s="2">
        <v>46198</v>
      </c>
      <c r="B80" s="3" t="s">
        <v>865</v>
      </c>
      <c r="C80" s="3" t="s">
        <v>751</v>
      </c>
      <c r="D80" s="3" t="s">
        <v>866</v>
      </c>
      <c r="E80" s="3">
        <v>0</v>
      </c>
      <c r="F80" s="3">
        <v>0.24</v>
      </c>
      <c r="G80" s="3">
        <v>0</v>
      </c>
      <c r="H80" s="3">
        <v>269005</v>
      </c>
      <c r="I80" s="3">
        <v>10130.040000000001</v>
      </c>
      <c r="J80" s="3">
        <v>2.0424000000000002</v>
      </c>
      <c r="K80" s="21">
        <f ca="1">_xll.IMDP("BND",B80,K8,B3)</f>
        <v>20280824</v>
      </c>
      <c r="L80" s="23">
        <f ca="1">_xll.IMDP("BND",B80,L8,B3)</f>
        <v>4.3150000000000004</v>
      </c>
      <c r="M80" s="2"/>
      <c r="W80" s="21" t="str">
        <f ca="1">_xll.IMDP("BND",N80,W8,N3)</f>
        <v>입력오류</v>
      </c>
      <c r="X80" s="23" t="str">
        <f ca="1">_xll.IMDP("BND",N80,X8,N3)</f>
        <v>입력오류</v>
      </c>
      <c r="Y80" s="2"/>
      <c r="AI80" s="21" t="str">
        <f ca="1">_xll.IMDP("BND",Z80,AI8,Z3)</f>
        <v>입력오류</v>
      </c>
      <c r="AJ80" s="23" t="str">
        <f ca="1">_xll.IMDP("BND",Z80,AJ8,Z3)</f>
        <v>입력오류</v>
      </c>
      <c r="AK80" s="2"/>
      <c r="AU80" s="21" t="str">
        <f ca="1">_xll.IMDP("BND",AL80,AU8,AL3)</f>
        <v>입력오류</v>
      </c>
      <c r="AV80" s="23" t="str">
        <f ca="1">_xll.IMDP("BND",AL80,AV8,AL3)</f>
        <v>입력오류</v>
      </c>
      <c r="AW80" s="2"/>
      <c r="BG80" s="21" t="str">
        <f ca="1">_xll.IMDP("BND",AX80,BG8,AX3)</f>
        <v>입력오류</v>
      </c>
      <c r="BH80" s="23" t="str">
        <f ca="1">_xll.IMDP("BND",AX80,BH8,AX3)</f>
        <v>입력오류</v>
      </c>
      <c r="BI80" s="2">
        <v>46198</v>
      </c>
      <c r="BJ80" s="3" t="s">
        <v>86</v>
      </c>
      <c r="BK80" s="3" t="s">
        <v>29</v>
      </c>
      <c r="BL80" s="3" t="s">
        <v>87</v>
      </c>
      <c r="BM80" s="3">
        <v>0</v>
      </c>
      <c r="BN80" s="3">
        <v>0.5</v>
      </c>
      <c r="BO80" s="3">
        <v>0</v>
      </c>
      <c r="BP80" s="3">
        <v>632299</v>
      </c>
      <c r="BQ80" s="3">
        <v>7495.71</v>
      </c>
      <c r="BR80" s="3">
        <v>17.665800000000001</v>
      </c>
      <c r="BS80" s="21">
        <f ca="1">_xll.IMDP("BND",BJ80,BS8,BJ3)</f>
        <v>20540910</v>
      </c>
      <c r="BT80" s="23">
        <f ca="1">_xll.IMDP("BND",BJ80,BT8,BJ3)</f>
        <v>4.3479999999999999</v>
      </c>
      <c r="BU80" s="2">
        <v>46198</v>
      </c>
      <c r="BV80" s="3" t="s">
        <v>1128</v>
      </c>
      <c r="BW80" s="3" t="s">
        <v>1129</v>
      </c>
      <c r="BX80" s="3" t="s">
        <v>1130</v>
      </c>
      <c r="BY80" s="3">
        <v>0</v>
      </c>
      <c r="BZ80" s="3">
        <v>0.69</v>
      </c>
      <c r="CA80" s="3">
        <v>0</v>
      </c>
      <c r="CB80" s="3">
        <v>918350</v>
      </c>
      <c r="CE80" s="21" t="str">
        <f ca="1">_xll.IMDP("BND",BV80,CE8,BV3)</f>
        <v/>
      </c>
      <c r="CF80" s="23" t="str">
        <f ca="1">_xll.IMDP("BND",BV80,CF8,BV3)</f>
        <v/>
      </c>
      <c r="CG80" s="2"/>
      <c r="CQ80" s="21" t="str">
        <f ca="1">_xll.IMDP("BND",CH80,CQ8,CH3)</f>
        <v>입력오류</v>
      </c>
      <c r="CR80" s="23" t="str">
        <f ca="1">_xll.IMDP("BND",CH80,CR8,CH3)</f>
        <v>입력오류</v>
      </c>
      <c r="CS80" s="2">
        <v>46198</v>
      </c>
      <c r="CT80" s="3" t="s">
        <v>301</v>
      </c>
      <c r="CU80" s="3" t="s">
        <v>302</v>
      </c>
      <c r="CV80" s="3" t="s">
        <v>303</v>
      </c>
      <c r="CW80" s="3">
        <v>0</v>
      </c>
      <c r="CX80" s="3">
        <v>0.32</v>
      </c>
      <c r="CY80" s="3">
        <v>0</v>
      </c>
      <c r="CZ80" s="3">
        <v>466640</v>
      </c>
      <c r="DA80" s="3">
        <v>9991.56</v>
      </c>
      <c r="DB80" s="3">
        <v>2.7785000000000002</v>
      </c>
      <c r="DC80" s="21">
        <f ca="1">_xll.IMDP("BND",CT80,DC8,CT3)</f>
        <v>20290615</v>
      </c>
      <c r="DD80" s="23">
        <f ca="1">_xll.IMDP("BND",CT80,DD8,CT3)</f>
        <v>4.3109999999999999</v>
      </c>
      <c r="DE80" s="2"/>
      <c r="DO80" s="21" t="str">
        <f ca="1">_xll.IMDP("BND",DF80,DO8,DF3)</f>
        <v>입력오류</v>
      </c>
      <c r="DP80" s="23" t="str">
        <f ca="1">_xll.IMDP("BND",DF80,DP8,DF3)</f>
        <v>입력오류</v>
      </c>
      <c r="DQ80" s="2">
        <v>46198</v>
      </c>
      <c r="DR80" s="3" t="s">
        <v>1363</v>
      </c>
      <c r="DS80" s="3" t="s">
        <v>1281</v>
      </c>
      <c r="DT80" s="3" t="s">
        <v>1364</v>
      </c>
      <c r="DU80" s="3">
        <v>0</v>
      </c>
      <c r="DV80" s="3">
        <v>0.79</v>
      </c>
      <c r="DW80" s="3">
        <v>0</v>
      </c>
      <c r="DX80" s="3">
        <v>1809102</v>
      </c>
      <c r="DY80" s="3">
        <v>8684.51</v>
      </c>
      <c r="DZ80" s="3">
        <v>4.4943999999999997</v>
      </c>
      <c r="EA80" s="21">
        <f ca="1">_xll.IMDP("BND",DR80,EA8,DR3)</f>
        <v>20310228</v>
      </c>
      <c r="EB80" s="23">
        <f ca="1">_xll.IMDP("BND",DR80,EB8,DR3)</f>
        <v>4.157</v>
      </c>
    </row>
    <row r="81" spans="1:132" ht="13.5" customHeight="1" x14ac:dyDescent="0.3">
      <c r="A81" s="2">
        <v>46198</v>
      </c>
      <c r="B81" s="3" t="s">
        <v>867</v>
      </c>
      <c r="C81" s="3" t="s">
        <v>868</v>
      </c>
      <c r="D81" s="3" t="s">
        <v>869</v>
      </c>
      <c r="E81" s="3">
        <v>0</v>
      </c>
      <c r="F81" s="3">
        <v>0.24</v>
      </c>
      <c r="G81" s="3">
        <v>0</v>
      </c>
      <c r="H81" s="3">
        <v>268913</v>
      </c>
      <c r="I81" s="3">
        <v>10125.57</v>
      </c>
      <c r="J81" s="3">
        <v>1.8987000000000001</v>
      </c>
      <c r="K81" s="21">
        <f ca="1">_xll.IMDP("BND",B81,K8,B3)</f>
        <v>20280629</v>
      </c>
      <c r="L81" s="23">
        <f ca="1">_xll.IMDP("BND",B81,L8,B3)</f>
        <v>4.2160000000000002</v>
      </c>
      <c r="M81" s="2"/>
      <c r="W81" s="21" t="str">
        <f ca="1">_xll.IMDP("BND",N81,W8,N3)</f>
        <v>입력오류</v>
      </c>
      <c r="X81" s="23" t="str">
        <f ca="1">_xll.IMDP("BND",N81,X8,N3)</f>
        <v>입력오류</v>
      </c>
      <c r="Y81" s="2"/>
      <c r="AI81" s="21" t="str">
        <f ca="1">_xll.IMDP("BND",Z81,AI8,Z3)</f>
        <v>입력오류</v>
      </c>
      <c r="AJ81" s="23" t="str">
        <f ca="1">_xll.IMDP("BND",Z81,AJ8,Z3)</f>
        <v>입력오류</v>
      </c>
      <c r="AK81" s="2"/>
      <c r="AU81" s="21" t="str">
        <f ca="1">_xll.IMDP("BND",AL81,AU8,AL3)</f>
        <v>입력오류</v>
      </c>
      <c r="AV81" s="23" t="str">
        <f ca="1">_xll.IMDP("BND",AL81,AV8,AL3)</f>
        <v>입력오류</v>
      </c>
      <c r="AW81" s="2"/>
      <c r="BG81" s="21" t="str">
        <f ca="1">_xll.IMDP("BND",AX81,BG8,AX3)</f>
        <v>입력오류</v>
      </c>
      <c r="BH81" s="23" t="str">
        <f ca="1">_xll.IMDP("BND",AX81,BH8,AX3)</f>
        <v>입력오류</v>
      </c>
      <c r="BI81" s="2">
        <v>46198</v>
      </c>
      <c r="BJ81" s="3" t="s">
        <v>526</v>
      </c>
      <c r="BK81" s="3" t="s">
        <v>527</v>
      </c>
      <c r="BL81" s="3" t="s">
        <v>528</v>
      </c>
      <c r="BM81" s="3">
        <v>0</v>
      </c>
      <c r="BN81" s="3">
        <v>0.5</v>
      </c>
      <c r="BO81" s="3">
        <v>0</v>
      </c>
      <c r="BP81" s="3">
        <v>624759</v>
      </c>
      <c r="BQ81" s="3">
        <v>9872.65</v>
      </c>
      <c r="BR81" s="3">
        <v>2.3612000000000002</v>
      </c>
      <c r="BS81" s="21">
        <f ca="1">_xll.IMDP("BND",BJ81,BS8,BJ3)</f>
        <v>20281226</v>
      </c>
      <c r="BT81" s="23">
        <f ca="1">_xll.IMDP("BND",BJ81,BT8,BJ3)</f>
        <v>4.3979999999999997</v>
      </c>
      <c r="BU81" s="2">
        <v>46198</v>
      </c>
      <c r="BV81" s="3" t="s">
        <v>1131</v>
      </c>
      <c r="BW81" s="3" t="s">
        <v>1132</v>
      </c>
      <c r="BX81" s="3" t="s">
        <v>1133</v>
      </c>
      <c r="BY81" s="3">
        <v>0</v>
      </c>
      <c r="BZ81" s="3">
        <v>0.56999999999999995</v>
      </c>
      <c r="CA81" s="3">
        <v>0</v>
      </c>
      <c r="CB81" s="3">
        <v>756816</v>
      </c>
      <c r="CC81" s="3">
        <v>10038.780000000001</v>
      </c>
      <c r="CD81" s="3">
        <v>0.17069999999999999</v>
      </c>
      <c r="CE81" s="21">
        <f ca="1">_xll.IMDP("BND",BV81,CE8,BV3)</f>
        <v>20260827</v>
      </c>
      <c r="CF81" s="23">
        <f ca="1">_xll.IMDP("BND",BV81,CF8,BV3)</f>
        <v>4.133</v>
      </c>
      <c r="CG81" s="2"/>
      <c r="CQ81" s="21" t="str">
        <f ca="1">_xll.IMDP("BND",CH81,CQ8,CH3)</f>
        <v>입력오류</v>
      </c>
      <c r="CR81" s="23" t="str">
        <f ca="1">_xll.IMDP("BND",CH81,CR8,CH3)</f>
        <v>입력오류</v>
      </c>
      <c r="CS81" s="2">
        <v>46198</v>
      </c>
      <c r="CT81" s="3" t="s">
        <v>312</v>
      </c>
      <c r="CU81" s="3" t="s">
        <v>313</v>
      </c>
      <c r="CV81" s="3" t="s">
        <v>314</v>
      </c>
      <c r="CW81" s="3">
        <v>0</v>
      </c>
      <c r="CX81" s="3">
        <v>0.32</v>
      </c>
      <c r="CY81" s="3">
        <v>0</v>
      </c>
      <c r="CZ81" s="3">
        <v>466485</v>
      </c>
      <c r="DA81" s="3">
        <v>9990.23</v>
      </c>
      <c r="DB81" s="3">
        <v>1.0093000000000001</v>
      </c>
      <c r="DC81" s="21">
        <f ca="1">_xll.IMDP("BND",CT81,DC8,CT3)</f>
        <v>20270709</v>
      </c>
      <c r="DD81" s="23">
        <f ca="1">_xll.IMDP("BND",CT81,DD8,CT3)</f>
        <v>3.9929999999999999</v>
      </c>
      <c r="DE81" s="2"/>
      <c r="DO81" s="21" t="str">
        <f ca="1">_xll.IMDP("BND",DF81,DO8,DF3)</f>
        <v>입력오류</v>
      </c>
      <c r="DP81" s="23" t="str">
        <f ca="1">_xll.IMDP("BND",DF81,DP8,DF3)</f>
        <v>입력오류</v>
      </c>
      <c r="DQ81" s="2">
        <v>46198</v>
      </c>
      <c r="DR81" s="3" t="s">
        <v>1365</v>
      </c>
      <c r="DS81" s="3" t="s">
        <v>1366</v>
      </c>
      <c r="DT81" s="3" t="s">
        <v>1367</v>
      </c>
      <c r="DU81" s="3">
        <v>0</v>
      </c>
      <c r="DV81" s="3">
        <v>0.74</v>
      </c>
      <c r="DW81" s="3">
        <v>0</v>
      </c>
      <c r="DX81" s="3">
        <v>1704172</v>
      </c>
      <c r="DY81" s="3">
        <v>8184.43</v>
      </c>
      <c r="DZ81" s="3">
        <v>9.8940999999999999</v>
      </c>
      <c r="EA81" s="21">
        <f ca="1">_xll.IMDP("BND",DR81,EA8,DR3)</f>
        <v>20380709</v>
      </c>
      <c r="EB81" s="23">
        <f ca="1">_xll.IMDP("BND",DR81,EB8,DR3)</f>
        <v>4.7519999999999998</v>
      </c>
    </row>
    <row r="82" spans="1:132" ht="13.5" customHeight="1" x14ac:dyDescent="0.3">
      <c r="A82" s="2">
        <v>46198</v>
      </c>
      <c r="B82" s="3" t="s">
        <v>870</v>
      </c>
      <c r="C82" s="3" t="s">
        <v>871</v>
      </c>
      <c r="D82" s="3" t="s">
        <v>872</v>
      </c>
      <c r="E82" s="3">
        <v>0</v>
      </c>
      <c r="F82" s="3">
        <v>0.24</v>
      </c>
      <c r="G82" s="3">
        <v>0</v>
      </c>
      <c r="H82" s="3">
        <v>268776</v>
      </c>
      <c r="I82" s="3">
        <v>10122.07</v>
      </c>
      <c r="J82" s="3">
        <v>1.0290999999999999</v>
      </c>
      <c r="K82" s="21">
        <f ca="1">_xll.IMDP("BND",B82,K8,B3)</f>
        <v>20270718</v>
      </c>
      <c r="L82" s="23">
        <f ca="1">_xll.IMDP("BND",B82,L8,B3)</f>
        <v>3.7210000000000001</v>
      </c>
      <c r="M82" s="2"/>
      <c r="W82" s="21" t="str">
        <f ca="1">_xll.IMDP("BND",N82,W8,N3)</f>
        <v>입력오류</v>
      </c>
      <c r="X82" s="23" t="str">
        <f ca="1">_xll.IMDP("BND",N82,X8,N3)</f>
        <v>입력오류</v>
      </c>
      <c r="Y82" s="2"/>
      <c r="AI82" s="21" t="str">
        <f ca="1">_xll.IMDP("BND",Z82,AI8,Z3)</f>
        <v>입력오류</v>
      </c>
      <c r="AJ82" s="23" t="str">
        <f ca="1">_xll.IMDP("BND",Z82,AJ8,Z3)</f>
        <v>입력오류</v>
      </c>
      <c r="AK82" s="2"/>
      <c r="AU82" s="21" t="str">
        <f ca="1">_xll.IMDP("BND",AL82,AU8,AL3)</f>
        <v>입력오류</v>
      </c>
      <c r="AV82" s="23" t="str">
        <f ca="1">_xll.IMDP("BND",AL82,AV8,AL3)</f>
        <v>입력오류</v>
      </c>
      <c r="AW82" s="2"/>
      <c r="BG82" s="21" t="str">
        <f ca="1">_xll.IMDP("BND",AX82,BG8,AX3)</f>
        <v>입력오류</v>
      </c>
      <c r="BH82" s="23" t="str">
        <f ca="1">_xll.IMDP("BND",AX82,BH8,AX3)</f>
        <v>입력오류</v>
      </c>
      <c r="BI82" s="2">
        <v>46198</v>
      </c>
      <c r="BJ82" s="3" t="s">
        <v>77</v>
      </c>
      <c r="BK82" s="3" t="s">
        <v>29</v>
      </c>
      <c r="BL82" s="3" t="s">
        <v>78</v>
      </c>
      <c r="BM82" s="3">
        <v>0</v>
      </c>
      <c r="BN82" s="3">
        <v>0.5</v>
      </c>
      <c r="BO82" s="3">
        <v>0</v>
      </c>
      <c r="BP82" s="3">
        <v>624275</v>
      </c>
      <c r="BQ82" s="3">
        <v>8139.76</v>
      </c>
      <c r="BR82" s="3">
        <v>16.4742</v>
      </c>
      <c r="BS82" s="21">
        <f ca="1">_xll.IMDP("BND",BJ82,BS8,BJ3)</f>
        <v>20520910</v>
      </c>
      <c r="BT82" s="23">
        <f ca="1">_xll.IMDP("BND",BJ82,BT8,BJ3)</f>
        <v>4.3840000000000003</v>
      </c>
      <c r="BU82" s="2">
        <v>46198</v>
      </c>
      <c r="BV82" s="3" t="s">
        <v>1134</v>
      </c>
      <c r="BW82" s="3" t="s">
        <v>1135</v>
      </c>
      <c r="BX82" s="3" t="s">
        <v>1136</v>
      </c>
      <c r="BY82" s="3">
        <v>0</v>
      </c>
      <c r="BZ82" s="3">
        <v>0.5</v>
      </c>
      <c r="CA82" s="3">
        <v>0</v>
      </c>
      <c r="CB82" s="3">
        <v>674411</v>
      </c>
      <c r="CC82" s="3">
        <v>10150.83</v>
      </c>
      <c r="CD82" s="3">
        <v>0.26669999999999999</v>
      </c>
      <c r="CE82" s="21">
        <f ca="1">_xll.IMDP("BND",BV82,CE8,BV3)</f>
        <v>20261002</v>
      </c>
      <c r="CF82" s="23">
        <f ca="1">_xll.IMDP("BND",BV82,CF8,BV3)</f>
        <v>3.6259999999999999</v>
      </c>
      <c r="CG82" s="2"/>
      <c r="CQ82" s="21" t="str">
        <f ca="1">_xll.IMDP("BND",CH82,CQ8,CH3)</f>
        <v>입력오류</v>
      </c>
      <c r="CR82" s="23" t="str">
        <f ca="1">_xll.IMDP("BND",CH82,CR8,CH3)</f>
        <v>입력오류</v>
      </c>
      <c r="CS82" s="2">
        <v>46198</v>
      </c>
      <c r="CT82" s="3" t="s">
        <v>315</v>
      </c>
      <c r="CU82" s="3" t="s">
        <v>316</v>
      </c>
      <c r="CV82" s="3" t="s">
        <v>317</v>
      </c>
      <c r="CW82" s="3">
        <v>0</v>
      </c>
      <c r="CX82" s="3">
        <v>0.32</v>
      </c>
      <c r="CY82" s="3">
        <v>0</v>
      </c>
      <c r="CZ82" s="3">
        <v>466459</v>
      </c>
      <c r="DA82" s="3">
        <v>9988.9500000000007</v>
      </c>
      <c r="DB82" s="3">
        <v>2.6871999999999998</v>
      </c>
      <c r="DC82" s="21">
        <f ca="1">_xll.IMDP("BND",CT82,DC8,CT3)</f>
        <v>20290508</v>
      </c>
      <c r="DD82" s="23">
        <f ca="1">_xll.IMDP("BND",CT82,DD8,CT3)</f>
        <v>4.157</v>
      </c>
      <c r="DE82" s="2"/>
      <c r="DO82" s="21" t="str">
        <f ca="1">_xll.IMDP("BND",DF82,DO8,DF3)</f>
        <v>입력오류</v>
      </c>
      <c r="DP82" s="23" t="str">
        <f ca="1">_xll.IMDP("BND",DF82,DP8,DF3)</f>
        <v>입력오류</v>
      </c>
      <c r="DQ82" s="2">
        <v>46198</v>
      </c>
      <c r="DR82" s="3" t="s">
        <v>555</v>
      </c>
      <c r="DS82" s="3" t="s">
        <v>50</v>
      </c>
      <c r="DT82" s="3" t="s">
        <v>1368</v>
      </c>
      <c r="DU82" s="3">
        <v>0</v>
      </c>
      <c r="DV82" s="3">
        <v>0.63</v>
      </c>
      <c r="DW82" s="3">
        <v>0</v>
      </c>
      <c r="DX82" s="3">
        <v>1448956</v>
      </c>
      <c r="DY82" s="3">
        <v>9937.77</v>
      </c>
      <c r="DZ82" s="3">
        <v>2.7816000000000001</v>
      </c>
      <c r="EA82" s="21">
        <f ca="1">_xll.IMDP("BND",DR82,EA8,DR3)</f>
        <v>20290610</v>
      </c>
      <c r="EB82" s="23">
        <f ca="1">_xll.IMDP("BND",DR82,EB8,DR3)</f>
        <v>3.7749999999999999</v>
      </c>
    </row>
    <row r="83" spans="1:132" ht="13.5" customHeight="1" x14ac:dyDescent="0.3">
      <c r="A83" s="2">
        <v>46198</v>
      </c>
      <c r="B83" s="3" t="s">
        <v>873</v>
      </c>
      <c r="C83" s="3" t="s">
        <v>874</v>
      </c>
      <c r="D83" s="3" t="s">
        <v>875</v>
      </c>
      <c r="E83" s="3">
        <v>0</v>
      </c>
      <c r="F83" s="3">
        <v>0.24</v>
      </c>
      <c r="G83" s="3">
        <v>0</v>
      </c>
      <c r="H83" s="3">
        <v>268612</v>
      </c>
      <c r="I83" s="3">
        <v>10116.030000000001</v>
      </c>
      <c r="J83" s="3">
        <v>0.36820000000000003</v>
      </c>
      <c r="K83" s="21">
        <f ca="1">_xll.IMDP("BND",B83,K8,B3)</f>
        <v>20261109</v>
      </c>
      <c r="L83" s="23">
        <f ca="1">_xll.IMDP("BND",B83,L8,B3)</f>
        <v>3.3210000000000002</v>
      </c>
      <c r="M83" s="2"/>
      <c r="W83" s="21" t="str">
        <f ca="1">_xll.IMDP("BND",N83,W8,N3)</f>
        <v>입력오류</v>
      </c>
      <c r="X83" s="23" t="str">
        <f ca="1">_xll.IMDP("BND",N83,X8,N3)</f>
        <v>입력오류</v>
      </c>
      <c r="Y83" s="2"/>
      <c r="AI83" s="21" t="str">
        <f ca="1">_xll.IMDP("BND",Z83,AI8,Z3)</f>
        <v>입력오류</v>
      </c>
      <c r="AJ83" s="23" t="str">
        <f ca="1">_xll.IMDP("BND",Z83,AJ8,Z3)</f>
        <v>입력오류</v>
      </c>
      <c r="AK83" s="2"/>
      <c r="AU83" s="21" t="str">
        <f ca="1">_xll.IMDP("BND",AL83,AU8,AL3)</f>
        <v>입력오류</v>
      </c>
      <c r="AV83" s="23" t="str">
        <f ca="1">_xll.IMDP("BND",AL83,AV8,AL3)</f>
        <v>입력오류</v>
      </c>
      <c r="AW83" s="2"/>
      <c r="BG83" s="21" t="str">
        <f ca="1">_xll.IMDP("BND",AX83,BG8,AX3)</f>
        <v>입력오류</v>
      </c>
      <c r="BH83" s="23" t="str">
        <f ca="1">_xll.IMDP("BND",AX83,BH8,AX3)</f>
        <v>입력오류</v>
      </c>
      <c r="BI83" s="2">
        <v>46198</v>
      </c>
      <c r="BJ83" s="3" t="s">
        <v>529</v>
      </c>
      <c r="BK83" s="3" t="s">
        <v>530</v>
      </c>
      <c r="BL83" s="3" t="s">
        <v>531</v>
      </c>
      <c r="BM83" s="3">
        <v>0</v>
      </c>
      <c r="BN83" s="3">
        <v>0.49</v>
      </c>
      <c r="BO83" s="3">
        <v>0</v>
      </c>
      <c r="BP83" s="3">
        <v>609582</v>
      </c>
      <c r="BQ83" s="3">
        <v>9935.8700000000008</v>
      </c>
      <c r="BR83" s="3">
        <v>1.3392999999999999</v>
      </c>
      <c r="BS83" s="21">
        <f ca="1">_xll.IMDP("BND",BJ83,BS8,BJ3)</f>
        <v>20271112</v>
      </c>
      <c r="BT83" s="23">
        <f ca="1">_xll.IMDP("BND",BJ83,BT8,BJ3)</f>
        <v>4.0910000000000002</v>
      </c>
      <c r="BU83" s="2">
        <v>46198</v>
      </c>
      <c r="BV83" s="3" t="s">
        <v>1137</v>
      </c>
      <c r="BW83" s="3" t="s">
        <v>358</v>
      </c>
      <c r="BX83" s="3" t="s">
        <v>1138</v>
      </c>
      <c r="BY83" s="3">
        <v>0</v>
      </c>
      <c r="BZ83" s="3">
        <v>0.5</v>
      </c>
      <c r="CA83" s="3">
        <v>0</v>
      </c>
      <c r="CB83" s="3">
        <v>669419</v>
      </c>
      <c r="CC83" s="3">
        <v>10075.959999999999</v>
      </c>
      <c r="CD83" s="3">
        <v>0.1176</v>
      </c>
      <c r="CE83" s="21">
        <f ca="1">_xll.IMDP("BND",BV83,CE8,BV3)</f>
        <v>20260807</v>
      </c>
      <c r="CF83" s="23">
        <f ca="1">_xll.IMDP("BND",BV83,CF8,BV3)</f>
        <v>3.9089999999999998</v>
      </c>
      <c r="CG83" s="2"/>
      <c r="CQ83" s="21" t="str">
        <f ca="1">_xll.IMDP("BND",CH83,CQ8,CH3)</f>
        <v>입력오류</v>
      </c>
      <c r="CR83" s="23" t="str">
        <f ca="1">_xll.IMDP("BND",CH83,CR8,CH3)</f>
        <v>입력오류</v>
      </c>
      <c r="CS83" s="2">
        <v>46198</v>
      </c>
      <c r="CT83" s="3" t="s">
        <v>318</v>
      </c>
      <c r="CU83" s="3" t="s">
        <v>319</v>
      </c>
      <c r="CV83" s="3" t="s">
        <v>320</v>
      </c>
      <c r="CW83" s="3">
        <v>0</v>
      </c>
      <c r="CX83" s="3">
        <v>0.32</v>
      </c>
      <c r="CY83" s="3">
        <v>0</v>
      </c>
      <c r="CZ83" s="3">
        <v>466247</v>
      </c>
      <c r="DA83" s="3">
        <v>9984.2900000000009</v>
      </c>
      <c r="DB83" s="3">
        <v>2.419</v>
      </c>
      <c r="DC83" s="21">
        <f ca="1">_xll.IMDP("BND",CT83,DC8,CT3)</f>
        <v>20290126</v>
      </c>
      <c r="DD83" s="23">
        <f ca="1">_xll.IMDP("BND",CT83,DD8,CT3)</f>
        <v>4.0220000000000002</v>
      </c>
      <c r="DE83" s="2"/>
      <c r="DO83" s="21" t="str">
        <f ca="1">_xll.IMDP("BND",DF83,DO8,DF3)</f>
        <v>입력오류</v>
      </c>
      <c r="DP83" s="23" t="str">
        <f ca="1">_xll.IMDP("BND",DF83,DP8,DF3)</f>
        <v>입력오류</v>
      </c>
      <c r="DQ83" s="2">
        <v>46198</v>
      </c>
      <c r="DR83" s="3" t="s">
        <v>1369</v>
      </c>
      <c r="DS83" s="3" t="s">
        <v>1370</v>
      </c>
      <c r="DT83" s="3" t="s">
        <v>1371</v>
      </c>
      <c r="DU83" s="3">
        <v>0</v>
      </c>
      <c r="DV83" s="3">
        <v>0.54</v>
      </c>
      <c r="DW83" s="3">
        <v>0</v>
      </c>
      <c r="DX83" s="3">
        <v>1251834</v>
      </c>
      <c r="DY83" s="3">
        <v>10018.030000000001</v>
      </c>
      <c r="DZ83" s="3">
        <v>0.76929999999999998</v>
      </c>
      <c r="EA83" s="21">
        <f ca="1">_xll.IMDP("BND",DR83,EA8,DR3)</f>
        <v>20270409</v>
      </c>
      <c r="EB83" s="23">
        <f ca="1">_xll.IMDP("BND",DR83,EB8,DR3)</f>
        <v>4.0359999999999996</v>
      </c>
    </row>
    <row r="84" spans="1:132" ht="13.5" customHeight="1" x14ac:dyDescent="0.3">
      <c r="A84" s="2">
        <v>46198</v>
      </c>
      <c r="B84" s="3" t="s">
        <v>876</v>
      </c>
      <c r="C84" s="3" t="s">
        <v>877</v>
      </c>
      <c r="D84" s="3" t="s">
        <v>878</v>
      </c>
      <c r="E84" s="3">
        <v>0</v>
      </c>
      <c r="F84" s="3">
        <v>0.24</v>
      </c>
      <c r="G84" s="3">
        <v>0</v>
      </c>
      <c r="H84" s="3">
        <v>268197</v>
      </c>
      <c r="I84" s="3">
        <v>10100.209999999999</v>
      </c>
      <c r="J84" s="3">
        <v>0.37919999999999998</v>
      </c>
      <c r="K84" s="21">
        <f ca="1">_xll.IMDP("BND",B84,K8,B3)</f>
        <v>20261113</v>
      </c>
      <c r="L84" s="23">
        <f ca="1">_xll.IMDP("BND",B84,L8,B3)</f>
        <v>3.2519999999999998</v>
      </c>
      <c r="M84" s="2"/>
      <c r="W84" s="21" t="str">
        <f ca="1">_xll.IMDP("BND",N84,W8,N3)</f>
        <v>입력오류</v>
      </c>
      <c r="X84" s="23" t="str">
        <f ca="1">_xll.IMDP("BND",N84,X8,N3)</f>
        <v>입력오류</v>
      </c>
      <c r="Y84" s="2"/>
      <c r="AI84" s="21" t="str">
        <f ca="1">_xll.IMDP("BND",Z84,AI8,Z3)</f>
        <v>입력오류</v>
      </c>
      <c r="AJ84" s="23" t="str">
        <f ca="1">_xll.IMDP("BND",Z84,AJ8,Z3)</f>
        <v>입력오류</v>
      </c>
      <c r="AK84" s="2"/>
      <c r="AU84" s="21" t="str">
        <f ca="1">_xll.IMDP("BND",AL84,AU8,AL3)</f>
        <v>입력오류</v>
      </c>
      <c r="AV84" s="23" t="str">
        <f ca="1">_xll.IMDP("BND",AL84,AV8,AL3)</f>
        <v>입력오류</v>
      </c>
      <c r="AW84" s="2"/>
      <c r="BG84" s="21" t="str">
        <f ca="1">_xll.IMDP("BND",AX84,BG8,AX3)</f>
        <v>입력오류</v>
      </c>
      <c r="BH84" s="23" t="str">
        <f ca="1">_xll.IMDP("BND",AX84,BH8,AX3)</f>
        <v>입력오류</v>
      </c>
      <c r="BI84" s="2">
        <v>46198</v>
      </c>
      <c r="BJ84" s="3" t="s">
        <v>532</v>
      </c>
      <c r="BK84" s="3" t="s">
        <v>533</v>
      </c>
      <c r="BL84" s="3" t="s">
        <v>534</v>
      </c>
      <c r="BM84" s="3">
        <v>0</v>
      </c>
      <c r="BN84" s="3">
        <v>0.44</v>
      </c>
      <c r="BO84" s="3">
        <v>0</v>
      </c>
      <c r="BP84" s="3">
        <v>546523</v>
      </c>
      <c r="BQ84" s="3">
        <v>10180.58</v>
      </c>
      <c r="BR84" s="3">
        <v>1.9117</v>
      </c>
      <c r="BS84" s="21">
        <f ca="1">_xll.IMDP("BND",BJ84,BS8,BJ3)</f>
        <v>20280707</v>
      </c>
      <c r="BT84" s="23">
        <f ca="1">_xll.IMDP("BND",BJ84,BT8,BJ3)</f>
        <v>4.3460000000000001</v>
      </c>
      <c r="BU84" s="2">
        <v>46198</v>
      </c>
      <c r="BV84" s="3" t="s">
        <v>1139</v>
      </c>
      <c r="BW84" s="3" t="s">
        <v>1071</v>
      </c>
      <c r="BX84" s="3" t="s">
        <v>1140</v>
      </c>
      <c r="BY84" s="3">
        <v>0</v>
      </c>
      <c r="BZ84" s="3">
        <v>0.5</v>
      </c>
      <c r="CA84" s="3">
        <v>0</v>
      </c>
      <c r="CB84" s="3">
        <v>666425</v>
      </c>
      <c r="CC84" s="3">
        <v>10030.99</v>
      </c>
      <c r="CD84" s="3">
        <v>6.9000000000000006E-2</v>
      </c>
      <c r="CE84" s="21">
        <f ca="1">_xll.IMDP("BND",BV84,CE8,BV3)</f>
        <v>20260720</v>
      </c>
      <c r="CF84" s="23">
        <f ca="1">_xll.IMDP("BND",BV84,CF8,BV3)</f>
        <v>3.1349999999999998</v>
      </c>
      <c r="CG84" s="2"/>
      <c r="CQ84" s="21" t="str">
        <f ca="1">_xll.IMDP("BND",CH84,CQ8,CH3)</f>
        <v>입력오류</v>
      </c>
      <c r="CR84" s="23" t="str">
        <f ca="1">_xll.IMDP("BND",CH84,CR8,CH3)</f>
        <v>입력오류</v>
      </c>
      <c r="CS84" s="2">
        <v>46198</v>
      </c>
      <c r="CT84" s="3" t="s">
        <v>321</v>
      </c>
      <c r="CU84" s="3" t="s">
        <v>322</v>
      </c>
      <c r="CV84" s="3" t="s">
        <v>323</v>
      </c>
      <c r="CW84" s="3">
        <v>0</v>
      </c>
      <c r="CX84" s="3">
        <v>0.32</v>
      </c>
      <c r="CY84" s="3">
        <v>0</v>
      </c>
      <c r="CZ84" s="3">
        <v>466155</v>
      </c>
      <c r="DA84" s="3">
        <v>9982.4699999999993</v>
      </c>
      <c r="DB84" s="3">
        <v>1.2625</v>
      </c>
      <c r="DC84" s="21">
        <f ca="1">_xll.IMDP("BND",CT84,DC8,CT3)</f>
        <v>20271015</v>
      </c>
      <c r="DD84" s="23">
        <f ca="1">_xll.IMDP("BND",CT84,DD8,CT3)</f>
        <v>4.157</v>
      </c>
      <c r="DE84" s="2"/>
      <c r="DO84" s="21" t="str">
        <f ca="1">_xll.IMDP("BND",DF84,DO8,DF3)</f>
        <v>입력오류</v>
      </c>
      <c r="DP84" s="23" t="str">
        <f ca="1">_xll.IMDP("BND",DF84,DP8,DF3)</f>
        <v>입력오류</v>
      </c>
      <c r="DQ84" s="2">
        <v>46198</v>
      </c>
      <c r="DR84" s="3" t="s">
        <v>1372</v>
      </c>
      <c r="DS84" s="3" t="s">
        <v>182</v>
      </c>
      <c r="DT84" s="3" t="s">
        <v>1373</v>
      </c>
      <c r="DU84" s="3">
        <v>0</v>
      </c>
      <c r="DV84" s="3">
        <v>0.46</v>
      </c>
      <c r="DW84" s="3">
        <v>0</v>
      </c>
      <c r="DX84" s="3">
        <v>1051968</v>
      </c>
      <c r="DY84" s="3">
        <v>10101.49</v>
      </c>
      <c r="DZ84" s="3">
        <v>0.8498</v>
      </c>
      <c r="EA84" s="21">
        <f ca="1">_xll.IMDP("BND",DR84,EA8,DR3)</f>
        <v>20270511</v>
      </c>
      <c r="EB84" s="23">
        <f ca="1">_xll.IMDP("BND",DR84,EB8,DR3)</f>
        <v>3.891</v>
      </c>
    </row>
    <row r="85" spans="1:132" ht="13.5" customHeight="1" x14ac:dyDescent="0.3">
      <c r="A85" s="2">
        <v>46198</v>
      </c>
      <c r="B85" s="3" t="s">
        <v>879</v>
      </c>
      <c r="C85" s="3" t="s">
        <v>452</v>
      </c>
      <c r="D85" s="3" t="s">
        <v>880</v>
      </c>
      <c r="E85" s="3">
        <v>0</v>
      </c>
      <c r="F85" s="3">
        <v>0.24</v>
      </c>
      <c r="G85" s="3">
        <v>0</v>
      </c>
      <c r="H85" s="3">
        <v>268162</v>
      </c>
      <c r="I85" s="3">
        <v>10099.049999999999</v>
      </c>
      <c r="J85" s="3">
        <v>2.2599999999999999E-2</v>
      </c>
      <c r="K85" s="21">
        <f ca="1">_xll.IMDP("BND",B85,K8,B3)</f>
        <v>20260703</v>
      </c>
      <c r="L85" s="23">
        <f ca="1">_xll.IMDP("BND",B85,L8,B3)</f>
        <v>2.8410000000000002</v>
      </c>
      <c r="M85" s="2"/>
      <c r="W85" s="21" t="str">
        <f ca="1">_xll.IMDP("BND",N85,W8,N3)</f>
        <v>입력오류</v>
      </c>
      <c r="X85" s="23" t="str">
        <f ca="1">_xll.IMDP("BND",N85,X8,N3)</f>
        <v>입력오류</v>
      </c>
      <c r="Y85" s="2"/>
      <c r="AI85" s="21" t="str">
        <f ca="1">_xll.IMDP("BND",Z85,AI8,Z3)</f>
        <v>입력오류</v>
      </c>
      <c r="AJ85" s="23" t="str">
        <f ca="1">_xll.IMDP("BND",Z85,AJ8,Z3)</f>
        <v>입력오류</v>
      </c>
      <c r="AK85" s="2"/>
      <c r="AU85" s="21" t="str">
        <f ca="1">_xll.IMDP("BND",AL85,AU8,AL3)</f>
        <v>입력오류</v>
      </c>
      <c r="AV85" s="23" t="str">
        <f ca="1">_xll.IMDP("BND",AL85,AV8,AL3)</f>
        <v>입력오류</v>
      </c>
      <c r="AW85" s="2"/>
      <c r="BG85" s="21" t="str">
        <f ca="1">_xll.IMDP("BND",AX85,BG8,AX3)</f>
        <v>입력오류</v>
      </c>
      <c r="BH85" s="23" t="str">
        <f ca="1">_xll.IMDP("BND",AX85,BH8,AX3)</f>
        <v>입력오류</v>
      </c>
      <c r="BI85" s="2">
        <v>46198</v>
      </c>
      <c r="BJ85" s="3" t="s">
        <v>535</v>
      </c>
      <c r="BK85" s="3" t="s">
        <v>536</v>
      </c>
      <c r="BL85" s="3" t="s">
        <v>537</v>
      </c>
      <c r="BM85" s="3">
        <v>0</v>
      </c>
      <c r="BN85" s="3">
        <v>0.44</v>
      </c>
      <c r="BO85" s="3">
        <v>0</v>
      </c>
      <c r="BP85" s="3">
        <v>545389</v>
      </c>
      <c r="BQ85" s="3">
        <v>10159.94</v>
      </c>
      <c r="BR85" s="3">
        <v>1.4554</v>
      </c>
      <c r="BS85" s="21">
        <f ca="1">_xll.IMDP("BND",BJ85,BS8,BJ3)</f>
        <v>20280103</v>
      </c>
      <c r="BT85" s="23">
        <f ca="1">_xll.IMDP("BND",BJ85,BT8,BJ3)</f>
        <v>3.8780000000000001</v>
      </c>
      <c r="BU85" s="2">
        <v>46198</v>
      </c>
      <c r="BV85" s="3" t="s">
        <v>1141</v>
      </c>
      <c r="BW85" s="3" t="s">
        <v>950</v>
      </c>
      <c r="BX85" s="3" t="s">
        <v>1142</v>
      </c>
      <c r="BY85" s="3">
        <v>0</v>
      </c>
      <c r="BZ85" s="3">
        <v>0.49</v>
      </c>
      <c r="CA85" s="3">
        <v>0</v>
      </c>
      <c r="CB85" s="3">
        <v>657672</v>
      </c>
      <c r="CE85" s="21" t="str">
        <f ca="1">_xll.IMDP("BND",BV85,CE8,BV3)</f>
        <v/>
      </c>
      <c r="CF85" s="23" t="str">
        <f ca="1">_xll.IMDP("BND",BV85,CF8,BV3)</f>
        <v/>
      </c>
      <c r="CG85" s="2"/>
      <c r="CQ85" s="21" t="str">
        <f ca="1">_xll.IMDP("BND",CH85,CQ8,CH3)</f>
        <v>입력오류</v>
      </c>
      <c r="CR85" s="23" t="str">
        <f ca="1">_xll.IMDP("BND",CH85,CR8,CH3)</f>
        <v>입력오류</v>
      </c>
      <c r="CS85" s="2">
        <v>46198</v>
      </c>
      <c r="CT85" s="3" t="s">
        <v>324</v>
      </c>
      <c r="CU85" s="3" t="s">
        <v>325</v>
      </c>
      <c r="CV85" s="3" t="s">
        <v>326</v>
      </c>
      <c r="CW85" s="3">
        <v>0</v>
      </c>
      <c r="CX85" s="3">
        <v>0.32</v>
      </c>
      <c r="CY85" s="3">
        <v>0</v>
      </c>
      <c r="CZ85" s="3">
        <v>465995</v>
      </c>
      <c r="DA85" s="3">
        <v>9978.8700000000008</v>
      </c>
      <c r="DB85" s="3">
        <v>1.8301000000000001</v>
      </c>
      <c r="DC85" s="21">
        <f ca="1">_xll.IMDP("BND",CT85,DC8,CT3)</f>
        <v>20280526</v>
      </c>
      <c r="DD85" s="23">
        <f ca="1">_xll.IMDP("BND",CT85,DD8,CT3)</f>
        <v>4.298</v>
      </c>
      <c r="DE85" s="2"/>
      <c r="DO85" s="21" t="str">
        <f ca="1">_xll.IMDP("BND",DF85,DO8,DF3)</f>
        <v>입력오류</v>
      </c>
      <c r="DP85" s="23" t="str">
        <f ca="1">_xll.IMDP("BND",DF85,DP8,DF3)</f>
        <v>입력오류</v>
      </c>
      <c r="DQ85" s="2">
        <v>46198</v>
      </c>
      <c r="DR85" s="3" t="s">
        <v>1374</v>
      </c>
      <c r="DS85" s="3" t="s">
        <v>704</v>
      </c>
      <c r="DT85" s="3" t="s">
        <v>1375</v>
      </c>
      <c r="DU85" s="3">
        <v>0</v>
      </c>
      <c r="DV85" s="3">
        <v>0.45</v>
      </c>
      <c r="DW85" s="3">
        <v>0</v>
      </c>
      <c r="DX85" s="3">
        <v>1039986</v>
      </c>
      <c r="EA85" s="21" t="str">
        <f ca="1">_xll.IMDP("BND",DR85,EA8,DR3)</f>
        <v/>
      </c>
      <c r="EB85" s="23" t="str">
        <f ca="1">_xll.IMDP("BND",DR85,EB8,DR3)</f>
        <v/>
      </c>
    </row>
    <row r="86" spans="1:132" ht="13.5" customHeight="1" x14ac:dyDescent="0.3">
      <c r="A86" s="2">
        <v>46198</v>
      </c>
      <c r="B86" s="3" t="s">
        <v>881</v>
      </c>
      <c r="C86" s="3" t="s">
        <v>877</v>
      </c>
      <c r="D86" s="3" t="s">
        <v>882</v>
      </c>
      <c r="E86" s="3">
        <v>0</v>
      </c>
      <c r="F86" s="3">
        <v>0.24</v>
      </c>
      <c r="G86" s="3">
        <v>0</v>
      </c>
      <c r="H86" s="3">
        <v>268011</v>
      </c>
      <c r="I86" s="3">
        <v>10093.48</v>
      </c>
      <c r="J86" s="3">
        <v>0.54559999999999997</v>
      </c>
      <c r="K86" s="21">
        <f ca="1">_xll.IMDP("BND",B86,K8,B3)</f>
        <v>20270115</v>
      </c>
      <c r="L86" s="23">
        <f ca="1">_xll.IMDP("BND",B86,L8,B3)</f>
        <v>3.3660000000000001</v>
      </c>
      <c r="M86" s="2"/>
      <c r="W86" s="21" t="str">
        <f ca="1">_xll.IMDP("BND",N86,W8,N3)</f>
        <v>입력오류</v>
      </c>
      <c r="X86" s="23" t="str">
        <f ca="1">_xll.IMDP("BND",N86,X8,N3)</f>
        <v>입력오류</v>
      </c>
      <c r="Y86" s="2"/>
      <c r="AI86" s="21" t="str">
        <f ca="1">_xll.IMDP("BND",Z86,AI8,Z3)</f>
        <v>입력오류</v>
      </c>
      <c r="AJ86" s="23" t="str">
        <f ca="1">_xll.IMDP("BND",Z86,AJ8,Z3)</f>
        <v>입력오류</v>
      </c>
      <c r="AK86" s="2"/>
      <c r="AU86" s="21" t="str">
        <f ca="1">_xll.IMDP("BND",AL86,AU8,AL3)</f>
        <v>입력오류</v>
      </c>
      <c r="AV86" s="23" t="str">
        <f ca="1">_xll.IMDP("BND",AL86,AV8,AL3)</f>
        <v>입력오류</v>
      </c>
      <c r="AW86" s="2"/>
      <c r="BG86" s="21" t="str">
        <f ca="1">_xll.IMDP("BND",AX86,BG8,AX3)</f>
        <v>입력오류</v>
      </c>
      <c r="BH86" s="23" t="str">
        <f ca="1">_xll.IMDP("BND",AX86,BH8,AX3)</f>
        <v>입력오류</v>
      </c>
      <c r="BI86" s="2">
        <v>46198</v>
      </c>
      <c r="BJ86" s="3" t="s">
        <v>538</v>
      </c>
      <c r="BK86" s="3" t="s">
        <v>539</v>
      </c>
      <c r="BL86" s="3" t="s">
        <v>540</v>
      </c>
      <c r="BM86" s="3">
        <v>0</v>
      </c>
      <c r="BN86" s="3">
        <v>0.43</v>
      </c>
      <c r="BO86" s="3">
        <v>0</v>
      </c>
      <c r="BP86" s="3">
        <v>538549</v>
      </c>
      <c r="BQ86" s="3">
        <v>10032.34</v>
      </c>
      <c r="BR86" s="3">
        <v>1.506</v>
      </c>
      <c r="BS86" s="21">
        <f ca="1">_xll.IMDP("BND",BJ86,BS8,BJ3)</f>
        <v>20280119</v>
      </c>
      <c r="BT86" s="23">
        <f ca="1">_xll.IMDP("BND",BJ86,BT8,BJ3)</f>
        <v>3.919</v>
      </c>
      <c r="BU86" s="2">
        <v>46198</v>
      </c>
      <c r="BV86" s="3" t="s">
        <v>1143</v>
      </c>
      <c r="BW86" s="3" t="s">
        <v>374</v>
      </c>
      <c r="BX86" s="3" t="s">
        <v>1144</v>
      </c>
      <c r="BY86" s="3">
        <v>0</v>
      </c>
      <c r="BZ86" s="3">
        <v>0.37</v>
      </c>
      <c r="CA86" s="3">
        <v>0</v>
      </c>
      <c r="CB86" s="3">
        <v>491537</v>
      </c>
      <c r="CC86" s="3">
        <v>10127.64</v>
      </c>
      <c r="CD86" s="3">
        <v>0.54590000000000005</v>
      </c>
      <c r="CE86" s="21">
        <f ca="1">_xll.IMDP("BND",BV86,CE8,BV3)</f>
        <v>20270115</v>
      </c>
      <c r="CF86" s="23">
        <f ca="1">_xll.IMDP("BND",BV86,CF8,BV3)</f>
        <v>3.452</v>
      </c>
      <c r="CG86" s="2"/>
      <c r="CQ86" s="21" t="str">
        <f ca="1">_xll.IMDP("BND",CH86,CQ8,CH3)</f>
        <v>입력오류</v>
      </c>
      <c r="CR86" s="23" t="str">
        <f ca="1">_xll.IMDP("BND",CH86,CR8,CH3)</f>
        <v>입력오류</v>
      </c>
      <c r="CS86" s="2">
        <v>46198</v>
      </c>
      <c r="CT86" s="3" t="s">
        <v>327</v>
      </c>
      <c r="CU86" s="3" t="s">
        <v>328</v>
      </c>
      <c r="CV86" s="3" t="s">
        <v>329</v>
      </c>
      <c r="CW86" s="3">
        <v>0</v>
      </c>
      <c r="CX86" s="3">
        <v>0.32</v>
      </c>
      <c r="CY86" s="3">
        <v>0</v>
      </c>
      <c r="CZ86" s="3">
        <v>465802</v>
      </c>
      <c r="DA86" s="3">
        <v>9975.2900000000009</v>
      </c>
      <c r="DB86" s="3">
        <v>0.95750000000000002</v>
      </c>
      <c r="DC86" s="21">
        <f ca="1">_xll.IMDP("BND",CT86,DC8,CT3)</f>
        <v>20270617</v>
      </c>
      <c r="DD86" s="23">
        <f ca="1">_xll.IMDP("BND",CT86,DD8,CT3)</f>
        <v>3.7370000000000001</v>
      </c>
      <c r="DE86" s="2"/>
      <c r="DO86" s="21" t="str">
        <f ca="1">_xll.IMDP("BND",DF86,DO8,DF3)</f>
        <v>입력오류</v>
      </c>
      <c r="DP86" s="23" t="str">
        <f ca="1">_xll.IMDP("BND",DF86,DP8,DF3)</f>
        <v>입력오류</v>
      </c>
      <c r="DQ86" s="2">
        <v>46198</v>
      </c>
      <c r="DR86" s="3" t="s">
        <v>1376</v>
      </c>
      <c r="DS86" s="3" t="s">
        <v>246</v>
      </c>
      <c r="DT86" s="3" t="s">
        <v>1377</v>
      </c>
      <c r="DU86" s="3">
        <v>0</v>
      </c>
      <c r="DV86" s="3">
        <v>0.45</v>
      </c>
      <c r="DW86" s="3">
        <v>0</v>
      </c>
      <c r="DX86" s="3">
        <v>1038877</v>
      </c>
      <c r="DY86" s="3">
        <v>9975.92</v>
      </c>
      <c r="DZ86" s="3">
        <v>0.8639</v>
      </c>
      <c r="EA86" s="21">
        <f ca="1">_xll.IMDP("BND",DR86,EA8,DR3)</f>
        <v>20270514</v>
      </c>
      <c r="EB86" s="23">
        <f ca="1">_xll.IMDP("BND",DR86,EB8,DR3)</f>
        <v>4.3109999999999999</v>
      </c>
    </row>
    <row r="87" spans="1:132" ht="13.5" customHeight="1" x14ac:dyDescent="0.3">
      <c r="A87" s="2">
        <v>46198</v>
      </c>
      <c r="B87" s="3" t="s">
        <v>885</v>
      </c>
      <c r="C87" s="3" t="s">
        <v>886</v>
      </c>
      <c r="D87" s="3" t="s">
        <v>887</v>
      </c>
      <c r="E87" s="3">
        <v>0</v>
      </c>
      <c r="F87" s="3">
        <v>0.24</v>
      </c>
      <c r="G87" s="3">
        <v>0</v>
      </c>
      <c r="H87" s="3">
        <v>267805</v>
      </c>
      <c r="I87" s="3">
        <v>10085.69</v>
      </c>
      <c r="J87" s="3">
        <v>0.56989999999999996</v>
      </c>
      <c r="K87" s="21">
        <f ca="1">_xll.IMDP("BND",B87,K8,B3)</f>
        <v>20270124</v>
      </c>
      <c r="L87" s="23">
        <f ca="1">_xll.IMDP("BND",B87,L8,B3)</f>
        <v>3.419</v>
      </c>
      <c r="M87" s="2"/>
      <c r="W87" s="21" t="str">
        <f ca="1">_xll.IMDP("BND",N87,W8,N3)</f>
        <v>입력오류</v>
      </c>
      <c r="X87" s="23" t="str">
        <f ca="1">_xll.IMDP("BND",N87,X8,N3)</f>
        <v>입력오류</v>
      </c>
      <c r="Y87" s="2"/>
      <c r="AI87" s="21" t="str">
        <f ca="1">_xll.IMDP("BND",Z87,AI8,Z3)</f>
        <v>입력오류</v>
      </c>
      <c r="AJ87" s="23" t="str">
        <f ca="1">_xll.IMDP("BND",Z87,AJ8,Z3)</f>
        <v>입력오류</v>
      </c>
      <c r="AK87" s="2"/>
      <c r="AU87" s="21" t="str">
        <f ca="1">_xll.IMDP("BND",AL87,AU8,AL3)</f>
        <v>입력오류</v>
      </c>
      <c r="AV87" s="23" t="str">
        <f ca="1">_xll.IMDP("BND",AL87,AV8,AL3)</f>
        <v>입력오류</v>
      </c>
      <c r="AW87" s="2"/>
      <c r="BG87" s="21" t="str">
        <f ca="1">_xll.IMDP("BND",AX87,BG8,AX3)</f>
        <v>입력오류</v>
      </c>
      <c r="BH87" s="23" t="str">
        <f ca="1">_xll.IMDP("BND",AX87,BH8,AX3)</f>
        <v>입력오류</v>
      </c>
      <c r="BI87" s="2">
        <v>46198</v>
      </c>
      <c r="BJ87" s="3" t="s">
        <v>541</v>
      </c>
      <c r="BK87" s="3" t="s">
        <v>542</v>
      </c>
      <c r="BL87" s="3" t="s">
        <v>543</v>
      </c>
      <c r="BM87" s="3">
        <v>0</v>
      </c>
      <c r="BN87" s="3">
        <v>0.42</v>
      </c>
      <c r="BO87" s="3">
        <v>0</v>
      </c>
      <c r="BP87" s="3">
        <v>530192</v>
      </c>
      <c r="BQ87" s="3">
        <v>9219.0400000000009</v>
      </c>
      <c r="BR87" s="3">
        <v>4.8612000000000002</v>
      </c>
      <c r="BS87" s="21">
        <f ca="1">_xll.IMDP("BND",BJ87,BS8,BJ3)</f>
        <v>20311021</v>
      </c>
      <c r="BT87" s="23">
        <f ca="1">_xll.IMDP("BND",BJ87,BT8,BJ3)</f>
        <v>4.3449999999999998</v>
      </c>
      <c r="BU87" s="2">
        <v>46198</v>
      </c>
      <c r="BV87" s="3" t="s">
        <v>1145</v>
      </c>
      <c r="BW87" s="3" t="s">
        <v>1146</v>
      </c>
      <c r="BX87" s="3" t="s">
        <v>1147</v>
      </c>
      <c r="BY87" s="3">
        <v>0</v>
      </c>
      <c r="BZ87" s="3">
        <v>0.37</v>
      </c>
      <c r="CA87" s="3">
        <v>0</v>
      </c>
      <c r="CB87" s="3">
        <v>489696</v>
      </c>
      <c r="CC87" s="3">
        <v>10089.82</v>
      </c>
      <c r="CD87" s="3">
        <v>1.72E-2</v>
      </c>
      <c r="CE87" s="21">
        <f ca="1">_xll.IMDP("BND",BV87,CE8,BV3)</f>
        <v>20260701</v>
      </c>
      <c r="CF87" s="23">
        <f ca="1">_xll.IMDP("BND",BV87,CF8,BV3)</f>
        <v>3.2010000000000001</v>
      </c>
      <c r="CG87" s="2"/>
      <c r="CQ87" s="21" t="str">
        <f ca="1">_xll.IMDP("BND",CH87,CQ8,CH3)</f>
        <v>입력오류</v>
      </c>
      <c r="CR87" s="23" t="str">
        <f ca="1">_xll.IMDP("BND",CH87,CR8,CH3)</f>
        <v>입력오류</v>
      </c>
      <c r="CS87" s="2">
        <v>46198</v>
      </c>
      <c r="CT87" s="3" t="s">
        <v>330</v>
      </c>
      <c r="CU87" s="3" t="s">
        <v>331</v>
      </c>
      <c r="CV87" s="3" t="s">
        <v>332</v>
      </c>
      <c r="CW87" s="3">
        <v>0</v>
      </c>
      <c r="CX87" s="3">
        <v>0.32</v>
      </c>
      <c r="CY87" s="3">
        <v>0</v>
      </c>
      <c r="CZ87" s="3">
        <v>465511</v>
      </c>
      <c r="DA87" s="3">
        <v>9968.08</v>
      </c>
      <c r="DB87" s="3">
        <v>4.4455999999999998</v>
      </c>
      <c r="DC87" s="21">
        <f ca="1">_xll.IMDP("BND",CT87,DC8,CT3)</f>
        <v>20310616</v>
      </c>
      <c r="DD87" s="23">
        <f ca="1">_xll.IMDP("BND",CT87,DD8,CT3)</f>
        <v>4.4580000000000002</v>
      </c>
      <c r="DE87" s="2"/>
      <c r="DO87" s="21" t="str">
        <f ca="1">_xll.IMDP("BND",DF87,DO8,DF3)</f>
        <v>입력오류</v>
      </c>
      <c r="DP87" s="23" t="str">
        <f ca="1">_xll.IMDP("BND",DF87,DP8,DF3)</f>
        <v>입력오류</v>
      </c>
      <c r="DQ87" s="2">
        <v>46198</v>
      </c>
      <c r="DR87" s="3" t="s">
        <v>1378</v>
      </c>
      <c r="DS87" s="3" t="s">
        <v>704</v>
      </c>
      <c r="DT87" s="3" t="s">
        <v>1379</v>
      </c>
      <c r="DU87" s="3">
        <v>0</v>
      </c>
      <c r="DV87" s="3">
        <v>0.45</v>
      </c>
      <c r="DW87" s="3">
        <v>0</v>
      </c>
      <c r="DX87" s="3">
        <v>1026158</v>
      </c>
      <c r="EA87" s="21" t="str">
        <f ca="1">_xll.IMDP("BND",DR87,EA8,DR3)</f>
        <v/>
      </c>
      <c r="EB87" s="23" t="str">
        <f ca="1">_xll.IMDP("BND",DR87,EB8,DR3)</f>
        <v/>
      </c>
    </row>
    <row r="88" spans="1:132" ht="13.5" customHeight="1" x14ac:dyDescent="0.3">
      <c r="A88" s="2">
        <v>46198</v>
      </c>
      <c r="B88" s="3" t="s">
        <v>891</v>
      </c>
      <c r="C88" s="3" t="s">
        <v>542</v>
      </c>
      <c r="D88" s="3" t="s">
        <v>892</v>
      </c>
      <c r="E88" s="3">
        <v>0</v>
      </c>
      <c r="F88" s="3">
        <v>0.24</v>
      </c>
      <c r="G88" s="3">
        <v>0</v>
      </c>
      <c r="H88" s="3">
        <v>267796</v>
      </c>
      <c r="I88" s="3">
        <v>10085.290000000001</v>
      </c>
      <c r="J88" s="3">
        <v>3.8899999999999997E-2</v>
      </c>
      <c r="K88" s="21">
        <f ca="1">_xll.IMDP("BND",B88,K8,B3)</f>
        <v>20260709</v>
      </c>
      <c r="L88" s="23">
        <f ca="1">_xll.IMDP("BND",B88,L8,B3)</f>
        <v>2.8719999999999999</v>
      </c>
      <c r="M88" s="2"/>
      <c r="W88" s="21" t="str">
        <f ca="1">_xll.IMDP("BND",N88,W8,N3)</f>
        <v>입력오류</v>
      </c>
      <c r="X88" s="23" t="str">
        <f ca="1">_xll.IMDP("BND",N88,X8,N3)</f>
        <v>입력오류</v>
      </c>
      <c r="Y88" s="2"/>
      <c r="AI88" s="21" t="str">
        <f ca="1">_xll.IMDP("BND",Z88,AI8,Z3)</f>
        <v>입력오류</v>
      </c>
      <c r="AJ88" s="23" t="str">
        <f ca="1">_xll.IMDP("BND",Z88,AJ8,Z3)</f>
        <v>입력오류</v>
      </c>
      <c r="AK88" s="2"/>
      <c r="AU88" s="21" t="str">
        <f ca="1">_xll.IMDP("BND",AL88,AU8,AL3)</f>
        <v>입력오류</v>
      </c>
      <c r="AV88" s="23" t="str">
        <f ca="1">_xll.IMDP("BND",AL88,AV8,AL3)</f>
        <v>입력오류</v>
      </c>
      <c r="AW88" s="2"/>
      <c r="BG88" s="21" t="str">
        <f ca="1">_xll.IMDP("BND",AX88,BG8,AX3)</f>
        <v>입력오류</v>
      </c>
      <c r="BH88" s="23" t="str">
        <f ca="1">_xll.IMDP("BND",AX88,BH8,AX3)</f>
        <v>입력오류</v>
      </c>
      <c r="BI88" s="2">
        <v>46198</v>
      </c>
      <c r="BJ88" s="3" t="s">
        <v>544</v>
      </c>
      <c r="BK88" s="3" t="s">
        <v>545</v>
      </c>
      <c r="BL88" s="3" t="s">
        <v>546</v>
      </c>
      <c r="BM88" s="3">
        <v>0</v>
      </c>
      <c r="BN88" s="3">
        <v>0.4</v>
      </c>
      <c r="BO88" s="3">
        <v>0</v>
      </c>
      <c r="BP88" s="3">
        <v>503397</v>
      </c>
      <c r="BQ88" s="3">
        <v>9380.69</v>
      </c>
      <c r="BR88" s="3">
        <v>7.9042000000000003</v>
      </c>
      <c r="BS88" s="21">
        <f ca="1">_xll.IMDP("BND",BJ88,BS8,BJ3)</f>
        <v>20351125</v>
      </c>
      <c r="BT88" s="23">
        <f ca="1">_xll.IMDP("BND",BJ88,BT8,BJ3)</f>
        <v>4.3239999999999998</v>
      </c>
      <c r="BU88" s="2">
        <v>46198</v>
      </c>
      <c r="BV88" s="3" t="s">
        <v>1148</v>
      </c>
      <c r="BW88" s="3" t="s">
        <v>1149</v>
      </c>
      <c r="BX88" s="3" t="s">
        <v>1150</v>
      </c>
      <c r="BY88" s="3">
        <v>0</v>
      </c>
      <c r="BZ88" s="3">
        <v>0.37</v>
      </c>
      <c r="CA88" s="3">
        <v>0</v>
      </c>
      <c r="CB88" s="3">
        <v>488645</v>
      </c>
      <c r="CC88" s="3">
        <v>10068.06</v>
      </c>
      <c r="CD88" s="3">
        <v>0.17380000000000001</v>
      </c>
      <c r="CE88" s="21">
        <f ca="1">_xll.IMDP("BND",BV88,CE8,BV3)</f>
        <v>20260828</v>
      </c>
      <c r="CF88" s="23">
        <f ca="1">_xll.IMDP("BND",BV88,CF8,BV3)</f>
        <v>3.202</v>
      </c>
      <c r="CG88" s="2"/>
      <c r="CQ88" s="21" t="str">
        <f ca="1">_xll.IMDP("BND",CH88,CQ8,CH3)</f>
        <v>입력오류</v>
      </c>
      <c r="CR88" s="23" t="str">
        <f ca="1">_xll.IMDP("BND",CH88,CR8,CH3)</f>
        <v>입력오류</v>
      </c>
      <c r="CS88" s="2">
        <v>46198</v>
      </c>
      <c r="CT88" s="3" t="s">
        <v>333</v>
      </c>
      <c r="CU88" s="3" t="s">
        <v>310</v>
      </c>
      <c r="CV88" s="3" t="s">
        <v>334</v>
      </c>
      <c r="CW88" s="3">
        <v>0</v>
      </c>
      <c r="CX88" s="3">
        <v>0.32</v>
      </c>
      <c r="CY88" s="3">
        <v>0</v>
      </c>
      <c r="CZ88" s="3">
        <v>465209</v>
      </c>
      <c r="DA88" s="3">
        <v>9962.5400000000009</v>
      </c>
      <c r="DB88" s="3">
        <v>2.3304</v>
      </c>
      <c r="DC88" s="21">
        <f ca="1">_xll.IMDP("BND",CT88,DC8,CT3)</f>
        <v>20281213</v>
      </c>
      <c r="DD88" s="23">
        <f ca="1">_xll.IMDP("BND",CT88,DD8,CT3)</f>
        <v>4.0250000000000004</v>
      </c>
      <c r="DE88" s="2"/>
      <c r="DO88" s="21" t="str">
        <f ca="1">_xll.IMDP("BND",DF88,DO8,DF3)</f>
        <v>입력오류</v>
      </c>
      <c r="DP88" s="23" t="str">
        <f ca="1">_xll.IMDP("BND",DF88,DP8,DF3)</f>
        <v>입력오류</v>
      </c>
      <c r="DQ88" s="2">
        <v>46198</v>
      </c>
      <c r="DR88" s="3" t="s">
        <v>1380</v>
      </c>
      <c r="DS88" s="3" t="s">
        <v>704</v>
      </c>
      <c r="DT88" s="3" t="s">
        <v>1381</v>
      </c>
      <c r="DU88" s="3">
        <v>0</v>
      </c>
      <c r="DV88" s="3">
        <v>0.45</v>
      </c>
      <c r="DW88" s="3">
        <v>0</v>
      </c>
      <c r="DX88" s="3">
        <v>1026158</v>
      </c>
      <c r="EA88" s="21" t="str">
        <f ca="1">_xll.IMDP("BND",DR88,EA8,DR3)</f>
        <v/>
      </c>
      <c r="EB88" s="23" t="str">
        <f ca="1">_xll.IMDP("BND",DR88,EB8,DR3)</f>
        <v/>
      </c>
    </row>
    <row r="89" spans="1:132" ht="13.5" customHeight="1" x14ac:dyDescent="0.3">
      <c r="A89" s="2">
        <v>46198</v>
      </c>
      <c r="B89" s="3" t="s">
        <v>883</v>
      </c>
      <c r="C89" s="3" t="s">
        <v>92</v>
      </c>
      <c r="D89" s="3" t="s">
        <v>884</v>
      </c>
      <c r="E89" s="3">
        <v>0</v>
      </c>
      <c r="F89" s="3">
        <v>0.24</v>
      </c>
      <c r="G89" s="3">
        <v>0</v>
      </c>
      <c r="H89" s="3">
        <v>267749</v>
      </c>
      <c r="I89" s="3">
        <v>10083.450000000001</v>
      </c>
      <c r="J89" s="3">
        <v>2.2578</v>
      </c>
      <c r="K89" s="21">
        <f ca="1">_xll.IMDP("BND",B89,K8,B3)</f>
        <v>20281116</v>
      </c>
      <c r="L89" s="23">
        <f ca="1">_xll.IMDP("BND",B89,L8,B3)</f>
        <v>4.0339999999999998</v>
      </c>
      <c r="M89" s="2"/>
      <c r="W89" s="21" t="str">
        <f ca="1">_xll.IMDP("BND",N89,W8,N3)</f>
        <v>입력오류</v>
      </c>
      <c r="X89" s="23" t="str">
        <f ca="1">_xll.IMDP("BND",N89,X8,N3)</f>
        <v>입력오류</v>
      </c>
      <c r="Y89" s="2"/>
      <c r="AI89" s="21" t="str">
        <f ca="1">_xll.IMDP("BND",Z89,AI8,Z3)</f>
        <v>입력오류</v>
      </c>
      <c r="AJ89" s="23" t="str">
        <f ca="1">_xll.IMDP("BND",Z89,AJ8,Z3)</f>
        <v>입력오류</v>
      </c>
      <c r="AK89" s="2"/>
      <c r="AU89" s="21" t="str">
        <f ca="1">_xll.IMDP("BND",AL89,AU8,AL3)</f>
        <v>입력오류</v>
      </c>
      <c r="AV89" s="23" t="str">
        <f ca="1">_xll.IMDP("BND",AL89,AV8,AL3)</f>
        <v>입력오류</v>
      </c>
      <c r="AW89" s="2"/>
      <c r="BG89" s="21" t="str">
        <f ca="1">_xll.IMDP("BND",AX89,BG8,AX3)</f>
        <v>입력오류</v>
      </c>
      <c r="BH89" s="23" t="str">
        <f ca="1">_xll.IMDP("BND",AX89,BH8,AX3)</f>
        <v>입력오류</v>
      </c>
      <c r="BI89" s="2">
        <v>46198</v>
      </c>
      <c r="BJ89" s="3" t="s">
        <v>547</v>
      </c>
      <c r="BK89" s="3" t="s">
        <v>548</v>
      </c>
      <c r="BL89" s="3" t="s">
        <v>549</v>
      </c>
      <c r="BM89" s="3">
        <v>0</v>
      </c>
      <c r="BN89" s="3">
        <v>0.39</v>
      </c>
      <c r="BO89" s="3">
        <v>0</v>
      </c>
      <c r="BP89" s="3">
        <v>493682</v>
      </c>
      <c r="BQ89" s="3">
        <v>9192.9500000000007</v>
      </c>
      <c r="BR89" s="3">
        <v>3.4857</v>
      </c>
      <c r="BS89" s="21">
        <f ca="1">_xll.IMDP("BND",BJ89,BS8,BJ3)</f>
        <v>20300219</v>
      </c>
      <c r="BT89" s="23">
        <f ca="1">_xll.IMDP("BND",BJ89,BT8,BJ3)</f>
        <v>4.3689999999999998</v>
      </c>
      <c r="BU89" s="2">
        <v>46198</v>
      </c>
      <c r="BV89" s="3" t="s">
        <v>1151</v>
      </c>
      <c r="BW89" s="3" t="s">
        <v>341</v>
      </c>
      <c r="BX89" s="3" t="s">
        <v>1152</v>
      </c>
      <c r="BY89" s="3">
        <v>0</v>
      </c>
      <c r="BZ89" s="3">
        <v>0.36</v>
      </c>
      <c r="CA89" s="3">
        <v>0</v>
      </c>
      <c r="CB89" s="3">
        <v>485805</v>
      </c>
      <c r="CC89" s="3">
        <v>10009.67</v>
      </c>
      <c r="CD89" s="3">
        <v>0.21279999999999999</v>
      </c>
      <c r="CE89" s="21">
        <f ca="1">_xll.IMDP("BND",BV89,CE8,BV3)</f>
        <v>20260911</v>
      </c>
      <c r="CF89" s="23">
        <f ca="1">_xll.IMDP("BND",BV89,CF8,BV3)</f>
        <v>3.32</v>
      </c>
      <c r="CG89" s="2"/>
      <c r="CQ89" s="21" t="str">
        <f ca="1">_xll.IMDP("BND",CH89,CQ8,CH3)</f>
        <v>입력오류</v>
      </c>
      <c r="CR89" s="23" t="str">
        <f ca="1">_xll.IMDP("BND",CH89,CR8,CH3)</f>
        <v>입력오류</v>
      </c>
      <c r="CS89" s="2">
        <v>46198</v>
      </c>
      <c r="CT89" s="3" t="s">
        <v>335</v>
      </c>
      <c r="CU89" s="3" t="s">
        <v>176</v>
      </c>
      <c r="CV89" s="3" t="s">
        <v>336</v>
      </c>
      <c r="CW89" s="3">
        <v>0</v>
      </c>
      <c r="CX89" s="3">
        <v>0.32</v>
      </c>
      <c r="CY89" s="3">
        <v>0</v>
      </c>
      <c r="CZ89" s="3">
        <v>465185</v>
      </c>
      <c r="DA89" s="3">
        <v>9962.1</v>
      </c>
      <c r="DB89" s="3">
        <v>1.3173999999999999</v>
      </c>
      <c r="DC89" s="21">
        <f ca="1">_xll.IMDP("BND",CT89,DC8,CT3)</f>
        <v>20271105</v>
      </c>
      <c r="DD89" s="23">
        <f ca="1">_xll.IMDP("BND",CT89,DD8,CT3)</f>
        <v>4.1349999999999998</v>
      </c>
      <c r="DE89" s="2"/>
      <c r="DO89" s="21" t="str">
        <f ca="1">_xll.IMDP("BND",DF89,DO8,DF3)</f>
        <v>입력오류</v>
      </c>
      <c r="DP89" s="23" t="str">
        <f ca="1">_xll.IMDP("BND",DF89,DP8,DF3)</f>
        <v>입력오류</v>
      </c>
      <c r="DQ89" s="2">
        <v>46198</v>
      </c>
      <c r="DR89" s="3" t="s">
        <v>7</v>
      </c>
      <c r="DS89" s="3" t="s">
        <v>7</v>
      </c>
      <c r="DT89" s="3" t="s">
        <v>46</v>
      </c>
      <c r="DV89" s="3">
        <v>20.63</v>
      </c>
      <c r="DX89" s="3">
        <v>-47516723</v>
      </c>
      <c r="EA89" s="21" t="str">
        <f ca="1">_xll.IMDP("BND",DR89,EA8,DR3)</f>
        <v/>
      </c>
      <c r="EB89" s="23" t="str">
        <f ca="1">_xll.IMDP("BND",DR89,EB8,DR3)</f>
        <v/>
      </c>
    </row>
    <row r="90" spans="1:132" ht="13.5" customHeight="1" x14ac:dyDescent="0.3">
      <c r="A90" s="2">
        <v>46198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267707</v>
      </c>
      <c r="I90" s="3">
        <v>10081.6</v>
      </c>
      <c r="J90" s="3">
        <v>1.5682</v>
      </c>
      <c r="K90" s="21">
        <f ca="1">_xll.IMDP("BND",B90,K8,B3)</f>
        <v>20280214</v>
      </c>
      <c r="L90" s="23">
        <f ca="1">_xll.IMDP("BND",B90,L8,B3)</f>
        <v>4.0549999999999997</v>
      </c>
      <c r="M90" s="2"/>
      <c r="W90" s="21" t="str">
        <f ca="1">_xll.IMDP("BND",N90,W8,N3)</f>
        <v>입력오류</v>
      </c>
      <c r="X90" s="23" t="str">
        <f ca="1">_xll.IMDP("BND",N90,X8,N3)</f>
        <v>입력오류</v>
      </c>
      <c r="Y90" s="2"/>
      <c r="AI90" s="21" t="str">
        <f ca="1">_xll.IMDP("BND",Z90,AI8,Z3)</f>
        <v>입력오류</v>
      </c>
      <c r="AJ90" s="23" t="str">
        <f ca="1">_xll.IMDP("BND",Z90,AJ8,Z3)</f>
        <v>입력오류</v>
      </c>
      <c r="AK90" s="2"/>
      <c r="AU90" s="21" t="str">
        <f ca="1">_xll.IMDP("BND",AL90,AU8,AL3)</f>
        <v>입력오류</v>
      </c>
      <c r="AV90" s="23" t="str">
        <f ca="1">_xll.IMDP("BND",AL90,AV8,AL3)</f>
        <v>입력오류</v>
      </c>
      <c r="AW90" s="2"/>
      <c r="BG90" s="21" t="str">
        <f ca="1">_xll.IMDP("BND",AX90,BG8,AX3)</f>
        <v>입력오류</v>
      </c>
      <c r="BH90" s="23" t="str">
        <f ca="1">_xll.IMDP("BND",AX90,BH8,AX3)</f>
        <v>입력오류</v>
      </c>
      <c r="BI90" s="2">
        <v>46198</v>
      </c>
      <c r="BJ90" s="3" t="s">
        <v>550</v>
      </c>
      <c r="BK90" s="3" t="s">
        <v>73</v>
      </c>
      <c r="BL90" s="3" t="s">
        <v>551</v>
      </c>
      <c r="BM90" s="3">
        <v>0</v>
      </c>
      <c r="BN90" s="3">
        <v>0.39</v>
      </c>
      <c r="BO90" s="3">
        <v>0</v>
      </c>
      <c r="BP90" s="3">
        <v>488949</v>
      </c>
      <c r="BQ90" s="3">
        <v>9798.0300000000007</v>
      </c>
      <c r="BR90" s="3">
        <v>2.5910000000000002</v>
      </c>
      <c r="BS90" s="21">
        <f ca="1">_xll.IMDP("BND",BJ90,BS8,BJ3)</f>
        <v>20290316</v>
      </c>
      <c r="BT90" s="23">
        <f ca="1">_xll.IMDP("BND",BJ90,BT8,BJ3)</f>
        <v>4.0570000000000004</v>
      </c>
      <c r="BU90" s="2">
        <v>46198</v>
      </c>
      <c r="BV90" s="3" t="s">
        <v>1153</v>
      </c>
      <c r="BW90" s="3" t="s">
        <v>567</v>
      </c>
      <c r="BX90" s="3" t="s">
        <v>568</v>
      </c>
      <c r="BY90" s="3">
        <v>0</v>
      </c>
      <c r="BZ90" s="3">
        <v>0.35</v>
      </c>
      <c r="CA90" s="3">
        <v>0</v>
      </c>
      <c r="CB90" s="3">
        <v>466312</v>
      </c>
      <c r="CE90" s="21" t="str">
        <f ca="1">_xll.IMDP("BND",BV90,CE8,BV3)</f>
        <v/>
      </c>
      <c r="CF90" s="23" t="str">
        <f ca="1">_xll.IMDP("BND",BV90,CF8,BV3)</f>
        <v/>
      </c>
      <c r="CG90" s="2"/>
      <c r="CQ90" s="21" t="str">
        <f ca="1">_xll.IMDP("BND",CH90,CQ8,CH3)</f>
        <v>입력오류</v>
      </c>
      <c r="CR90" s="23" t="str">
        <f ca="1">_xll.IMDP("BND",CH90,CR8,CH3)</f>
        <v>입력오류</v>
      </c>
      <c r="CS90" s="2">
        <v>46198</v>
      </c>
      <c r="CT90" s="3" t="s">
        <v>340</v>
      </c>
      <c r="CU90" s="3" t="s">
        <v>341</v>
      </c>
      <c r="CV90" s="3" t="s">
        <v>342</v>
      </c>
      <c r="CW90" s="3">
        <v>0</v>
      </c>
      <c r="CX90" s="3">
        <v>0.32</v>
      </c>
      <c r="CY90" s="3">
        <v>0</v>
      </c>
      <c r="CZ90" s="3">
        <v>465109</v>
      </c>
      <c r="DA90" s="3">
        <v>9960.09</v>
      </c>
      <c r="DB90" s="3">
        <v>1.1772</v>
      </c>
      <c r="DC90" s="21">
        <f ca="1">_xll.IMDP("BND",CT90,DC8,CT3)</f>
        <v>20270910</v>
      </c>
      <c r="DD90" s="23">
        <f ca="1">_xll.IMDP("BND",CT90,DD8,CT3)</f>
        <v>4.1440000000000001</v>
      </c>
      <c r="DE90" s="2"/>
      <c r="DO90" s="21" t="str">
        <f ca="1">_xll.IMDP("BND",DF90,DO8,DF3)</f>
        <v>입력오류</v>
      </c>
      <c r="DP90" s="23" t="str">
        <f ca="1">_xll.IMDP("BND",DF90,DP8,DF3)</f>
        <v>입력오류</v>
      </c>
      <c r="DQ90" s="2"/>
      <c r="EA90" s="21" t="str">
        <f ca="1">_xll.IMDP("BND",DR90,EA8,DR3)</f>
        <v>입력오류</v>
      </c>
      <c r="EB90" s="23" t="str">
        <f ca="1">_xll.IMDP("BND",DR90,EB8,DR3)</f>
        <v>입력오류</v>
      </c>
    </row>
    <row r="91" spans="1:132" ht="13.5" customHeight="1" x14ac:dyDescent="0.3">
      <c r="A91" s="2">
        <v>46198</v>
      </c>
      <c r="B91" s="3" t="s">
        <v>888</v>
      </c>
      <c r="C91" s="3" t="s">
        <v>889</v>
      </c>
      <c r="D91" s="3" t="s">
        <v>890</v>
      </c>
      <c r="E91" s="3">
        <v>0</v>
      </c>
      <c r="F91" s="3">
        <v>0.24</v>
      </c>
      <c r="G91" s="3">
        <v>0</v>
      </c>
      <c r="H91" s="3">
        <v>267688</v>
      </c>
      <c r="I91" s="3">
        <v>10082.81</v>
      </c>
      <c r="J91" s="3">
        <v>4.9542000000000002</v>
      </c>
      <c r="K91" s="21">
        <f ca="1">_xll.IMDP("BND",B91,K8,B3)</f>
        <v>20320213</v>
      </c>
      <c r="L91" s="23">
        <f ca="1">_xll.IMDP("BND",B91,L8,B3)</f>
        <v>4.2750000000000004</v>
      </c>
      <c r="M91" s="2"/>
      <c r="W91" s="21" t="str">
        <f ca="1">_xll.IMDP("BND",N91,W8,N3)</f>
        <v>입력오류</v>
      </c>
      <c r="X91" s="23" t="str">
        <f ca="1">_xll.IMDP("BND",N91,X8,N3)</f>
        <v>입력오류</v>
      </c>
      <c r="Y91" s="2"/>
      <c r="AI91" s="21" t="str">
        <f ca="1">_xll.IMDP("BND",Z91,AI8,Z3)</f>
        <v>입력오류</v>
      </c>
      <c r="AJ91" s="23" t="str">
        <f ca="1">_xll.IMDP("BND",Z91,AJ8,Z3)</f>
        <v>입력오류</v>
      </c>
      <c r="AK91" s="2"/>
      <c r="AU91" s="21" t="str">
        <f ca="1">_xll.IMDP("BND",AL91,AU8,AL3)</f>
        <v>입력오류</v>
      </c>
      <c r="AV91" s="23" t="str">
        <f ca="1">_xll.IMDP("BND",AL91,AV8,AL3)</f>
        <v>입력오류</v>
      </c>
      <c r="AW91" s="2"/>
      <c r="BG91" s="21" t="str">
        <f ca="1">_xll.IMDP("BND",AX91,BG8,AX3)</f>
        <v>입력오류</v>
      </c>
      <c r="BH91" s="23" t="str">
        <f ca="1">_xll.IMDP("BND",AX91,BH8,AX3)</f>
        <v>입력오류</v>
      </c>
      <c r="BI91" s="2">
        <v>46198</v>
      </c>
      <c r="BJ91" s="3" t="s">
        <v>552</v>
      </c>
      <c r="BK91" s="3" t="s">
        <v>553</v>
      </c>
      <c r="BL91" s="3" t="s">
        <v>554</v>
      </c>
      <c r="BM91" s="3">
        <v>0</v>
      </c>
      <c r="BN91" s="3">
        <v>0.38</v>
      </c>
      <c r="BO91" s="3">
        <v>0</v>
      </c>
      <c r="BP91" s="3">
        <v>477767</v>
      </c>
      <c r="BQ91" s="3">
        <v>10055.67</v>
      </c>
      <c r="BR91" s="3">
        <v>0.51280000000000003</v>
      </c>
      <c r="BS91" s="21">
        <f ca="1">_xll.IMDP("BND",BJ91,BS8,BJ3)</f>
        <v>20270102</v>
      </c>
      <c r="BT91" s="23">
        <f ca="1">_xll.IMDP("BND",BJ91,BT8,BJ3)</f>
        <v>2.8279999999999998</v>
      </c>
      <c r="BU91" s="2">
        <v>46198</v>
      </c>
      <c r="BV91" s="3" t="s">
        <v>1155</v>
      </c>
      <c r="BW91" s="3" t="s">
        <v>567</v>
      </c>
      <c r="BX91" s="3" t="s">
        <v>568</v>
      </c>
      <c r="BY91" s="3">
        <v>0</v>
      </c>
      <c r="BZ91" s="3">
        <v>0.35</v>
      </c>
      <c r="CA91" s="3">
        <v>0</v>
      </c>
      <c r="CB91" s="3">
        <v>466312</v>
      </c>
      <c r="CE91" s="21" t="str">
        <f ca="1">_xll.IMDP("BND",BV91,CE8,BV3)</f>
        <v/>
      </c>
      <c r="CF91" s="23" t="str">
        <f ca="1">_xll.IMDP("BND",BV91,CF8,BV3)</f>
        <v/>
      </c>
      <c r="CG91" s="2"/>
      <c r="CQ91" s="21" t="str">
        <f ca="1">_xll.IMDP("BND",CH91,CQ8,CH3)</f>
        <v>입력오류</v>
      </c>
      <c r="CR91" s="23" t="str">
        <f ca="1">_xll.IMDP("BND",CH91,CR8,CH3)</f>
        <v>입력오류</v>
      </c>
      <c r="CS91" s="2">
        <v>46198</v>
      </c>
      <c r="CT91" s="3" t="s">
        <v>337</v>
      </c>
      <c r="CU91" s="3" t="s">
        <v>338</v>
      </c>
      <c r="CV91" s="3" t="s">
        <v>339</v>
      </c>
      <c r="CW91" s="3">
        <v>0</v>
      </c>
      <c r="CX91" s="3">
        <v>0.32</v>
      </c>
      <c r="CY91" s="3">
        <v>0</v>
      </c>
      <c r="CZ91" s="3">
        <v>465103</v>
      </c>
      <c r="DA91" s="3">
        <v>9959.93</v>
      </c>
      <c r="DB91" s="3">
        <v>1.6202000000000001</v>
      </c>
      <c r="DC91" s="21">
        <f ca="1">_xll.IMDP("BND",CT91,DC8,CT3)</f>
        <v>20280303</v>
      </c>
      <c r="DD91" s="23">
        <f ca="1">_xll.IMDP("BND",CT91,DD8,CT3)</f>
        <v>4.4850000000000003</v>
      </c>
      <c r="DE91" s="2"/>
      <c r="DO91" s="21" t="str">
        <f ca="1">_xll.IMDP("BND",DF91,DO8,DF3)</f>
        <v>입력오류</v>
      </c>
      <c r="DP91" s="23" t="str">
        <f ca="1">_xll.IMDP("BND",DF91,DP8,DF3)</f>
        <v>입력오류</v>
      </c>
      <c r="DQ91" s="2"/>
      <c r="EA91" s="21" t="str">
        <f ca="1">_xll.IMDP("BND",DR91,EA8,DR3)</f>
        <v>입력오류</v>
      </c>
      <c r="EB91" s="23" t="str">
        <f ca="1">_xll.IMDP("BND",DR91,EB8,DR3)</f>
        <v>입력오류</v>
      </c>
    </row>
    <row r="92" spans="1:132" ht="13.5" customHeight="1" x14ac:dyDescent="0.3">
      <c r="A92" s="2">
        <v>46198</v>
      </c>
      <c r="B92" s="3" t="s">
        <v>896</v>
      </c>
      <c r="C92" s="3" t="s">
        <v>897</v>
      </c>
      <c r="D92" s="3" t="s">
        <v>898</v>
      </c>
      <c r="E92" s="3">
        <v>0</v>
      </c>
      <c r="F92" s="3">
        <v>0.24</v>
      </c>
      <c r="G92" s="3">
        <v>0</v>
      </c>
      <c r="H92" s="3">
        <v>267638</v>
      </c>
      <c r="I92" s="3">
        <v>10079.530000000001</v>
      </c>
      <c r="J92" s="3">
        <v>0.80710000000000004</v>
      </c>
      <c r="K92" s="21">
        <f ca="1">_xll.IMDP("BND",B92,K8,B3)</f>
        <v>20270423</v>
      </c>
      <c r="L92" s="23">
        <f ca="1">_xll.IMDP("BND",B92,L8,B3)</f>
        <v>3.5430000000000001</v>
      </c>
      <c r="M92" s="2"/>
      <c r="W92" s="21" t="str">
        <f ca="1">_xll.IMDP("BND",N92,W8,N3)</f>
        <v>입력오류</v>
      </c>
      <c r="X92" s="23" t="str">
        <f ca="1">_xll.IMDP("BND",N92,X8,N3)</f>
        <v>입력오류</v>
      </c>
      <c r="Y92" s="2"/>
      <c r="AI92" s="21" t="str">
        <f ca="1">_xll.IMDP("BND",Z92,AI8,Z3)</f>
        <v>입력오류</v>
      </c>
      <c r="AJ92" s="23" t="str">
        <f ca="1">_xll.IMDP("BND",Z92,AJ8,Z3)</f>
        <v>입력오류</v>
      </c>
      <c r="AK92" s="2"/>
      <c r="AU92" s="21" t="str">
        <f ca="1">_xll.IMDP("BND",AL92,AU8,AL3)</f>
        <v>입력오류</v>
      </c>
      <c r="AV92" s="23" t="str">
        <f ca="1">_xll.IMDP("BND",AL92,AV8,AL3)</f>
        <v>입력오류</v>
      </c>
      <c r="AW92" s="2"/>
      <c r="BG92" s="21" t="str">
        <f ca="1">_xll.IMDP("BND",AX92,BG8,AX3)</f>
        <v>입력오류</v>
      </c>
      <c r="BH92" s="23" t="str">
        <f ca="1">_xll.IMDP("BND",AX92,BH8,AX3)</f>
        <v>입력오류</v>
      </c>
      <c r="BI92" s="2">
        <v>46198</v>
      </c>
      <c r="BJ92" s="3" t="s">
        <v>555</v>
      </c>
      <c r="BK92" s="3" t="s">
        <v>50</v>
      </c>
      <c r="BL92" s="3" t="s">
        <v>556</v>
      </c>
      <c r="BM92" s="3">
        <v>0</v>
      </c>
      <c r="BN92" s="3">
        <v>0.37</v>
      </c>
      <c r="BO92" s="3">
        <v>0</v>
      </c>
      <c r="BP92" s="3">
        <v>457259</v>
      </c>
      <c r="BQ92" s="3">
        <v>9937.77</v>
      </c>
      <c r="BR92" s="3">
        <v>2.7816000000000001</v>
      </c>
      <c r="BS92" s="21">
        <f ca="1">_xll.IMDP("BND",BJ92,BS8,BJ3)</f>
        <v>20290610</v>
      </c>
      <c r="BT92" s="23">
        <f ca="1">_xll.IMDP("BND",BJ92,BT8,BJ3)</f>
        <v>3.7749999999999999</v>
      </c>
      <c r="BU92" s="2">
        <v>46198</v>
      </c>
      <c r="BV92" s="3" t="s">
        <v>1154</v>
      </c>
      <c r="BW92" s="3" t="s">
        <v>567</v>
      </c>
      <c r="BX92" s="3" t="s">
        <v>568</v>
      </c>
      <c r="BY92" s="3">
        <v>0</v>
      </c>
      <c r="BZ92" s="3">
        <v>0.35</v>
      </c>
      <c r="CA92" s="3">
        <v>0</v>
      </c>
      <c r="CB92" s="3">
        <v>466312</v>
      </c>
      <c r="CE92" s="21" t="str">
        <f ca="1">_xll.IMDP("BND",BV92,CE8,BV3)</f>
        <v/>
      </c>
      <c r="CF92" s="23" t="str">
        <f ca="1">_xll.IMDP("BND",BV92,CF8,BV3)</f>
        <v/>
      </c>
      <c r="CG92" s="2"/>
      <c r="CQ92" s="21" t="str">
        <f ca="1">_xll.IMDP("BND",CH92,CQ8,CH3)</f>
        <v>입력오류</v>
      </c>
      <c r="CR92" s="23" t="str">
        <f ca="1">_xll.IMDP("BND",CH92,CR8,CH3)</f>
        <v>입력오류</v>
      </c>
      <c r="CS92" s="2">
        <v>46198</v>
      </c>
      <c r="CT92" s="3" t="s">
        <v>343</v>
      </c>
      <c r="CU92" s="3" t="s">
        <v>261</v>
      </c>
      <c r="CV92" s="3" t="s">
        <v>344</v>
      </c>
      <c r="CW92" s="3">
        <v>0</v>
      </c>
      <c r="CX92" s="3">
        <v>0.32</v>
      </c>
      <c r="CY92" s="3">
        <v>0</v>
      </c>
      <c r="CZ92" s="3">
        <v>464749</v>
      </c>
      <c r="DA92" s="3">
        <v>9953.27</v>
      </c>
      <c r="DB92" s="3">
        <v>0.97570000000000001</v>
      </c>
      <c r="DC92" s="21">
        <f ca="1">_xll.IMDP("BND",CT92,DC8,CT3)</f>
        <v>20270625</v>
      </c>
      <c r="DD92" s="23">
        <f ca="1">_xll.IMDP("BND",CT92,DD8,CT3)</f>
        <v>3.9060000000000001</v>
      </c>
      <c r="DE92" s="2"/>
      <c r="DO92" s="21" t="str">
        <f ca="1">_xll.IMDP("BND",DF92,DO8,DF3)</f>
        <v>입력오류</v>
      </c>
      <c r="DP92" s="23" t="str">
        <f ca="1">_xll.IMDP("BND",DF92,DP8,DF3)</f>
        <v>입력오류</v>
      </c>
      <c r="DQ92" s="2"/>
      <c r="EA92" s="21" t="str">
        <f ca="1">_xll.IMDP("BND",DR92,EA8,DR3)</f>
        <v>입력오류</v>
      </c>
      <c r="EB92" s="23" t="str">
        <f ca="1">_xll.IMDP("BND",DR92,EB8,DR3)</f>
        <v>입력오류</v>
      </c>
    </row>
    <row r="93" spans="1:132" ht="13.5" customHeight="1" x14ac:dyDescent="0.3">
      <c r="A93" s="2">
        <v>46198</v>
      </c>
      <c r="B93" s="3" t="s">
        <v>396</v>
      </c>
      <c r="C93" s="3" t="s">
        <v>56</v>
      </c>
      <c r="D93" s="3" t="s">
        <v>397</v>
      </c>
      <c r="E93" s="3">
        <v>0</v>
      </c>
      <c r="F93" s="3">
        <v>0.24</v>
      </c>
      <c r="G93" s="3">
        <v>0</v>
      </c>
      <c r="H93" s="3">
        <v>267628</v>
      </c>
      <c r="I93" s="3">
        <v>10079.31</v>
      </c>
      <c r="J93" s="3">
        <v>8.0503</v>
      </c>
      <c r="K93" s="21">
        <f ca="1">_xll.IMDP("BND",B93,K8,B3)</f>
        <v>20360610</v>
      </c>
      <c r="L93" s="23">
        <f ca="1">_xll.IMDP("BND",B93,L8,B3)</f>
        <v>4.173</v>
      </c>
      <c r="M93" s="2"/>
      <c r="W93" s="21" t="str">
        <f ca="1">_xll.IMDP("BND",N93,W8,N3)</f>
        <v>입력오류</v>
      </c>
      <c r="X93" s="23" t="str">
        <f ca="1">_xll.IMDP("BND",N93,X8,N3)</f>
        <v>입력오류</v>
      </c>
      <c r="Y93" s="2"/>
      <c r="AI93" s="21" t="str">
        <f ca="1">_xll.IMDP("BND",Z93,AI8,Z3)</f>
        <v>입력오류</v>
      </c>
      <c r="AJ93" s="23" t="str">
        <f ca="1">_xll.IMDP("BND",Z93,AJ8,Z3)</f>
        <v>입력오류</v>
      </c>
      <c r="AK93" s="2"/>
      <c r="AU93" s="21" t="str">
        <f ca="1">_xll.IMDP("BND",AL93,AU8,AL3)</f>
        <v>입력오류</v>
      </c>
      <c r="AV93" s="23" t="str">
        <f ca="1">_xll.IMDP("BND",AL93,AV8,AL3)</f>
        <v>입력오류</v>
      </c>
      <c r="AW93" s="2"/>
      <c r="BG93" s="21" t="str">
        <f ca="1">_xll.IMDP("BND",AX93,BG8,AX3)</f>
        <v>입력오류</v>
      </c>
      <c r="BH93" s="23" t="str">
        <f ca="1">_xll.IMDP("BND",AX93,BH8,AX3)</f>
        <v>입력오류</v>
      </c>
      <c r="BI93" s="2">
        <v>46198</v>
      </c>
      <c r="BJ93" s="3" t="s">
        <v>557</v>
      </c>
      <c r="BK93" s="3" t="s">
        <v>558</v>
      </c>
      <c r="BL93" s="3" t="s">
        <v>559</v>
      </c>
      <c r="BM93" s="3">
        <v>0</v>
      </c>
      <c r="BN93" s="3">
        <v>0.36</v>
      </c>
      <c r="BO93" s="3">
        <v>0</v>
      </c>
      <c r="BP93" s="3">
        <v>449326</v>
      </c>
      <c r="BQ93" s="3">
        <v>8370.69</v>
      </c>
      <c r="BR93" s="3">
        <v>16.895800000000001</v>
      </c>
      <c r="BS93" s="21">
        <f ca="1">_xll.IMDP("BND",BJ93,BS8,BJ3)</f>
        <v>20560113</v>
      </c>
      <c r="BT93" s="23">
        <f ca="1">_xll.IMDP("BND",BJ93,BT8,BJ3)</f>
        <v>4.5259999999999998</v>
      </c>
      <c r="BU93" s="2">
        <v>46198</v>
      </c>
      <c r="BV93" s="3" t="s">
        <v>1159</v>
      </c>
      <c r="BW93" s="3" t="s">
        <v>1157</v>
      </c>
      <c r="BX93" s="3" t="s">
        <v>1158</v>
      </c>
      <c r="BY93" s="3">
        <v>0</v>
      </c>
      <c r="BZ93" s="3">
        <v>0.35</v>
      </c>
      <c r="CA93" s="3">
        <v>0</v>
      </c>
      <c r="CB93" s="3">
        <v>466290</v>
      </c>
      <c r="CE93" s="21" t="str">
        <f ca="1">_xll.IMDP("BND",BV93,CE8,BV3)</f>
        <v/>
      </c>
      <c r="CF93" s="23" t="str">
        <f ca="1">_xll.IMDP("BND",BV93,CF8,BV3)</f>
        <v/>
      </c>
      <c r="CG93" s="2"/>
      <c r="CQ93" s="21" t="str">
        <f ca="1">_xll.IMDP("BND",CH93,CQ8,CH3)</f>
        <v>입력오류</v>
      </c>
      <c r="CR93" s="23" t="str">
        <f ca="1">_xll.IMDP("BND",CH93,CR8,CH3)</f>
        <v>입력오류</v>
      </c>
      <c r="CS93" s="2">
        <v>46198</v>
      </c>
      <c r="CT93" s="3" t="s">
        <v>345</v>
      </c>
      <c r="CU93" s="3" t="s">
        <v>346</v>
      </c>
      <c r="CV93" s="3" t="s">
        <v>347</v>
      </c>
      <c r="CW93" s="3">
        <v>0</v>
      </c>
      <c r="CX93" s="3">
        <v>0.32</v>
      </c>
      <c r="CY93" s="3">
        <v>0</v>
      </c>
      <c r="CZ93" s="3">
        <v>464618</v>
      </c>
      <c r="DC93" s="21" t="str">
        <f ca="1">_xll.IMDP("BND",CT93,DC8,CT3)</f>
        <v/>
      </c>
      <c r="DD93" s="23" t="str">
        <f ca="1">_xll.IMDP("BND",CT93,DD8,CT3)</f>
        <v/>
      </c>
      <c r="DE93" s="2"/>
      <c r="DO93" s="21" t="str">
        <f ca="1">_xll.IMDP("BND",DF93,DO8,DF3)</f>
        <v>입력오류</v>
      </c>
      <c r="DP93" s="23" t="str">
        <f ca="1">_xll.IMDP("BND",DF93,DP8,DF3)</f>
        <v>입력오류</v>
      </c>
      <c r="DQ93" s="2"/>
      <c r="EA93" s="21" t="str">
        <f ca="1">_xll.IMDP("BND",DR93,EA8,DR3)</f>
        <v>입력오류</v>
      </c>
      <c r="EB93" s="23" t="str">
        <f ca="1">_xll.IMDP("BND",DR93,EB8,DR3)</f>
        <v>입력오류</v>
      </c>
    </row>
    <row r="94" spans="1:132" ht="13.5" customHeight="1" x14ac:dyDescent="0.3">
      <c r="A94" s="2">
        <v>46198</v>
      </c>
      <c r="B94" s="3" t="s">
        <v>899</v>
      </c>
      <c r="C94" s="3" t="s">
        <v>900</v>
      </c>
      <c r="D94" s="3" t="s">
        <v>901</v>
      </c>
      <c r="E94" s="3">
        <v>0</v>
      </c>
      <c r="F94" s="3">
        <v>0.24</v>
      </c>
      <c r="G94" s="3">
        <v>0</v>
      </c>
      <c r="H94" s="3">
        <v>267474</v>
      </c>
      <c r="I94" s="3">
        <v>10072.34</v>
      </c>
      <c r="J94" s="3">
        <v>1.5881000000000001</v>
      </c>
      <c r="K94" s="21">
        <f ca="1">_xll.IMDP("BND",B94,K8,B3)</f>
        <v>20280223</v>
      </c>
      <c r="L94" s="23">
        <f ca="1">_xll.IMDP("BND",B94,L8,B3)</f>
        <v>4.3310000000000004</v>
      </c>
      <c r="M94" s="2"/>
      <c r="W94" s="21" t="str">
        <f ca="1">_xll.IMDP("BND",N94,W8,N3)</f>
        <v>입력오류</v>
      </c>
      <c r="X94" s="23" t="str">
        <f ca="1">_xll.IMDP("BND",N94,X8,N3)</f>
        <v>입력오류</v>
      </c>
      <c r="Y94" s="2"/>
      <c r="AI94" s="21" t="str">
        <f ca="1">_xll.IMDP("BND",Z94,AI8,Z3)</f>
        <v>입력오류</v>
      </c>
      <c r="AJ94" s="23" t="str">
        <f ca="1">_xll.IMDP("BND",Z94,AJ8,Z3)</f>
        <v>입력오류</v>
      </c>
      <c r="AK94" s="2"/>
      <c r="AU94" s="21" t="str">
        <f ca="1">_xll.IMDP("BND",AL94,AU8,AL3)</f>
        <v>입력오류</v>
      </c>
      <c r="AV94" s="23" t="str">
        <f ca="1">_xll.IMDP("BND",AL94,AV8,AL3)</f>
        <v>입력오류</v>
      </c>
      <c r="AW94" s="2"/>
      <c r="BG94" s="21" t="str">
        <f ca="1">_xll.IMDP("BND",AX94,BG8,AX3)</f>
        <v>입력오류</v>
      </c>
      <c r="BH94" s="23" t="str">
        <f ca="1">_xll.IMDP("BND",AX94,BH8,AX3)</f>
        <v>입력오류</v>
      </c>
      <c r="BI94" s="2">
        <v>46198</v>
      </c>
      <c r="BJ94" s="3" t="s">
        <v>560</v>
      </c>
      <c r="BK94" s="3" t="s">
        <v>561</v>
      </c>
      <c r="BL94" s="3" t="s">
        <v>562</v>
      </c>
      <c r="BM94" s="3">
        <v>0</v>
      </c>
      <c r="BN94" s="3">
        <v>0.35</v>
      </c>
      <c r="BO94" s="3">
        <v>0</v>
      </c>
      <c r="BP94" s="3">
        <v>437487</v>
      </c>
      <c r="BQ94" s="3">
        <v>9506.1200000000008</v>
      </c>
      <c r="BR94" s="3">
        <v>4.0133000000000001</v>
      </c>
      <c r="BS94" s="21">
        <f ca="1">_xll.IMDP("BND",BJ94,BS8,BJ3)</f>
        <v>20301027</v>
      </c>
      <c r="BT94" s="23">
        <f ca="1">_xll.IMDP("BND",BJ94,BT8,BJ3)</f>
        <v>4.3680000000000003</v>
      </c>
      <c r="BU94" s="2">
        <v>46198</v>
      </c>
      <c r="BV94" s="3" t="s">
        <v>1156</v>
      </c>
      <c r="BW94" s="3" t="s">
        <v>1157</v>
      </c>
      <c r="BX94" s="3" t="s">
        <v>1158</v>
      </c>
      <c r="BY94" s="3">
        <v>0</v>
      </c>
      <c r="BZ94" s="3">
        <v>0.35</v>
      </c>
      <c r="CA94" s="3">
        <v>0</v>
      </c>
      <c r="CB94" s="3">
        <v>466290</v>
      </c>
      <c r="CE94" s="21" t="str">
        <f ca="1">_xll.IMDP("BND",BV94,CE8,BV3)</f>
        <v/>
      </c>
      <c r="CF94" s="23" t="str">
        <f ca="1">_xll.IMDP("BND",BV94,CF8,BV3)</f>
        <v/>
      </c>
      <c r="CG94" s="2"/>
      <c r="CQ94" s="21" t="str">
        <f ca="1">_xll.IMDP("BND",CH94,CQ8,CH3)</f>
        <v>입력오류</v>
      </c>
      <c r="CR94" s="23" t="str">
        <f ca="1">_xll.IMDP("BND",CH94,CR8,CH3)</f>
        <v>입력오류</v>
      </c>
      <c r="CS94" s="2">
        <v>46198</v>
      </c>
      <c r="CT94" s="3" t="s">
        <v>348</v>
      </c>
      <c r="CU94" s="3" t="s">
        <v>349</v>
      </c>
      <c r="CV94" s="3" t="s">
        <v>350</v>
      </c>
      <c r="CW94" s="3">
        <v>0</v>
      </c>
      <c r="CX94" s="3">
        <v>0.32</v>
      </c>
      <c r="CY94" s="3">
        <v>0</v>
      </c>
      <c r="CZ94" s="3">
        <v>464325</v>
      </c>
      <c r="DA94" s="3">
        <v>9943.33</v>
      </c>
      <c r="DB94" s="3">
        <v>1.18</v>
      </c>
      <c r="DC94" s="21">
        <f ca="1">_xll.IMDP("BND",CT94,DC8,CT3)</f>
        <v>20270910</v>
      </c>
      <c r="DD94" s="23">
        <f ca="1">_xll.IMDP("BND",CT94,DD8,CT3)</f>
        <v>3.9129999999999998</v>
      </c>
      <c r="DE94" s="2"/>
      <c r="DO94" s="21" t="str">
        <f ca="1">_xll.IMDP("BND",DF94,DO8,DF3)</f>
        <v>입력오류</v>
      </c>
      <c r="DP94" s="23" t="str">
        <f ca="1">_xll.IMDP("BND",DF94,DP8,DF3)</f>
        <v>입력오류</v>
      </c>
      <c r="DQ94" s="2"/>
      <c r="EA94" s="21" t="str">
        <f ca="1">_xll.IMDP("BND",DR94,EA8,DR3)</f>
        <v>입력오류</v>
      </c>
      <c r="EB94" s="23" t="str">
        <f ca="1">_xll.IMDP("BND",DR94,EB8,DR3)</f>
        <v>입력오류</v>
      </c>
    </row>
    <row r="95" spans="1:132" ht="13.5" customHeight="1" x14ac:dyDescent="0.3">
      <c r="A95" s="2">
        <v>46198</v>
      </c>
      <c r="B95" s="3" t="s">
        <v>902</v>
      </c>
      <c r="C95" s="3" t="s">
        <v>553</v>
      </c>
      <c r="D95" s="3" t="s">
        <v>903</v>
      </c>
      <c r="E95" s="3">
        <v>0</v>
      </c>
      <c r="F95" s="3">
        <v>0.24</v>
      </c>
      <c r="G95" s="3">
        <v>0</v>
      </c>
      <c r="H95" s="3">
        <v>267284</v>
      </c>
      <c r="I95" s="3">
        <v>10066</v>
      </c>
      <c r="J95" s="3">
        <v>0.26719999999999999</v>
      </c>
      <c r="K95" s="21">
        <f ca="1">_xll.IMDP("BND",B95,K8,B3)</f>
        <v>20261002</v>
      </c>
      <c r="L95" s="23">
        <f ca="1">_xll.IMDP("BND",B95,L8,B3)</f>
        <v>2.746</v>
      </c>
      <c r="M95" s="2"/>
      <c r="W95" s="21" t="str">
        <f ca="1">_xll.IMDP("BND",N95,W8,N3)</f>
        <v>입력오류</v>
      </c>
      <c r="X95" s="23" t="str">
        <f ca="1">_xll.IMDP("BND",N95,X8,N3)</f>
        <v>입력오류</v>
      </c>
      <c r="Y95" s="2"/>
      <c r="AI95" s="21" t="str">
        <f ca="1">_xll.IMDP("BND",Z95,AI8,Z3)</f>
        <v>입력오류</v>
      </c>
      <c r="AJ95" s="23" t="str">
        <f ca="1">_xll.IMDP("BND",Z95,AJ8,Z3)</f>
        <v>입력오류</v>
      </c>
      <c r="AK95" s="2"/>
      <c r="AU95" s="21" t="str">
        <f ca="1">_xll.IMDP("BND",AL95,AU8,AL3)</f>
        <v>입력오류</v>
      </c>
      <c r="AV95" s="23" t="str">
        <f ca="1">_xll.IMDP("BND",AL95,AV8,AL3)</f>
        <v>입력오류</v>
      </c>
      <c r="AW95" s="2"/>
      <c r="BG95" s="21" t="str">
        <f ca="1">_xll.IMDP("BND",AX95,BG8,AX3)</f>
        <v>입력오류</v>
      </c>
      <c r="BH95" s="23" t="str">
        <f ca="1">_xll.IMDP("BND",AX95,BH8,AX3)</f>
        <v>입력오류</v>
      </c>
      <c r="BI95" s="2">
        <v>46198</v>
      </c>
      <c r="BJ95" s="3" t="s">
        <v>133</v>
      </c>
      <c r="BK95" s="3" t="s">
        <v>50</v>
      </c>
      <c r="BL95" s="3" t="s">
        <v>134</v>
      </c>
      <c r="BM95" s="3">
        <v>0</v>
      </c>
      <c r="BN95" s="3">
        <v>0.33</v>
      </c>
      <c r="BO95" s="3">
        <v>0</v>
      </c>
      <c r="BP95" s="3">
        <v>409558</v>
      </c>
      <c r="BQ95" s="3">
        <v>9790.85</v>
      </c>
      <c r="BR95" s="3">
        <v>2.3498999999999999</v>
      </c>
      <c r="BS95" s="21">
        <f ca="1">_xll.IMDP("BND",BJ95,BS8,BJ3)</f>
        <v>20281210</v>
      </c>
      <c r="BT95" s="23">
        <f ca="1">_xll.IMDP("BND",BJ95,BT8,BJ3)</f>
        <v>3.6949999999999998</v>
      </c>
      <c r="BU95" s="2">
        <v>46198</v>
      </c>
      <c r="BV95" s="3" t="s">
        <v>1163</v>
      </c>
      <c r="BW95" s="3" t="s">
        <v>1161</v>
      </c>
      <c r="BX95" s="3" t="s">
        <v>1162</v>
      </c>
      <c r="BY95" s="3">
        <v>0</v>
      </c>
      <c r="BZ95" s="3">
        <v>0.35</v>
      </c>
      <c r="CA95" s="3">
        <v>0</v>
      </c>
      <c r="CB95" s="3">
        <v>466227</v>
      </c>
      <c r="CE95" s="21" t="str">
        <f ca="1">_xll.IMDP("BND",BV95,CE8,BV3)</f>
        <v/>
      </c>
      <c r="CF95" s="23" t="str">
        <f ca="1">_xll.IMDP("BND",BV95,CF8,BV3)</f>
        <v/>
      </c>
      <c r="CG95" s="2"/>
      <c r="CQ95" s="21" t="str">
        <f ca="1">_xll.IMDP("BND",CH95,CQ8,CH3)</f>
        <v>입력오류</v>
      </c>
      <c r="CR95" s="23" t="str">
        <f ca="1">_xll.IMDP("BND",CH95,CR8,CH3)</f>
        <v>입력오류</v>
      </c>
      <c r="CS95" s="2">
        <v>46198</v>
      </c>
      <c r="CT95" s="3" t="s">
        <v>351</v>
      </c>
      <c r="CU95" s="3" t="s">
        <v>352</v>
      </c>
      <c r="CV95" s="3" t="s">
        <v>353</v>
      </c>
      <c r="CW95" s="3">
        <v>0</v>
      </c>
      <c r="CX95" s="3">
        <v>0.32</v>
      </c>
      <c r="CY95" s="3">
        <v>0</v>
      </c>
      <c r="CZ95" s="3">
        <v>464260</v>
      </c>
      <c r="DA95" s="3">
        <v>9942.6</v>
      </c>
      <c r="DB95" s="3">
        <v>0.99080000000000001</v>
      </c>
      <c r="DC95" s="21">
        <f ca="1">_xll.IMDP("BND",CT95,DC8,CT3)</f>
        <v>20270701</v>
      </c>
      <c r="DD95" s="23">
        <f ca="1">_xll.IMDP("BND",CT95,DD8,CT3)</f>
        <v>3.8719999999999999</v>
      </c>
      <c r="DE95" s="2"/>
      <c r="DO95" s="21" t="str">
        <f ca="1">_xll.IMDP("BND",DF95,DO8,DF3)</f>
        <v>입력오류</v>
      </c>
      <c r="DP95" s="23" t="str">
        <f ca="1">_xll.IMDP("BND",DF95,DP8,DF3)</f>
        <v>입력오류</v>
      </c>
      <c r="DQ95" s="2"/>
      <c r="EA95" s="21" t="str">
        <f ca="1">_xll.IMDP("BND",DR95,EA8,DR3)</f>
        <v>입력오류</v>
      </c>
      <c r="EB95" s="23" t="str">
        <f ca="1">_xll.IMDP("BND",DR95,EB8,DR3)</f>
        <v>입력오류</v>
      </c>
    </row>
    <row r="96" spans="1:132" ht="13.5" customHeight="1" x14ac:dyDescent="0.3">
      <c r="A96" s="2">
        <v>46198</v>
      </c>
      <c r="B96" s="3" t="s">
        <v>904</v>
      </c>
      <c r="C96" s="3" t="s">
        <v>905</v>
      </c>
      <c r="D96" s="3" t="s">
        <v>906</v>
      </c>
      <c r="E96" s="3">
        <v>0</v>
      </c>
      <c r="F96" s="3">
        <v>0.24</v>
      </c>
      <c r="G96" s="3">
        <v>0</v>
      </c>
      <c r="H96" s="3">
        <v>267173</v>
      </c>
      <c r="I96" s="3">
        <v>10062.08</v>
      </c>
      <c r="J96" s="3">
        <v>0.85929999999999995</v>
      </c>
      <c r="K96" s="21">
        <f ca="1">_xll.IMDP("BND",B96,K8,B3)</f>
        <v>20270512</v>
      </c>
      <c r="L96" s="23">
        <f ca="1">_xll.IMDP("BND",B96,L8,B3)</f>
        <v>3.5960000000000001</v>
      </c>
      <c r="M96" s="2"/>
      <c r="W96" s="21" t="str">
        <f ca="1">_xll.IMDP("BND",N96,W8,N3)</f>
        <v>입력오류</v>
      </c>
      <c r="X96" s="23" t="str">
        <f ca="1">_xll.IMDP("BND",N96,X8,N3)</f>
        <v>입력오류</v>
      </c>
      <c r="Y96" s="2"/>
      <c r="AI96" s="21" t="str">
        <f ca="1">_xll.IMDP("BND",Z96,AI8,Z3)</f>
        <v>입력오류</v>
      </c>
      <c r="AJ96" s="23" t="str">
        <f ca="1">_xll.IMDP("BND",Z96,AJ8,Z3)</f>
        <v>입력오류</v>
      </c>
      <c r="AK96" s="2"/>
      <c r="AU96" s="21" t="str">
        <f ca="1">_xll.IMDP("BND",AL96,AU8,AL3)</f>
        <v>입력오류</v>
      </c>
      <c r="AV96" s="23" t="str">
        <f ca="1">_xll.IMDP("BND",AL96,AV8,AL3)</f>
        <v>입력오류</v>
      </c>
      <c r="AW96" s="2"/>
      <c r="BG96" s="21" t="str">
        <f ca="1">_xll.IMDP("BND",AX96,BG8,AX3)</f>
        <v>입력오류</v>
      </c>
      <c r="BH96" s="23" t="str">
        <f ca="1">_xll.IMDP("BND",AX96,BH8,AX3)</f>
        <v>입력오류</v>
      </c>
      <c r="BI96" s="2">
        <v>46198</v>
      </c>
      <c r="BJ96" s="3" t="s">
        <v>563</v>
      </c>
      <c r="BK96" s="3" t="s">
        <v>564</v>
      </c>
      <c r="BL96" s="3" t="s">
        <v>565</v>
      </c>
      <c r="BM96" s="3">
        <v>0</v>
      </c>
      <c r="BN96" s="3">
        <v>0.31</v>
      </c>
      <c r="BO96" s="3">
        <v>0</v>
      </c>
      <c r="BP96" s="3">
        <v>386037</v>
      </c>
      <c r="BQ96" s="3">
        <v>10067.34</v>
      </c>
      <c r="BR96" s="3">
        <v>3.8586</v>
      </c>
      <c r="BS96" s="21">
        <f ca="1">_xll.IMDP("BND",BJ96,BS8,BJ3)</f>
        <v>20300630</v>
      </c>
      <c r="BT96" s="23">
        <f ca="1">_xll.IMDP("BND",BJ96,BT8,BJ3)</f>
        <v>4.0659999999999998</v>
      </c>
      <c r="BU96" s="2">
        <v>46198</v>
      </c>
      <c r="BV96" s="3" t="s">
        <v>1160</v>
      </c>
      <c r="BW96" s="3" t="s">
        <v>1161</v>
      </c>
      <c r="BX96" s="3" t="s">
        <v>1162</v>
      </c>
      <c r="BY96" s="3">
        <v>0</v>
      </c>
      <c r="BZ96" s="3">
        <v>0.35</v>
      </c>
      <c r="CA96" s="3">
        <v>0</v>
      </c>
      <c r="CB96" s="3">
        <v>466227</v>
      </c>
      <c r="CE96" s="21" t="str">
        <f ca="1">_xll.IMDP("BND",BV96,CE8,BV3)</f>
        <v/>
      </c>
      <c r="CF96" s="23" t="str">
        <f ca="1">_xll.IMDP("BND",BV96,CF8,BV3)</f>
        <v/>
      </c>
      <c r="CG96" s="2"/>
      <c r="CQ96" s="21" t="str">
        <f ca="1">_xll.IMDP("BND",CH96,CQ8,CH3)</f>
        <v>입력오류</v>
      </c>
      <c r="CR96" s="23" t="str">
        <f ca="1">_xll.IMDP("BND",CH96,CR8,CH3)</f>
        <v>입력오류</v>
      </c>
      <c r="CS96" s="2">
        <v>46198</v>
      </c>
      <c r="CT96" s="3" t="s">
        <v>354</v>
      </c>
      <c r="CU96" s="3" t="s">
        <v>355</v>
      </c>
      <c r="CV96" s="3" t="s">
        <v>356</v>
      </c>
      <c r="CW96" s="3">
        <v>0</v>
      </c>
      <c r="CX96" s="3">
        <v>0.32</v>
      </c>
      <c r="CY96" s="3">
        <v>0</v>
      </c>
      <c r="CZ96" s="3">
        <v>463829</v>
      </c>
      <c r="DA96" s="3">
        <v>9932.9500000000007</v>
      </c>
      <c r="DB96" s="3">
        <v>1.1561999999999999</v>
      </c>
      <c r="DC96" s="21">
        <f ca="1">_xll.IMDP("BND",CT96,DC8,CT3)</f>
        <v>20270902</v>
      </c>
      <c r="DD96" s="23">
        <f ca="1">_xll.IMDP("BND",CT96,DD8,CT3)</f>
        <v>4.1159999999999997</v>
      </c>
      <c r="DE96" s="2"/>
      <c r="DO96" s="21" t="str">
        <f ca="1">_xll.IMDP("BND",DF96,DO8,DF3)</f>
        <v>입력오류</v>
      </c>
      <c r="DP96" s="23" t="str">
        <f ca="1">_xll.IMDP("BND",DF96,DP8,DF3)</f>
        <v>입력오류</v>
      </c>
      <c r="DQ96" s="2"/>
      <c r="EA96" s="21" t="str">
        <f ca="1">_xll.IMDP("BND",DR96,EA8,DR3)</f>
        <v>입력오류</v>
      </c>
      <c r="EB96" s="23" t="str">
        <f ca="1">_xll.IMDP("BND",DR96,EB8,DR3)</f>
        <v>입력오류</v>
      </c>
    </row>
    <row r="97" spans="1:132" ht="13.5" customHeight="1" x14ac:dyDescent="0.3">
      <c r="A97" s="2">
        <v>46198</v>
      </c>
      <c r="B97" s="3" t="s">
        <v>910</v>
      </c>
      <c r="C97" s="3" t="s">
        <v>911</v>
      </c>
      <c r="D97" s="3" t="s">
        <v>912</v>
      </c>
      <c r="E97" s="3">
        <v>0</v>
      </c>
      <c r="F97" s="3">
        <v>0.24</v>
      </c>
      <c r="G97" s="3">
        <v>0</v>
      </c>
      <c r="H97" s="3">
        <v>266962</v>
      </c>
      <c r="I97" s="3">
        <v>10053.780000000001</v>
      </c>
      <c r="J97" s="3">
        <v>0.64249999999999996</v>
      </c>
      <c r="K97" s="21">
        <f ca="1">_xll.IMDP("BND",B97,K8,B3)</f>
        <v>20270220</v>
      </c>
      <c r="L97" s="23">
        <f ca="1">_xll.IMDP("BND",B97,L8,B3)</f>
        <v>3.4</v>
      </c>
      <c r="M97" s="2"/>
      <c r="W97" s="21" t="str">
        <f ca="1">_xll.IMDP("BND",N97,W8,N3)</f>
        <v>입력오류</v>
      </c>
      <c r="X97" s="23" t="str">
        <f ca="1">_xll.IMDP("BND",N97,X8,N3)</f>
        <v>입력오류</v>
      </c>
      <c r="Y97" s="2"/>
      <c r="AI97" s="21" t="str">
        <f ca="1">_xll.IMDP("BND",Z97,AI8,Z3)</f>
        <v>입력오류</v>
      </c>
      <c r="AJ97" s="23" t="str">
        <f ca="1">_xll.IMDP("BND",Z97,AJ8,Z3)</f>
        <v>입력오류</v>
      </c>
      <c r="AK97" s="2"/>
      <c r="AU97" s="21" t="str">
        <f ca="1">_xll.IMDP("BND",AL97,AU8,AL3)</f>
        <v>입력오류</v>
      </c>
      <c r="AV97" s="23" t="str">
        <f ca="1">_xll.IMDP("BND",AL97,AV8,AL3)</f>
        <v>입력오류</v>
      </c>
      <c r="AW97" s="2"/>
      <c r="BG97" s="21" t="str">
        <f ca="1">_xll.IMDP("BND",AX97,BG8,AX3)</f>
        <v>입력오류</v>
      </c>
      <c r="BH97" s="23" t="str">
        <f ca="1">_xll.IMDP("BND",AX97,BH8,AX3)</f>
        <v>입력오류</v>
      </c>
      <c r="BI97" s="2">
        <v>46198</v>
      </c>
      <c r="BJ97" s="3" t="s">
        <v>566</v>
      </c>
      <c r="BK97" s="3" t="s">
        <v>567</v>
      </c>
      <c r="BL97" s="3" t="s">
        <v>568</v>
      </c>
      <c r="BM97" s="3">
        <v>0</v>
      </c>
      <c r="BN97" s="3">
        <v>0.31</v>
      </c>
      <c r="BO97" s="3">
        <v>0</v>
      </c>
      <c r="BP97" s="3">
        <v>383313</v>
      </c>
      <c r="BS97" s="21" t="str">
        <f ca="1">_xll.IMDP("BND",BJ97,BS8,BJ3)</f>
        <v/>
      </c>
      <c r="BT97" s="23" t="str">
        <f ca="1">_xll.IMDP("BND",BJ97,BT8,BJ3)</f>
        <v/>
      </c>
      <c r="BU97" s="2">
        <v>46198</v>
      </c>
      <c r="BV97" s="3" t="s">
        <v>1164</v>
      </c>
      <c r="BW97" s="3" t="s">
        <v>1161</v>
      </c>
      <c r="BX97" s="3" t="s">
        <v>1162</v>
      </c>
      <c r="BY97" s="3">
        <v>0</v>
      </c>
      <c r="BZ97" s="3">
        <v>0.35</v>
      </c>
      <c r="CA97" s="3">
        <v>0</v>
      </c>
      <c r="CB97" s="3">
        <v>466227</v>
      </c>
      <c r="CE97" s="21" t="str">
        <f ca="1">_xll.IMDP("BND",BV97,CE8,BV3)</f>
        <v/>
      </c>
      <c r="CF97" s="23" t="str">
        <f ca="1">_xll.IMDP("BND",BV97,CF8,BV3)</f>
        <v/>
      </c>
      <c r="CG97" s="2"/>
      <c r="CQ97" s="21" t="str">
        <f ca="1">_xll.IMDP("BND",CH97,CQ8,CH3)</f>
        <v>입력오류</v>
      </c>
      <c r="CR97" s="23" t="str">
        <f ca="1">_xll.IMDP("BND",CH97,CR8,CH3)</f>
        <v>입력오류</v>
      </c>
      <c r="CS97" s="2">
        <v>46198</v>
      </c>
      <c r="CT97" s="3" t="s">
        <v>357</v>
      </c>
      <c r="CU97" s="3" t="s">
        <v>358</v>
      </c>
      <c r="CV97" s="3" t="s">
        <v>359</v>
      </c>
      <c r="CW97" s="3">
        <v>0</v>
      </c>
      <c r="CX97" s="3">
        <v>0.32</v>
      </c>
      <c r="CY97" s="3">
        <v>0</v>
      </c>
      <c r="CZ97" s="3">
        <v>463702</v>
      </c>
      <c r="DA97" s="3">
        <v>9930.76</v>
      </c>
      <c r="DB97" s="3">
        <v>0.95309999999999995</v>
      </c>
      <c r="DC97" s="21">
        <f ca="1">_xll.IMDP("BND",CT97,DC8,CT3)</f>
        <v>20270617</v>
      </c>
      <c r="DD97" s="23">
        <f ca="1">_xll.IMDP("BND",CT97,DD8,CT3)</f>
        <v>4.774</v>
      </c>
      <c r="DE97" s="2"/>
      <c r="DO97" s="21" t="str">
        <f ca="1">_xll.IMDP("BND",DF97,DO8,DF3)</f>
        <v>입력오류</v>
      </c>
      <c r="DP97" s="23" t="str">
        <f ca="1">_xll.IMDP("BND",DF97,DP8,DF3)</f>
        <v>입력오류</v>
      </c>
      <c r="DQ97" s="2"/>
      <c r="EA97" s="21" t="str">
        <f ca="1">_xll.IMDP("BND",DR97,EA8,DR3)</f>
        <v>입력오류</v>
      </c>
      <c r="EB97" s="23" t="str">
        <f ca="1">_xll.IMDP("BND",DR97,EB8,DR3)</f>
        <v>입력오류</v>
      </c>
    </row>
    <row r="98" spans="1:132" ht="13.5" customHeight="1" x14ac:dyDescent="0.3">
      <c r="A98" s="2">
        <v>46198</v>
      </c>
      <c r="B98" s="3" t="s">
        <v>907</v>
      </c>
      <c r="C98" s="3" t="s">
        <v>908</v>
      </c>
      <c r="D98" s="3" t="s">
        <v>909</v>
      </c>
      <c r="E98" s="3">
        <v>0</v>
      </c>
      <c r="F98" s="3">
        <v>0.24</v>
      </c>
      <c r="G98" s="3">
        <v>0</v>
      </c>
      <c r="H98" s="3">
        <v>266851</v>
      </c>
      <c r="I98" s="3">
        <v>10049.200000000001</v>
      </c>
      <c r="J98" s="3">
        <v>4.9717000000000002</v>
      </c>
      <c r="K98" s="21">
        <f ca="1">_xll.IMDP("BND",B98,K8,B3)</f>
        <v>20320207</v>
      </c>
      <c r="L98" s="23">
        <f ca="1">_xll.IMDP("BND",B98,L8,B3)</f>
        <v>4.274</v>
      </c>
      <c r="M98" s="2"/>
      <c r="W98" s="21" t="str">
        <f ca="1">_xll.IMDP("BND",N98,W8,N3)</f>
        <v>입력오류</v>
      </c>
      <c r="X98" s="23" t="str">
        <f ca="1">_xll.IMDP("BND",N98,X8,N3)</f>
        <v>입력오류</v>
      </c>
      <c r="Y98" s="2"/>
      <c r="AI98" s="21" t="str">
        <f ca="1">_xll.IMDP("BND",Z98,AI8,Z3)</f>
        <v>입력오류</v>
      </c>
      <c r="AJ98" s="23" t="str">
        <f ca="1">_xll.IMDP("BND",Z98,AJ8,Z3)</f>
        <v>입력오류</v>
      </c>
      <c r="AK98" s="2"/>
      <c r="AU98" s="21" t="str">
        <f ca="1">_xll.IMDP("BND",AL98,AU8,AL3)</f>
        <v>입력오류</v>
      </c>
      <c r="AV98" s="23" t="str">
        <f ca="1">_xll.IMDP("BND",AL98,AV8,AL3)</f>
        <v>입력오류</v>
      </c>
      <c r="AW98" s="2"/>
      <c r="BG98" s="21" t="str">
        <f ca="1">_xll.IMDP("BND",AX98,BG8,AX3)</f>
        <v>입력오류</v>
      </c>
      <c r="BH98" s="23" t="str">
        <f ca="1">_xll.IMDP("BND",AX98,BH8,AX3)</f>
        <v>입력오류</v>
      </c>
      <c r="BI98" s="2">
        <v>46198</v>
      </c>
      <c r="BJ98" s="3" t="s">
        <v>571</v>
      </c>
      <c r="BK98" s="3" t="s">
        <v>567</v>
      </c>
      <c r="BL98" s="3" t="s">
        <v>568</v>
      </c>
      <c r="BM98" s="3">
        <v>0</v>
      </c>
      <c r="BN98" s="3">
        <v>0.31</v>
      </c>
      <c r="BO98" s="3">
        <v>0</v>
      </c>
      <c r="BP98" s="3">
        <v>383313</v>
      </c>
      <c r="BS98" s="21" t="str">
        <f ca="1">_xll.IMDP("BND",BJ98,BS8,BJ3)</f>
        <v/>
      </c>
      <c r="BT98" s="23" t="str">
        <f ca="1">_xll.IMDP("BND",BJ98,BT8,BJ3)</f>
        <v/>
      </c>
      <c r="BU98" s="2">
        <v>46198</v>
      </c>
      <c r="BV98" s="3" t="s">
        <v>1165</v>
      </c>
      <c r="BW98" s="3" t="s">
        <v>1161</v>
      </c>
      <c r="BX98" s="3" t="s">
        <v>1162</v>
      </c>
      <c r="BY98" s="3">
        <v>0</v>
      </c>
      <c r="BZ98" s="3">
        <v>0.35</v>
      </c>
      <c r="CA98" s="3">
        <v>0</v>
      </c>
      <c r="CB98" s="3">
        <v>466227</v>
      </c>
      <c r="CE98" s="21" t="str">
        <f ca="1">_xll.IMDP("BND",BV98,CE8,BV3)</f>
        <v/>
      </c>
      <c r="CF98" s="23" t="str">
        <f ca="1">_xll.IMDP("BND",BV98,CF8,BV3)</f>
        <v/>
      </c>
      <c r="CG98" s="2"/>
      <c r="CQ98" s="21" t="str">
        <f ca="1">_xll.IMDP("BND",CH98,CQ8,CH3)</f>
        <v>입력오류</v>
      </c>
      <c r="CR98" s="23" t="str">
        <f ca="1">_xll.IMDP("BND",CH98,CR8,CH3)</f>
        <v>입력오류</v>
      </c>
      <c r="CS98" s="2">
        <v>46198</v>
      </c>
      <c r="CT98" s="3" t="s">
        <v>263</v>
      </c>
      <c r="CU98" s="3" t="s">
        <v>264</v>
      </c>
      <c r="CV98" s="3" t="s">
        <v>265</v>
      </c>
      <c r="CW98" s="3">
        <v>0</v>
      </c>
      <c r="CX98" s="3">
        <v>0.32</v>
      </c>
      <c r="CY98" s="3">
        <v>0</v>
      </c>
      <c r="CZ98" s="3">
        <v>463530</v>
      </c>
      <c r="DA98" s="3">
        <v>9926.84</v>
      </c>
      <c r="DB98" s="3">
        <v>0.89200000000000002</v>
      </c>
      <c r="DC98" s="21">
        <f ca="1">_xll.IMDP("BND",CT98,DC8,CT3)</f>
        <v>20270524</v>
      </c>
      <c r="DD98" s="23">
        <f ca="1">_xll.IMDP("BND",CT98,DD8,CT3)</f>
        <v>4.7370000000000001</v>
      </c>
      <c r="DE98" s="2"/>
      <c r="DO98" s="21" t="str">
        <f ca="1">_xll.IMDP("BND",DF98,DO8,DF3)</f>
        <v>입력오류</v>
      </c>
      <c r="DP98" s="23" t="str">
        <f ca="1">_xll.IMDP("BND",DF98,DP8,DF3)</f>
        <v>입력오류</v>
      </c>
      <c r="DQ98" s="2"/>
      <c r="EA98" s="21" t="str">
        <f ca="1">_xll.IMDP("BND",DR98,EA8,DR3)</f>
        <v>입력오류</v>
      </c>
      <c r="EB98" s="23" t="str">
        <f ca="1">_xll.IMDP("BND",DR98,EB8,DR3)</f>
        <v>입력오류</v>
      </c>
    </row>
    <row r="99" spans="1:132" ht="13.5" customHeight="1" x14ac:dyDescent="0.3">
      <c r="A99" s="2">
        <v>46198</v>
      </c>
      <c r="B99" s="3" t="s">
        <v>916</v>
      </c>
      <c r="C99" s="3" t="s">
        <v>917</v>
      </c>
      <c r="D99" s="3" t="s">
        <v>918</v>
      </c>
      <c r="E99" s="3">
        <v>0</v>
      </c>
      <c r="F99" s="3">
        <v>0.24</v>
      </c>
      <c r="G99" s="3">
        <v>0</v>
      </c>
      <c r="H99" s="3">
        <v>266684</v>
      </c>
      <c r="I99" s="3">
        <v>10042.67</v>
      </c>
      <c r="J99" s="3">
        <v>1.6635</v>
      </c>
      <c r="K99" s="21">
        <f ca="1">_xll.IMDP("BND",B99,K8,B3)</f>
        <v>20280324</v>
      </c>
      <c r="L99" s="23">
        <f ca="1">_xll.IMDP("BND",B99,L8,B3)</f>
        <v>4.26</v>
      </c>
      <c r="M99" s="2"/>
      <c r="W99" s="21" t="str">
        <f ca="1">_xll.IMDP("BND",N99,W8,N3)</f>
        <v>입력오류</v>
      </c>
      <c r="X99" s="23" t="str">
        <f ca="1">_xll.IMDP("BND",N99,X8,N3)</f>
        <v>입력오류</v>
      </c>
      <c r="Y99" s="2"/>
      <c r="AI99" s="21" t="str">
        <f ca="1">_xll.IMDP("BND",Z99,AI8,Z3)</f>
        <v>입력오류</v>
      </c>
      <c r="AJ99" s="23" t="str">
        <f ca="1">_xll.IMDP("BND",Z99,AJ8,Z3)</f>
        <v>입력오류</v>
      </c>
      <c r="AK99" s="2"/>
      <c r="AU99" s="21" t="str">
        <f ca="1">_xll.IMDP("BND",AL99,AU8,AL3)</f>
        <v>입력오류</v>
      </c>
      <c r="AV99" s="23" t="str">
        <f ca="1">_xll.IMDP("BND",AL99,AV8,AL3)</f>
        <v>입력오류</v>
      </c>
      <c r="AW99" s="2"/>
      <c r="BG99" s="21" t="str">
        <f ca="1">_xll.IMDP("BND",AX99,BG8,AX3)</f>
        <v>입력오류</v>
      </c>
      <c r="BH99" s="23" t="str">
        <f ca="1">_xll.IMDP("BND",AX99,BH8,AX3)</f>
        <v>입력오류</v>
      </c>
      <c r="BI99" s="2">
        <v>46198</v>
      </c>
      <c r="BJ99" s="3" t="s">
        <v>570</v>
      </c>
      <c r="BK99" s="3" t="s">
        <v>567</v>
      </c>
      <c r="BL99" s="3" t="s">
        <v>568</v>
      </c>
      <c r="BM99" s="3">
        <v>0</v>
      </c>
      <c r="BN99" s="3">
        <v>0.31</v>
      </c>
      <c r="BO99" s="3">
        <v>0</v>
      </c>
      <c r="BP99" s="3">
        <v>383313</v>
      </c>
      <c r="BS99" s="21" t="str">
        <f ca="1">_xll.IMDP("BND",BJ99,BS8,BJ3)</f>
        <v/>
      </c>
      <c r="BT99" s="23" t="str">
        <f ca="1">_xll.IMDP("BND",BJ99,BT8,BJ3)</f>
        <v/>
      </c>
      <c r="BU99" s="2">
        <v>46198</v>
      </c>
      <c r="BV99" s="3" t="s">
        <v>1169</v>
      </c>
      <c r="BW99" s="3" t="s">
        <v>1167</v>
      </c>
      <c r="BX99" s="3" t="s">
        <v>1168</v>
      </c>
      <c r="BY99" s="3">
        <v>0</v>
      </c>
      <c r="BZ99" s="3">
        <v>0.35</v>
      </c>
      <c r="CA99" s="3">
        <v>0</v>
      </c>
      <c r="CB99" s="3">
        <v>465254</v>
      </c>
      <c r="CE99" s="21" t="str">
        <f ca="1">_xll.IMDP("BND",BV99,CE8,BV3)</f>
        <v/>
      </c>
      <c r="CF99" s="23" t="str">
        <f ca="1">_xll.IMDP("BND",BV99,CF8,BV3)</f>
        <v/>
      </c>
      <c r="CG99" s="2"/>
      <c r="CQ99" s="21" t="str">
        <f ca="1">_xll.IMDP("BND",CH99,CQ8,CH3)</f>
        <v>입력오류</v>
      </c>
      <c r="CR99" s="23" t="str">
        <f ca="1">_xll.IMDP("BND",CH99,CR8,CH3)</f>
        <v>입력오류</v>
      </c>
      <c r="CS99" s="2">
        <v>46198</v>
      </c>
      <c r="CT99" s="3" t="s">
        <v>362</v>
      </c>
      <c r="CU99" s="3" t="s">
        <v>363</v>
      </c>
      <c r="CV99" s="3" t="s">
        <v>364</v>
      </c>
      <c r="CW99" s="3">
        <v>0</v>
      </c>
      <c r="CX99" s="3">
        <v>0.32</v>
      </c>
      <c r="CY99" s="3">
        <v>0</v>
      </c>
      <c r="CZ99" s="3">
        <v>463480</v>
      </c>
      <c r="DC99" s="21" t="str">
        <f ca="1">_xll.IMDP("BND",CT99,DC8,CT3)</f>
        <v/>
      </c>
      <c r="DD99" s="23" t="str">
        <f ca="1">_xll.IMDP("BND",CT99,DD8,CT3)</f>
        <v/>
      </c>
      <c r="DE99" s="2"/>
      <c r="DO99" s="21" t="str">
        <f ca="1">_xll.IMDP("BND",DF99,DO8,DF3)</f>
        <v>입력오류</v>
      </c>
      <c r="DP99" s="23" t="str">
        <f ca="1">_xll.IMDP("BND",DF99,DP8,DF3)</f>
        <v>입력오류</v>
      </c>
      <c r="DQ99" s="2"/>
      <c r="EA99" s="21" t="str">
        <f ca="1">_xll.IMDP("BND",DR99,EA8,DR3)</f>
        <v>입력오류</v>
      </c>
      <c r="EB99" s="23" t="str">
        <f ca="1">_xll.IMDP("BND",DR99,EB8,DR3)</f>
        <v>입력오류</v>
      </c>
    </row>
    <row r="100" spans="1:132" ht="13.5" customHeight="1" x14ac:dyDescent="0.3">
      <c r="A100" s="2">
        <v>46198</v>
      </c>
      <c r="B100" s="3" t="s">
        <v>913</v>
      </c>
      <c r="C100" s="3" t="s">
        <v>914</v>
      </c>
      <c r="D100" s="3" t="s">
        <v>915</v>
      </c>
      <c r="E100" s="3">
        <v>0</v>
      </c>
      <c r="F100" s="3">
        <v>0.24</v>
      </c>
      <c r="G100" s="3">
        <v>0</v>
      </c>
      <c r="H100" s="3">
        <v>266641</v>
      </c>
      <c r="I100" s="3">
        <v>10041.41</v>
      </c>
      <c r="J100" s="3">
        <v>5.0107999999999997</v>
      </c>
      <c r="K100" s="21">
        <f ca="1">_xll.IMDP("BND",B100,K8,B3)</f>
        <v>20320222</v>
      </c>
      <c r="L100" s="23">
        <f ca="1">_xll.IMDP("BND",B100,L8,B3)</f>
        <v>4.274</v>
      </c>
      <c r="M100" s="2"/>
      <c r="W100" s="21" t="str">
        <f ca="1">_xll.IMDP("BND",N100,W8,N3)</f>
        <v>입력오류</v>
      </c>
      <c r="X100" s="23" t="str">
        <f ca="1">_xll.IMDP("BND",N100,X8,N3)</f>
        <v>입력오류</v>
      </c>
      <c r="Y100" s="2"/>
      <c r="AI100" s="21" t="str">
        <f ca="1">_xll.IMDP("BND",Z100,AI8,Z3)</f>
        <v>입력오류</v>
      </c>
      <c r="AJ100" s="23" t="str">
        <f ca="1">_xll.IMDP("BND",Z100,AJ8,Z3)</f>
        <v>입력오류</v>
      </c>
      <c r="AK100" s="2"/>
      <c r="AU100" s="21" t="str">
        <f ca="1">_xll.IMDP("BND",AL100,AU8,AL3)</f>
        <v>입력오류</v>
      </c>
      <c r="AV100" s="23" t="str">
        <f ca="1">_xll.IMDP("BND",AL100,AV8,AL3)</f>
        <v>입력오류</v>
      </c>
      <c r="AW100" s="2"/>
      <c r="BG100" s="21" t="str">
        <f ca="1">_xll.IMDP("BND",AX100,BG8,AX3)</f>
        <v>입력오류</v>
      </c>
      <c r="BH100" s="23" t="str">
        <f ca="1">_xll.IMDP("BND",AX100,BH8,AX3)</f>
        <v>입력오류</v>
      </c>
      <c r="BI100" s="2">
        <v>46198</v>
      </c>
      <c r="BJ100" s="3" t="s">
        <v>569</v>
      </c>
      <c r="BK100" s="3" t="s">
        <v>567</v>
      </c>
      <c r="BL100" s="3" t="s">
        <v>568</v>
      </c>
      <c r="BM100" s="3">
        <v>0</v>
      </c>
      <c r="BN100" s="3">
        <v>0.31</v>
      </c>
      <c r="BO100" s="3">
        <v>0</v>
      </c>
      <c r="BP100" s="3">
        <v>383313</v>
      </c>
      <c r="BS100" s="21" t="str">
        <f ca="1">_xll.IMDP("BND",BJ100,BS8,BJ3)</f>
        <v/>
      </c>
      <c r="BT100" s="23" t="str">
        <f ca="1">_xll.IMDP("BND",BJ100,BT8,BJ3)</f>
        <v/>
      </c>
      <c r="BU100" s="2">
        <v>46198</v>
      </c>
      <c r="BV100" s="3" t="s">
        <v>1166</v>
      </c>
      <c r="BW100" s="3" t="s">
        <v>1167</v>
      </c>
      <c r="BX100" s="3" t="s">
        <v>1168</v>
      </c>
      <c r="BY100" s="3">
        <v>0</v>
      </c>
      <c r="BZ100" s="3">
        <v>0.35</v>
      </c>
      <c r="CA100" s="3">
        <v>0</v>
      </c>
      <c r="CB100" s="3">
        <v>465254</v>
      </c>
      <c r="CE100" s="21" t="str">
        <f ca="1">_xll.IMDP("BND",BV100,CE8,BV3)</f>
        <v/>
      </c>
      <c r="CF100" s="23" t="str">
        <f ca="1">_xll.IMDP("BND",BV100,CF8,BV3)</f>
        <v/>
      </c>
      <c r="CG100" s="2"/>
      <c r="CQ100" s="21" t="str">
        <f ca="1">_xll.IMDP("BND",CH100,CQ8,CH3)</f>
        <v>입력오류</v>
      </c>
      <c r="CR100" s="23" t="str">
        <f ca="1">_xll.IMDP("BND",CH100,CR8,CH3)</f>
        <v>입력오류</v>
      </c>
      <c r="CS100" s="2">
        <v>46198</v>
      </c>
      <c r="CT100" s="3" t="s">
        <v>360</v>
      </c>
      <c r="CU100" s="3" t="s">
        <v>200</v>
      </c>
      <c r="CV100" s="3" t="s">
        <v>361</v>
      </c>
      <c r="CW100" s="3">
        <v>0</v>
      </c>
      <c r="CX100" s="3">
        <v>0.32</v>
      </c>
      <c r="CY100" s="3">
        <v>0</v>
      </c>
      <c r="CZ100" s="3">
        <v>463414</v>
      </c>
      <c r="DA100" s="3">
        <v>9922.76</v>
      </c>
      <c r="DB100" s="3">
        <v>4.3498999999999999</v>
      </c>
      <c r="DC100" s="21">
        <f ca="1">_xll.IMDP("BND",CT100,DC8,CT3)</f>
        <v>20310430</v>
      </c>
      <c r="DD100" s="23">
        <f ca="1">_xll.IMDP("BND",CT100,DD8,CT3)</f>
        <v>4.351</v>
      </c>
      <c r="DE100" s="2"/>
      <c r="DO100" s="21" t="str">
        <f ca="1">_xll.IMDP("BND",DF100,DO8,DF3)</f>
        <v>입력오류</v>
      </c>
      <c r="DP100" s="23" t="str">
        <f ca="1">_xll.IMDP("BND",DF100,DP8,DF3)</f>
        <v>입력오류</v>
      </c>
      <c r="DQ100" s="2"/>
      <c r="EA100" s="21" t="str">
        <f ca="1">_xll.IMDP("BND",DR100,EA8,DR3)</f>
        <v>입력오류</v>
      </c>
      <c r="EB100" s="23" t="str">
        <f ca="1">_xll.IMDP("BND",DR100,EB8,DR3)</f>
        <v>입력오류</v>
      </c>
    </row>
    <row r="101" spans="1:132" ht="13.5" customHeight="1" x14ac:dyDescent="0.3">
      <c r="A101" s="2">
        <v>46198</v>
      </c>
      <c r="B101" s="3" t="s">
        <v>919</v>
      </c>
      <c r="C101" s="3" t="s">
        <v>920</v>
      </c>
      <c r="D101" s="3" t="s">
        <v>921</v>
      </c>
      <c r="E101" s="3">
        <v>0</v>
      </c>
      <c r="F101" s="3">
        <v>0.24</v>
      </c>
      <c r="G101" s="3">
        <v>0</v>
      </c>
      <c r="H101" s="3">
        <v>266479</v>
      </c>
      <c r="I101" s="3">
        <v>10035.549999999999</v>
      </c>
      <c r="J101" s="3">
        <v>1.2051000000000001</v>
      </c>
      <c r="K101" s="21">
        <f ca="1">_xll.IMDP("BND",B101,K8,B3)</f>
        <v>20270924</v>
      </c>
      <c r="L101" s="23">
        <f ca="1">_xll.IMDP("BND",B101,L8,B3)</f>
        <v>4.024</v>
      </c>
      <c r="M101" s="2"/>
      <c r="W101" s="21" t="str">
        <f ca="1">_xll.IMDP("BND",N101,W8,N3)</f>
        <v>입력오류</v>
      </c>
      <c r="X101" s="23" t="str">
        <f ca="1">_xll.IMDP("BND",N101,X8,N3)</f>
        <v>입력오류</v>
      </c>
      <c r="Y101" s="2"/>
      <c r="AI101" s="21" t="str">
        <f ca="1">_xll.IMDP("BND",Z101,AI8,Z3)</f>
        <v>입력오류</v>
      </c>
      <c r="AJ101" s="23" t="str">
        <f ca="1">_xll.IMDP("BND",Z101,AJ8,Z3)</f>
        <v>입력오류</v>
      </c>
      <c r="AK101" s="2"/>
      <c r="AU101" s="21" t="str">
        <f ca="1">_xll.IMDP("BND",AL101,AU8,AL3)</f>
        <v>입력오류</v>
      </c>
      <c r="AV101" s="23" t="str">
        <f ca="1">_xll.IMDP("BND",AL101,AV8,AL3)</f>
        <v>입력오류</v>
      </c>
      <c r="AW101" s="2"/>
      <c r="BG101" s="21" t="str">
        <f ca="1">_xll.IMDP("BND",AX101,BG8,AX3)</f>
        <v>입력오류</v>
      </c>
      <c r="BH101" s="23" t="str">
        <f ca="1">_xll.IMDP("BND",AX101,BH8,AX3)</f>
        <v>입력오류</v>
      </c>
      <c r="BI101" s="2">
        <v>46198</v>
      </c>
      <c r="BJ101" s="3" t="s">
        <v>572</v>
      </c>
      <c r="BK101" s="3" t="s">
        <v>573</v>
      </c>
      <c r="BL101" s="3" t="s">
        <v>574</v>
      </c>
      <c r="BM101" s="3">
        <v>0</v>
      </c>
      <c r="BN101" s="3">
        <v>0.31</v>
      </c>
      <c r="BO101" s="3">
        <v>0</v>
      </c>
      <c r="BP101" s="3">
        <v>382859</v>
      </c>
      <c r="BQ101" s="3">
        <v>9984.82</v>
      </c>
      <c r="BR101" s="3">
        <v>1.2016</v>
      </c>
      <c r="BS101" s="21">
        <f ca="1">_xll.IMDP("BND",BJ101,BS8,BJ3)</f>
        <v>20270923</v>
      </c>
      <c r="BT101" s="23">
        <f ca="1">_xll.IMDP("BND",BJ101,BT8,BJ3)</f>
        <v>4.4020000000000001</v>
      </c>
      <c r="BU101" s="2">
        <v>46198</v>
      </c>
      <c r="BV101" s="3" t="s">
        <v>1172</v>
      </c>
      <c r="BW101" s="3" t="s">
        <v>1167</v>
      </c>
      <c r="BX101" s="3" t="s">
        <v>1168</v>
      </c>
      <c r="BY101" s="3">
        <v>0</v>
      </c>
      <c r="BZ101" s="3">
        <v>0.35</v>
      </c>
      <c r="CA101" s="3">
        <v>0</v>
      </c>
      <c r="CB101" s="3">
        <v>465254</v>
      </c>
      <c r="CE101" s="21" t="str">
        <f ca="1">_xll.IMDP("BND",BV101,CE8,BV3)</f>
        <v/>
      </c>
      <c r="CF101" s="23" t="str">
        <f ca="1">_xll.IMDP("BND",BV101,CF8,BV3)</f>
        <v/>
      </c>
      <c r="CG101" s="2"/>
      <c r="CQ101" s="21" t="str">
        <f ca="1">_xll.IMDP("BND",CH101,CQ8,CH3)</f>
        <v>입력오류</v>
      </c>
      <c r="CR101" s="23" t="str">
        <f ca="1">_xll.IMDP("BND",CH101,CR8,CH3)</f>
        <v>입력오류</v>
      </c>
      <c r="CS101" s="2">
        <v>46198</v>
      </c>
      <c r="CT101" s="3" t="s">
        <v>371</v>
      </c>
      <c r="CU101" s="3" t="s">
        <v>212</v>
      </c>
      <c r="CV101" s="3" t="s">
        <v>372</v>
      </c>
      <c r="CW101" s="3">
        <v>0</v>
      </c>
      <c r="CX101" s="3">
        <v>0.32</v>
      </c>
      <c r="CY101" s="3">
        <v>0</v>
      </c>
      <c r="CZ101" s="3">
        <v>463065</v>
      </c>
      <c r="DC101" s="21" t="str">
        <f ca="1">_xll.IMDP("BND",CT101,DC8,CT3)</f>
        <v/>
      </c>
      <c r="DD101" s="23" t="str">
        <f ca="1">_xll.IMDP("BND",CT101,DD8,CT3)</f>
        <v/>
      </c>
      <c r="DE101" s="2"/>
      <c r="DO101" s="21" t="str">
        <f ca="1">_xll.IMDP("BND",DF101,DO8,DF3)</f>
        <v>입력오류</v>
      </c>
      <c r="DP101" s="23" t="str">
        <f ca="1">_xll.IMDP("BND",DF101,DP8,DF3)</f>
        <v>입력오류</v>
      </c>
      <c r="DQ101" s="2"/>
      <c r="EA101" s="21" t="str">
        <f ca="1">_xll.IMDP("BND",DR101,EA8,DR3)</f>
        <v>입력오류</v>
      </c>
      <c r="EB101" s="23" t="str">
        <f ca="1">_xll.IMDP("BND",DR101,EB8,DR3)</f>
        <v>입력오류</v>
      </c>
    </row>
    <row r="102" spans="1:132" ht="13.5" customHeight="1" x14ac:dyDescent="0.3">
      <c r="A102" s="2">
        <v>46198</v>
      </c>
      <c r="B102" s="3" t="s">
        <v>922</v>
      </c>
      <c r="C102" s="3" t="s">
        <v>923</v>
      </c>
      <c r="D102" s="3" t="s">
        <v>924</v>
      </c>
      <c r="E102" s="3">
        <v>0</v>
      </c>
      <c r="F102" s="3">
        <v>0.24</v>
      </c>
      <c r="G102" s="3">
        <v>0</v>
      </c>
      <c r="H102" s="3">
        <v>266282</v>
      </c>
      <c r="I102" s="3">
        <v>10027.719999999999</v>
      </c>
      <c r="J102" s="3">
        <v>1.2421</v>
      </c>
      <c r="K102" s="21">
        <f ca="1">_xll.IMDP("BND",B102,K8,B3)</f>
        <v>20271008</v>
      </c>
      <c r="L102" s="23">
        <f ca="1">_xll.IMDP("BND",B102,L8,B3)</f>
        <v>4.0860000000000003</v>
      </c>
      <c r="M102" s="2"/>
      <c r="W102" s="21" t="str">
        <f ca="1">_xll.IMDP("BND",N102,W8,N3)</f>
        <v>입력오류</v>
      </c>
      <c r="X102" s="23" t="str">
        <f ca="1">_xll.IMDP("BND",N102,X8,N3)</f>
        <v>입력오류</v>
      </c>
      <c r="Y102" s="2"/>
      <c r="AI102" s="21" t="str">
        <f ca="1">_xll.IMDP("BND",Z102,AI8,Z3)</f>
        <v>입력오류</v>
      </c>
      <c r="AJ102" s="23" t="str">
        <f ca="1">_xll.IMDP("BND",Z102,AJ8,Z3)</f>
        <v>입력오류</v>
      </c>
      <c r="AK102" s="2"/>
      <c r="AU102" s="21" t="str">
        <f ca="1">_xll.IMDP("BND",AL102,AU8,AL3)</f>
        <v>입력오류</v>
      </c>
      <c r="AV102" s="23" t="str">
        <f ca="1">_xll.IMDP("BND",AL102,AV8,AL3)</f>
        <v>입력오류</v>
      </c>
      <c r="AW102" s="2"/>
      <c r="BG102" s="21" t="str">
        <f ca="1">_xll.IMDP("BND",AX102,BG8,AX3)</f>
        <v>입력오류</v>
      </c>
      <c r="BH102" s="23" t="str">
        <f ca="1">_xll.IMDP("BND",AX102,BH8,AX3)</f>
        <v>입력오류</v>
      </c>
      <c r="BI102" s="2">
        <v>46198</v>
      </c>
      <c r="BJ102" s="3" t="s">
        <v>575</v>
      </c>
      <c r="BK102" s="3" t="s">
        <v>296</v>
      </c>
      <c r="BL102" s="3" t="s">
        <v>576</v>
      </c>
      <c r="BM102" s="3">
        <v>0</v>
      </c>
      <c r="BN102" s="3">
        <v>0.31</v>
      </c>
      <c r="BO102" s="3">
        <v>0</v>
      </c>
      <c r="BP102" s="3">
        <v>382655</v>
      </c>
      <c r="BQ102" s="3">
        <v>9979.58</v>
      </c>
      <c r="BR102" s="3">
        <v>1.0099</v>
      </c>
      <c r="BS102" s="21">
        <f ca="1">_xll.IMDP("BND",BJ102,BS8,BJ3)</f>
        <v>20270709</v>
      </c>
      <c r="BT102" s="23">
        <f ca="1">_xll.IMDP("BND",BJ102,BT8,BJ3)</f>
        <v>3.9350000000000001</v>
      </c>
      <c r="BU102" s="2">
        <v>46198</v>
      </c>
      <c r="BV102" s="3" t="s">
        <v>1170</v>
      </c>
      <c r="BW102" s="3" t="s">
        <v>1167</v>
      </c>
      <c r="BX102" s="3" t="s">
        <v>1168</v>
      </c>
      <c r="BY102" s="3">
        <v>0</v>
      </c>
      <c r="BZ102" s="3">
        <v>0.35</v>
      </c>
      <c r="CA102" s="3">
        <v>0</v>
      </c>
      <c r="CB102" s="3">
        <v>465254</v>
      </c>
      <c r="CE102" s="21" t="str">
        <f ca="1">_xll.IMDP("BND",BV102,CE8,BV3)</f>
        <v/>
      </c>
      <c r="CF102" s="23" t="str">
        <f ca="1">_xll.IMDP("BND",BV102,CF8,BV3)</f>
        <v/>
      </c>
      <c r="CG102" s="2"/>
      <c r="CQ102" s="21" t="str">
        <f ca="1">_xll.IMDP("BND",CH102,CQ8,CH3)</f>
        <v>입력오류</v>
      </c>
      <c r="CR102" s="23" t="str">
        <f ca="1">_xll.IMDP("BND",CH102,CR8,CH3)</f>
        <v>입력오류</v>
      </c>
      <c r="CS102" s="2">
        <v>46198</v>
      </c>
      <c r="CT102" s="3" t="s">
        <v>368</v>
      </c>
      <c r="CU102" s="3" t="s">
        <v>369</v>
      </c>
      <c r="CV102" s="3" t="s">
        <v>370</v>
      </c>
      <c r="CW102" s="3">
        <v>0</v>
      </c>
      <c r="CX102" s="3">
        <v>0.32</v>
      </c>
      <c r="CY102" s="3">
        <v>0</v>
      </c>
      <c r="CZ102" s="3">
        <v>463035</v>
      </c>
      <c r="DA102" s="3">
        <v>9915.7099999999991</v>
      </c>
      <c r="DB102" s="3">
        <v>1.1805000000000001</v>
      </c>
      <c r="DC102" s="21">
        <f ca="1">_xll.IMDP("BND",CT102,DC8,CT3)</f>
        <v>20270910</v>
      </c>
      <c r="DD102" s="23">
        <f ca="1">_xll.IMDP("BND",CT102,DD8,CT3)</f>
        <v>4.016</v>
      </c>
      <c r="DE102" s="2"/>
      <c r="DO102" s="21" t="str">
        <f ca="1">_xll.IMDP("BND",DF102,DO8,DF3)</f>
        <v>입력오류</v>
      </c>
      <c r="DP102" s="23" t="str">
        <f ca="1">_xll.IMDP("BND",DF102,DP8,DF3)</f>
        <v>입력오류</v>
      </c>
      <c r="DQ102" s="2"/>
      <c r="EA102" s="21" t="str">
        <f ca="1">_xll.IMDP("BND",DR102,EA8,DR3)</f>
        <v>입력오류</v>
      </c>
      <c r="EB102" s="23" t="str">
        <f ca="1">_xll.IMDP("BND",DR102,EB8,DR3)</f>
        <v>입력오류</v>
      </c>
    </row>
    <row r="103" spans="1:132" ht="13.5" customHeight="1" x14ac:dyDescent="0.3">
      <c r="A103" s="2">
        <v>46198</v>
      </c>
      <c r="B103" s="3" t="s">
        <v>925</v>
      </c>
      <c r="C103" s="3" t="s">
        <v>926</v>
      </c>
      <c r="D103" s="3" t="s">
        <v>927</v>
      </c>
      <c r="E103" s="3">
        <v>0</v>
      </c>
      <c r="F103" s="3">
        <v>0.24</v>
      </c>
      <c r="G103" s="3">
        <v>0</v>
      </c>
      <c r="H103" s="3">
        <v>266264</v>
      </c>
      <c r="I103" s="3">
        <v>10027.89</v>
      </c>
      <c r="J103" s="3">
        <v>1.008</v>
      </c>
      <c r="K103" s="21">
        <f ca="1">_xll.IMDP("BND",B103,K8,B3)</f>
        <v>20270709</v>
      </c>
      <c r="L103" s="23">
        <f ca="1">_xll.IMDP("BND",B103,L8,B3)</f>
        <v>3.887</v>
      </c>
      <c r="M103" s="2"/>
      <c r="W103" s="21" t="str">
        <f ca="1">_xll.IMDP("BND",N103,W8,N3)</f>
        <v>입력오류</v>
      </c>
      <c r="X103" s="23" t="str">
        <f ca="1">_xll.IMDP("BND",N103,X8,N3)</f>
        <v>입력오류</v>
      </c>
      <c r="Y103" s="2"/>
      <c r="AI103" s="21" t="str">
        <f ca="1">_xll.IMDP("BND",Z103,AI8,Z3)</f>
        <v>입력오류</v>
      </c>
      <c r="AJ103" s="23" t="str">
        <f ca="1">_xll.IMDP("BND",Z103,AJ8,Z3)</f>
        <v>입력오류</v>
      </c>
      <c r="AK103" s="2"/>
      <c r="AU103" s="21" t="str">
        <f ca="1">_xll.IMDP("BND",AL103,AU8,AL3)</f>
        <v>입력오류</v>
      </c>
      <c r="AV103" s="23" t="str">
        <f ca="1">_xll.IMDP("BND",AL103,AV8,AL3)</f>
        <v>입력오류</v>
      </c>
      <c r="AW103" s="2"/>
      <c r="BG103" s="21" t="str">
        <f ca="1">_xll.IMDP("BND",AX103,BG8,AX3)</f>
        <v>입력오류</v>
      </c>
      <c r="BH103" s="23" t="str">
        <f ca="1">_xll.IMDP("BND",AX103,BH8,AX3)</f>
        <v>입력오류</v>
      </c>
      <c r="BI103" s="2">
        <v>46198</v>
      </c>
      <c r="BJ103" s="3" t="s">
        <v>577</v>
      </c>
      <c r="BK103" s="3" t="s">
        <v>578</v>
      </c>
      <c r="BL103" s="3" t="s">
        <v>579</v>
      </c>
      <c r="BM103" s="3">
        <v>0</v>
      </c>
      <c r="BN103" s="3">
        <v>0.3</v>
      </c>
      <c r="BO103" s="3">
        <v>0</v>
      </c>
      <c r="BP103" s="3">
        <v>381878</v>
      </c>
      <c r="BQ103" s="3">
        <v>9959.44</v>
      </c>
      <c r="BR103" s="3">
        <v>1.1394</v>
      </c>
      <c r="BS103" s="21">
        <f ca="1">_xll.IMDP("BND",BJ103,BS8,BJ3)</f>
        <v>20270826</v>
      </c>
      <c r="BT103" s="23">
        <f ca="1">_xll.IMDP("BND",BJ103,BT8,BJ3)</f>
        <v>3.7730000000000001</v>
      </c>
      <c r="BU103" s="2">
        <v>46198</v>
      </c>
      <c r="BV103" s="3" t="s">
        <v>1171</v>
      </c>
      <c r="BW103" s="3" t="s">
        <v>1167</v>
      </c>
      <c r="BX103" s="3" t="s">
        <v>1168</v>
      </c>
      <c r="BY103" s="3">
        <v>0</v>
      </c>
      <c r="BZ103" s="3">
        <v>0.35</v>
      </c>
      <c r="CA103" s="3">
        <v>0</v>
      </c>
      <c r="CB103" s="3">
        <v>465254</v>
      </c>
      <c r="CE103" s="21" t="str">
        <f ca="1">_xll.IMDP("BND",BV103,CE8,BV3)</f>
        <v/>
      </c>
      <c r="CF103" s="23" t="str">
        <f ca="1">_xll.IMDP("BND",BV103,CF8,BV3)</f>
        <v/>
      </c>
      <c r="CG103" s="2"/>
      <c r="CQ103" s="21" t="str">
        <f ca="1">_xll.IMDP("BND",CH103,CQ8,CH3)</f>
        <v>입력오류</v>
      </c>
      <c r="CR103" s="23" t="str">
        <f ca="1">_xll.IMDP("BND",CH103,CR8,CH3)</f>
        <v>입력오류</v>
      </c>
      <c r="CS103" s="2">
        <v>46198</v>
      </c>
      <c r="CT103" s="3" t="s">
        <v>365</v>
      </c>
      <c r="CU103" s="3" t="s">
        <v>366</v>
      </c>
      <c r="CV103" s="3" t="s">
        <v>367</v>
      </c>
      <c r="CW103" s="3">
        <v>0</v>
      </c>
      <c r="CX103" s="3">
        <v>0.32</v>
      </c>
      <c r="CY103" s="3">
        <v>0</v>
      </c>
      <c r="CZ103" s="3">
        <v>463000</v>
      </c>
      <c r="DA103" s="3">
        <v>9916.5</v>
      </c>
      <c r="DB103" s="3">
        <v>5.7927</v>
      </c>
      <c r="DC103" s="21">
        <f ca="1">_xll.IMDP("BND",CT103,DC8,CT3)</f>
        <v>20330323</v>
      </c>
      <c r="DD103" s="23">
        <f ca="1">_xll.IMDP("BND",CT103,DD8,CT3)</f>
        <v>4.2850000000000001</v>
      </c>
      <c r="DE103" s="2"/>
      <c r="DO103" s="21" t="str">
        <f ca="1">_xll.IMDP("BND",DF103,DO8,DF3)</f>
        <v>입력오류</v>
      </c>
      <c r="DP103" s="23" t="str">
        <f ca="1">_xll.IMDP("BND",DF103,DP8,DF3)</f>
        <v>입력오류</v>
      </c>
      <c r="DQ103" s="2"/>
      <c r="EA103" s="21" t="str">
        <f ca="1">_xll.IMDP("BND",DR103,EA8,DR3)</f>
        <v>입력오류</v>
      </c>
      <c r="EB103" s="23" t="str">
        <f ca="1">_xll.IMDP("BND",DR103,EB8,DR3)</f>
        <v>입력오류</v>
      </c>
    </row>
    <row r="104" spans="1:132" ht="13.5" customHeight="1" x14ac:dyDescent="0.3">
      <c r="A104" s="2">
        <v>46198</v>
      </c>
      <c r="B104" s="3" t="s">
        <v>928</v>
      </c>
      <c r="C104" s="3" t="s">
        <v>929</v>
      </c>
      <c r="D104" s="3" t="s">
        <v>930</v>
      </c>
      <c r="E104" s="3">
        <v>0</v>
      </c>
      <c r="F104" s="3">
        <v>0.24</v>
      </c>
      <c r="G104" s="3">
        <v>0</v>
      </c>
      <c r="H104" s="3">
        <v>266248</v>
      </c>
      <c r="I104" s="3">
        <v>10027.209999999999</v>
      </c>
      <c r="J104" s="3">
        <v>0.81159999999999999</v>
      </c>
      <c r="K104" s="21">
        <f ca="1">_xll.IMDP("BND",B104,K8,B3)</f>
        <v>20270424</v>
      </c>
      <c r="L104" s="23">
        <f ca="1">_xll.IMDP("BND",B104,L8,B3)</f>
        <v>3.5449999999999999</v>
      </c>
      <c r="M104" s="2"/>
      <c r="W104" s="21" t="str">
        <f ca="1">_xll.IMDP("BND",N104,W8,N3)</f>
        <v>입력오류</v>
      </c>
      <c r="X104" s="23" t="str">
        <f ca="1">_xll.IMDP("BND",N104,X8,N3)</f>
        <v>입력오류</v>
      </c>
      <c r="Y104" s="2"/>
      <c r="AI104" s="21" t="str">
        <f ca="1">_xll.IMDP("BND",Z104,AI8,Z3)</f>
        <v>입력오류</v>
      </c>
      <c r="AJ104" s="23" t="str">
        <f ca="1">_xll.IMDP("BND",Z104,AJ8,Z3)</f>
        <v>입력오류</v>
      </c>
      <c r="AK104" s="2"/>
      <c r="AU104" s="21" t="str">
        <f ca="1">_xll.IMDP("BND",AL104,AU8,AL3)</f>
        <v>입력오류</v>
      </c>
      <c r="AV104" s="23" t="str">
        <f ca="1">_xll.IMDP("BND",AL104,AV8,AL3)</f>
        <v>입력오류</v>
      </c>
      <c r="AW104" s="2"/>
      <c r="BG104" s="21" t="str">
        <f ca="1">_xll.IMDP("BND",AX104,BG8,AX3)</f>
        <v>입력오류</v>
      </c>
      <c r="BH104" s="23" t="str">
        <f ca="1">_xll.IMDP("BND",AX104,BH8,AX3)</f>
        <v>입력오류</v>
      </c>
      <c r="BI104" s="2">
        <v>46198</v>
      </c>
      <c r="BJ104" s="3" t="s">
        <v>585</v>
      </c>
      <c r="BK104" s="3" t="s">
        <v>583</v>
      </c>
      <c r="BL104" s="3" t="s">
        <v>584</v>
      </c>
      <c r="BM104" s="3">
        <v>0</v>
      </c>
      <c r="BN104" s="3">
        <v>0.3</v>
      </c>
      <c r="BO104" s="3">
        <v>0</v>
      </c>
      <c r="BP104" s="3">
        <v>381769</v>
      </c>
      <c r="BS104" s="21" t="str">
        <f ca="1">_xll.IMDP("BND",BJ104,BS8,BJ3)</f>
        <v/>
      </c>
      <c r="BT104" s="23" t="str">
        <f ca="1">_xll.IMDP("BND",BJ104,BT8,BJ3)</f>
        <v/>
      </c>
      <c r="BU104" s="2">
        <v>46198</v>
      </c>
      <c r="BV104" s="3" t="s">
        <v>1173</v>
      </c>
      <c r="BW104" s="3" t="s">
        <v>1167</v>
      </c>
      <c r="BX104" s="3" t="s">
        <v>1168</v>
      </c>
      <c r="BY104" s="3">
        <v>0</v>
      </c>
      <c r="BZ104" s="3">
        <v>0.35</v>
      </c>
      <c r="CA104" s="3">
        <v>0</v>
      </c>
      <c r="CB104" s="3">
        <v>465254</v>
      </c>
      <c r="CE104" s="21" t="str">
        <f ca="1">_xll.IMDP("BND",BV104,CE8,BV3)</f>
        <v/>
      </c>
      <c r="CF104" s="23" t="str">
        <f ca="1">_xll.IMDP("BND",BV104,CF8,BV3)</f>
        <v/>
      </c>
      <c r="CG104" s="2"/>
      <c r="CQ104" s="21" t="str">
        <f ca="1">_xll.IMDP("BND",CH104,CQ8,CH3)</f>
        <v>입력오류</v>
      </c>
      <c r="CR104" s="23" t="str">
        <f ca="1">_xll.IMDP("BND",CH104,CR8,CH3)</f>
        <v>입력오류</v>
      </c>
      <c r="CS104" s="2">
        <v>46198</v>
      </c>
      <c r="CT104" s="3" t="s">
        <v>379</v>
      </c>
      <c r="CU104" s="3" t="s">
        <v>380</v>
      </c>
      <c r="CV104" s="3" t="s">
        <v>381</v>
      </c>
      <c r="CW104" s="3">
        <v>0</v>
      </c>
      <c r="CX104" s="3">
        <v>0.32</v>
      </c>
      <c r="CY104" s="3">
        <v>0</v>
      </c>
      <c r="CZ104" s="3">
        <v>462794</v>
      </c>
      <c r="DC104" s="21" t="str">
        <f ca="1">_xll.IMDP("BND",CT104,DC8,CT3)</f>
        <v/>
      </c>
      <c r="DD104" s="23" t="str">
        <f ca="1">_xll.IMDP("BND",CT104,DD8,CT3)</f>
        <v/>
      </c>
      <c r="DE104" s="2"/>
      <c r="DO104" s="21" t="str">
        <f ca="1">_xll.IMDP("BND",DF104,DO8,DF3)</f>
        <v>입력오류</v>
      </c>
      <c r="DP104" s="23" t="str">
        <f ca="1">_xll.IMDP("BND",DF104,DP8,DF3)</f>
        <v>입력오류</v>
      </c>
      <c r="DQ104" s="2"/>
      <c r="EA104" s="21" t="str">
        <f ca="1">_xll.IMDP("BND",DR104,EA8,DR3)</f>
        <v>입력오류</v>
      </c>
      <c r="EB104" s="23" t="str">
        <f ca="1">_xll.IMDP("BND",DR104,EB8,DR3)</f>
        <v>입력오류</v>
      </c>
    </row>
    <row r="105" spans="1:132" ht="13.5" customHeight="1" x14ac:dyDescent="0.3">
      <c r="A105" s="2">
        <v>46198</v>
      </c>
      <c r="B105" s="3" t="s">
        <v>931</v>
      </c>
      <c r="C105" s="3" t="s">
        <v>390</v>
      </c>
      <c r="D105" s="3" t="s">
        <v>932</v>
      </c>
      <c r="E105" s="3">
        <v>0</v>
      </c>
      <c r="F105" s="3">
        <v>0.24</v>
      </c>
      <c r="G105" s="3">
        <v>0</v>
      </c>
      <c r="H105" s="3">
        <v>266238</v>
      </c>
      <c r="I105" s="3">
        <v>10026.82</v>
      </c>
      <c r="J105" s="3">
        <v>0.56759999999999999</v>
      </c>
      <c r="K105" s="21">
        <f ca="1">_xll.IMDP("BND",B105,K8,B3)</f>
        <v>20270122</v>
      </c>
      <c r="L105" s="23">
        <f ca="1">_xll.IMDP("BND",B105,L8,B3)</f>
        <v>3.3140000000000001</v>
      </c>
      <c r="M105" s="2"/>
      <c r="W105" s="21" t="str">
        <f ca="1">_xll.IMDP("BND",N105,W8,N3)</f>
        <v>입력오류</v>
      </c>
      <c r="X105" s="23" t="str">
        <f ca="1">_xll.IMDP("BND",N105,X8,N3)</f>
        <v>입력오류</v>
      </c>
      <c r="Y105" s="2"/>
      <c r="AI105" s="21" t="str">
        <f ca="1">_xll.IMDP("BND",Z105,AI8,Z3)</f>
        <v>입력오류</v>
      </c>
      <c r="AJ105" s="23" t="str">
        <f ca="1">_xll.IMDP("BND",Z105,AJ8,Z3)</f>
        <v>입력오류</v>
      </c>
      <c r="AK105" s="2"/>
      <c r="AU105" s="21" t="str">
        <f ca="1">_xll.IMDP("BND",AL105,AU8,AL3)</f>
        <v>입력오류</v>
      </c>
      <c r="AV105" s="23" t="str">
        <f ca="1">_xll.IMDP("BND",AL105,AV8,AL3)</f>
        <v>입력오류</v>
      </c>
      <c r="AW105" s="2"/>
      <c r="BG105" s="21" t="str">
        <f ca="1">_xll.IMDP("BND",AX105,BG8,AX3)</f>
        <v>입력오류</v>
      </c>
      <c r="BH105" s="23" t="str">
        <f ca="1">_xll.IMDP("BND",AX105,BH8,AX3)</f>
        <v>입력오류</v>
      </c>
      <c r="BI105" s="2">
        <v>46198</v>
      </c>
      <c r="BJ105" s="3" t="s">
        <v>587</v>
      </c>
      <c r="BK105" s="3" t="s">
        <v>583</v>
      </c>
      <c r="BL105" s="3" t="s">
        <v>584</v>
      </c>
      <c r="BM105" s="3">
        <v>0</v>
      </c>
      <c r="BN105" s="3">
        <v>0.3</v>
      </c>
      <c r="BO105" s="3">
        <v>0</v>
      </c>
      <c r="BP105" s="3">
        <v>381769</v>
      </c>
      <c r="BS105" s="21" t="str">
        <f ca="1">_xll.IMDP("BND",BJ105,BS8,BJ3)</f>
        <v/>
      </c>
      <c r="BT105" s="23" t="str">
        <f ca="1">_xll.IMDP("BND",BJ105,BT8,BJ3)</f>
        <v/>
      </c>
      <c r="BU105" s="2">
        <v>46198</v>
      </c>
      <c r="BV105" s="3" t="s">
        <v>1177</v>
      </c>
      <c r="BW105" s="3" t="s">
        <v>1175</v>
      </c>
      <c r="BX105" s="3" t="s">
        <v>1176</v>
      </c>
      <c r="BY105" s="3">
        <v>0</v>
      </c>
      <c r="BZ105" s="3">
        <v>0.35</v>
      </c>
      <c r="CA105" s="3">
        <v>0</v>
      </c>
      <c r="CB105" s="3">
        <v>464767</v>
      </c>
      <c r="CE105" s="21" t="str">
        <f ca="1">_xll.IMDP("BND",BV105,CE8,BV3)</f>
        <v/>
      </c>
      <c r="CF105" s="23" t="str">
        <f ca="1">_xll.IMDP("BND",BV105,CF8,BV3)</f>
        <v/>
      </c>
      <c r="CG105" s="2"/>
      <c r="CQ105" s="21" t="str">
        <f ca="1">_xll.IMDP("BND",CH105,CQ8,CH3)</f>
        <v>입력오류</v>
      </c>
      <c r="CR105" s="23" t="str">
        <f ca="1">_xll.IMDP("BND",CH105,CR8,CH3)</f>
        <v>입력오류</v>
      </c>
      <c r="CS105" s="2">
        <v>46198</v>
      </c>
      <c r="CT105" s="3" t="s">
        <v>376</v>
      </c>
      <c r="CU105" s="3" t="s">
        <v>377</v>
      </c>
      <c r="CV105" s="3" t="s">
        <v>378</v>
      </c>
      <c r="CW105" s="3">
        <v>0</v>
      </c>
      <c r="CX105" s="3">
        <v>0.32</v>
      </c>
      <c r="CY105" s="3">
        <v>0</v>
      </c>
      <c r="CZ105" s="3">
        <v>462651</v>
      </c>
      <c r="DA105" s="3">
        <v>9908.02</v>
      </c>
      <c r="DB105" s="3">
        <v>1.6449</v>
      </c>
      <c r="DC105" s="21">
        <f ca="1">_xll.IMDP("BND",CT105,DC8,CT3)</f>
        <v>20280310</v>
      </c>
      <c r="DD105" s="23">
        <f ca="1">_xll.IMDP("BND",CT105,DD8,CT3)</f>
        <v>4.3159999999999998</v>
      </c>
      <c r="DE105" s="2"/>
      <c r="DO105" s="21" t="str">
        <f ca="1">_xll.IMDP("BND",DF105,DO8,DF3)</f>
        <v>입력오류</v>
      </c>
      <c r="DP105" s="23" t="str">
        <f ca="1">_xll.IMDP("BND",DF105,DP8,DF3)</f>
        <v>입력오류</v>
      </c>
      <c r="DQ105" s="2"/>
      <c r="EA105" s="21" t="str">
        <f ca="1">_xll.IMDP("BND",DR105,EA8,DR3)</f>
        <v>입력오류</v>
      </c>
      <c r="EB105" s="23" t="str">
        <f ca="1">_xll.IMDP("BND",DR105,EB8,DR3)</f>
        <v>입력오류</v>
      </c>
    </row>
    <row r="106" spans="1:132" ht="13.5" customHeight="1" x14ac:dyDescent="0.3">
      <c r="A106" s="2">
        <v>46198</v>
      </c>
      <c r="B106" s="3" t="s">
        <v>933</v>
      </c>
      <c r="C106" s="3" t="s">
        <v>926</v>
      </c>
      <c r="D106" s="3" t="s">
        <v>934</v>
      </c>
      <c r="E106" s="3">
        <v>0</v>
      </c>
      <c r="F106" s="3">
        <v>0.24</v>
      </c>
      <c r="G106" s="3">
        <v>0</v>
      </c>
      <c r="H106" s="3">
        <v>266181</v>
      </c>
      <c r="I106" s="3">
        <v>10023.85</v>
      </c>
      <c r="J106" s="3">
        <v>1.8545</v>
      </c>
      <c r="K106" s="21">
        <f ca="1">_xll.IMDP("BND",B106,K8,B3)</f>
        <v>20280605</v>
      </c>
      <c r="L106" s="23">
        <f ca="1">_xll.IMDP("BND",B106,L8,B3)</f>
        <v>4.2960000000000003</v>
      </c>
      <c r="M106" s="2"/>
      <c r="W106" s="21" t="str">
        <f ca="1">_xll.IMDP("BND",N106,W8,N3)</f>
        <v>입력오류</v>
      </c>
      <c r="X106" s="23" t="str">
        <f ca="1">_xll.IMDP("BND",N106,X8,N3)</f>
        <v>입력오류</v>
      </c>
      <c r="Y106" s="2"/>
      <c r="AI106" s="21" t="str">
        <f ca="1">_xll.IMDP("BND",Z106,AI8,Z3)</f>
        <v>입력오류</v>
      </c>
      <c r="AJ106" s="23" t="str">
        <f ca="1">_xll.IMDP("BND",Z106,AJ8,Z3)</f>
        <v>입력오류</v>
      </c>
      <c r="AK106" s="2"/>
      <c r="AU106" s="21" t="str">
        <f ca="1">_xll.IMDP("BND",AL106,AU8,AL3)</f>
        <v>입력오류</v>
      </c>
      <c r="AV106" s="23" t="str">
        <f ca="1">_xll.IMDP("BND",AL106,AV8,AL3)</f>
        <v>입력오류</v>
      </c>
      <c r="AW106" s="2"/>
      <c r="BG106" s="21" t="str">
        <f ca="1">_xll.IMDP("BND",AX106,BG8,AX3)</f>
        <v>입력오류</v>
      </c>
      <c r="BH106" s="23" t="str">
        <f ca="1">_xll.IMDP("BND",AX106,BH8,AX3)</f>
        <v>입력오류</v>
      </c>
      <c r="BI106" s="2">
        <v>46198</v>
      </c>
      <c r="BJ106" s="3" t="s">
        <v>586</v>
      </c>
      <c r="BK106" s="3" t="s">
        <v>583</v>
      </c>
      <c r="BL106" s="3" t="s">
        <v>584</v>
      </c>
      <c r="BM106" s="3">
        <v>0</v>
      </c>
      <c r="BN106" s="3">
        <v>0.3</v>
      </c>
      <c r="BO106" s="3">
        <v>0</v>
      </c>
      <c r="BP106" s="3">
        <v>381769</v>
      </c>
      <c r="BS106" s="21" t="str">
        <f ca="1">_xll.IMDP("BND",BJ106,BS8,BJ3)</f>
        <v/>
      </c>
      <c r="BT106" s="23" t="str">
        <f ca="1">_xll.IMDP("BND",BJ106,BT8,BJ3)</f>
        <v/>
      </c>
      <c r="BU106" s="2">
        <v>46198</v>
      </c>
      <c r="BV106" s="3" t="s">
        <v>1178</v>
      </c>
      <c r="BW106" s="3" t="s">
        <v>1175</v>
      </c>
      <c r="BX106" s="3" t="s">
        <v>1176</v>
      </c>
      <c r="BY106" s="3">
        <v>0</v>
      </c>
      <c r="BZ106" s="3">
        <v>0.35</v>
      </c>
      <c r="CA106" s="3">
        <v>0</v>
      </c>
      <c r="CB106" s="3">
        <v>464767</v>
      </c>
      <c r="CE106" s="21" t="str">
        <f ca="1">_xll.IMDP("BND",BV106,CE8,BV3)</f>
        <v/>
      </c>
      <c r="CF106" s="23" t="str">
        <f ca="1">_xll.IMDP("BND",BV106,CF8,BV3)</f>
        <v/>
      </c>
      <c r="CG106" s="2"/>
      <c r="CQ106" s="21" t="str">
        <f ca="1">_xll.IMDP("BND",CH106,CQ8,CH3)</f>
        <v>입력오류</v>
      </c>
      <c r="CR106" s="23" t="str">
        <f ca="1">_xll.IMDP("BND",CH106,CR8,CH3)</f>
        <v>입력오류</v>
      </c>
      <c r="CS106" s="2">
        <v>46198</v>
      </c>
      <c r="CT106" s="3" t="s">
        <v>373</v>
      </c>
      <c r="CU106" s="3" t="s">
        <v>374</v>
      </c>
      <c r="CV106" s="3" t="s">
        <v>375</v>
      </c>
      <c r="CW106" s="3">
        <v>0</v>
      </c>
      <c r="CX106" s="3">
        <v>0.32</v>
      </c>
      <c r="CY106" s="3">
        <v>0</v>
      </c>
      <c r="CZ106" s="3">
        <v>462650</v>
      </c>
      <c r="DA106" s="3">
        <v>9907.83</v>
      </c>
      <c r="DB106" s="3">
        <v>2.4761000000000002</v>
      </c>
      <c r="DC106" s="21">
        <f ca="1">_xll.IMDP("BND",CT106,DC8,CT3)</f>
        <v>20290209</v>
      </c>
      <c r="DD106" s="23">
        <f ca="1">_xll.IMDP("BND",CT106,DD8,CT3)</f>
        <v>4.2889999999999997</v>
      </c>
      <c r="DE106" s="2"/>
      <c r="DO106" s="21" t="str">
        <f ca="1">_xll.IMDP("BND",DF106,DO8,DF3)</f>
        <v>입력오류</v>
      </c>
      <c r="DP106" s="23" t="str">
        <f ca="1">_xll.IMDP("BND",DF106,DP8,DF3)</f>
        <v>입력오류</v>
      </c>
      <c r="DQ106" s="2"/>
      <c r="EA106" s="21" t="str">
        <f ca="1">_xll.IMDP("BND",DR106,EA8,DR3)</f>
        <v>입력오류</v>
      </c>
      <c r="EB106" s="23" t="str">
        <f ca="1">_xll.IMDP("BND",DR106,EB8,DR3)</f>
        <v>입력오류</v>
      </c>
    </row>
    <row r="107" spans="1:132" ht="13.5" customHeight="1" x14ac:dyDescent="0.3">
      <c r="A107" s="2">
        <v>46198</v>
      </c>
      <c r="B107" s="3" t="s">
        <v>1720</v>
      </c>
      <c r="C107" s="3" t="s">
        <v>1721</v>
      </c>
      <c r="D107" s="3" t="s">
        <v>1722</v>
      </c>
      <c r="E107" s="3">
        <v>0</v>
      </c>
      <c r="F107" s="3">
        <v>0.24</v>
      </c>
      <c r="G107" s="3">
        <v>0</v>
      </c>
      <c r="H107" s="3">
        <v>266163</v>
      </c>
      <c r="I107" s="3">
        <v>10024.049999999999</v>
      </c>
      <c r="J107" s="3">
        <v>0.80730000000000002</v>
      </c>
      <c r="K107" s="21">
        <f ca="1">_xll.IMDP("BND",B107,K8,B3)</f>
        <v>20270423</v>
      </c>
      <c r="L107" s="23">
        <f ca="1">_xll.IMDP("BND",B107,L8,B3)</f>
        <v>3.4660000000000002</v>
      </c>
      <c r="M107" s="2"/>
      <c r="W107" s="21" t="str">
        <f ca="1">_xll.IMDP("BND",N107,W8,N3)</f>
        <v>입력오류</v>
      </c>
      <c r="X107" s="23" t="str">
        <f ca="1">_xll.IMDP("BND",N107,X8,N3)</f>
        <v>입력오류</v>
      </c>
      <c r="Y107" s="2"/>
      <c r="AI107" s="21" t="str">
        <f ca="1">_xll.IMDP("BND",Z107,AI8,Z3)</f>
        <v>입력오류</v>
      </c>
      <c r="AJ107" s="23" t="str">
        <f ca="1">_xll.IMDP("BND",Z107,AJ8,Z3)</f>
        <v>입력오류</v>
      </c>
      <c r="AK107" s="2"/>
      <c r="AU107" s="21" t="str">
        <f ca="1">_xll.IMDP("BND",AL107,AU8,AL3)</f>
        <v>입력오류</v>
      </c>
      <c r="AV107" s="23" t="str">
        <f ca="1">_xll.IMDP("BND",AL107,AV8,AL3)</f>
        <v>입력오류</v>
      </c>
      <c r="AW107" s="2"/>
      <c r="BG107" s="21" t="str">
        <f ca="1">_xll.IMDP("BND",AX107,BG8,AX3)</f>
        <v>입력오류</v>
      </c>
      <c r="BH107" s="23" t="str">
        <f ca="1">_xll.IMDP("BND",AX107,BH8,AX3)</f>
        <v>입력오류</v>
      </c>
      <c r="BI107" s="2">
        <v>46198</v>
      </c>
      <c r="BJ107" s="3" t="s">
        <v>582</v>
      </c>
      <c r="BK107" s="3" t="s">
        <v>583</v>
      </c>
      <c r="BL107" s="3" t="s">
        <v>584</v>
      </c>
      <c r="BM107" s="3">
        <v>0</v>
      </c>
      <c r="BN107" s="3">
        <v>0.3</v>
      </c>
      <c r="BO107" s="3">
        <v>0</v>
      </c>
      <c r="BP107" s="3">
        <v>381769</v>
      </c>
      <c r="BS107" s="21" t="str">
        <f ca="1">_xll.IMDP("BND",BJ107,BS8,BJ3)</f>
        <v/>
      </c>
      <c r="BT107" s="23" t="str">
        <f ca="1">_xll.IMDP("BND",BJ107,BT8,BJ3)</f>
        <v/>
      </c>
      <c r="BU107" s="2">
        <v>46198</v>
      </c>
      <c r="BV107" s="3" t="s">
        <v>1174</v>
      </c>
      <c r="BW107" s="3" t="s">
        <v>1175</v>
      </c>
      <c r="BX107" s="3" t="s">
        <v>1176</v>
      </c>
      <c r="BY107" s="3">
        <v>0</v>
      </c>
      <c r="BZ107" s="3">
        <v>0.35</v>
      </c>
      <c r="CA107" s="3">
        <v>0</v>
      </c>
      <c r="CB107" s="3">
        <v>464767</v>
      </c>
      <c r="CE107" s="21" t="str">
        <f ca="1">_xll.IMDP("BND",BV107,CE8,BV3)</f>
        <v/>
      </c>
      <c r="CF107" s="23" t="str">
        <f ca="1">_xll.IMDP("BND",BV107,CF8,BV3)</f>
        <v/>
      </c>
      <c r="CG107" s="2"/>
      <c r="CQ107" s="21" t="str">
        <f ca="1">_xll.IMDP("BND",CH107,CQ8,CH3)</f>
        <v>입력오류</v>
      </c>
      <c r="CR107" s="23" t="str">
        <f ca="1">_xll.IMDP("BND",CH107,CR8,CH3)</f>
        <v>입력오류</v>
      </c>
      <c r="CS107" s="2">
        <v>46198</v>
      </c>
      <c r="CT107" s="3" t="s">
        <v>382</v>
      </c>
      <c r="CU107" s="3" t="s">
        <v>383</v>
      </c>
      <c r="CV107" s="3" t="s">
        <v>384</v>
      </c>
      <c r="CW107" s="3">
        <v>0</v>
      </c>
      <c r="CX107" s="3">
        <v>0.32</v>
      </c>
      <c r="CY107" s="3">
        <v>0</v>
      </c>
      <c r="CZ107" s="3">
        <v>462578</v>
      </c>
      <c r="DA107" s="3">
        <v>9905.91</v>
      </c>
      <c r="DB107" s="3">
        <v>1.248</v>
      </c>
      <c r="DC107" s="21">
        <f ca="1">_xll.IMDP("BND",CT107,DC8,CT3)</f>
        <v>20271008</v>
      </c>
      <c r="DD107" s="23">
        <f ca="1">_xll.IMDP("BND",CT107,DD8,CT3)</f>
        <v>4.0839999999999996</v>
      </c>
      <c r="DE107" s="2"/>
      <c r="DO107" s="21" t="str">
        <f ca="1">_xll.IMDP("BND",DF107,DO8,DF3)</f>
        <v>입력오류</v>
      </c>
      <c r="DP107" s="23" t="str">
        <f ca="1">_xll.IMDP("BND",DF107,DP8,DF3)</f>
        <v>입력오류</v>
      </c>
      <c r="DQ107" s="2"/>
      <c r="EA107" s="21" t="str">
        <f ca="1">_xll.IMDP("BND",DR107,EA8,DR3)</f>
        <v>입력오류</v>
      </c>
      <c r="EB107" s="23" t="str">
        <f ca="1">_xll.IMDP("BND",DR107,EB8,DR3)</f>
        <v>입력오류</v>
      </c>
    </row>
    <row r="108" spans="1:132" ht="13.5" customHeight="1" x14ac:dyDescent="0.3">
      <c r="A108" s="2">
        <v>46198</v>
      </c>
      <c r="B108" s="3" t="s">
        <v>1717</v>
      </c>
      <c r="C108" s="3" t="s">
        <v>1718</v>
      </c>
      <c r="D108" s="3" t="s">
        <v>1719</v>
      </c>
      <c r="E108" s="3">
        <v>0</v>
      </c>
      <c r="F108" s="3">
        <v>0.24</v>
      </c>
      <c r="G108" s="3">
        <v>0</v>
      </c>
      <c r="H108" s="3">
        <v>266130</v>
      </c>
      <c r="I108" s="3">
        <v>10021.790000000001</v>
      </c>
      <c r="J108" s="3">
        <v>1.6999</v>
      </c>
      <c r="K108" s="21">
        <f ca="1">_xll.IMDP("BND",B108,K8,B3)</f>
        <v>20280407</v>
      </c>
      <c r="L108" s="23">
        <f ca="1">_xll.IMDP("BND",B108,L8,B3)</f>
        <v>4.2720000000000002</v>
      </c>
      <c r="M108" s="2"/>
      <c r="W108" s="21" t="str">
        <f ca="1">_xll.IMDP("BND",N108,W8,N3)</f>
        <v>입력오류</v>
      </c>
      <c r="X108" s="23" t="str">
        <f ca="1">_xll.IMDP("BND",N108,X8,N3)</f>
        <v>입력오류</v>
      </c>
      <c r="Y108" s="2"/>
      <c r="AI108" s="21" t="str">
        <f ca="1">_xll.IMDP("BND",Z108,AI8,Z3)</f>
        <v>입력오류</v>
      </c>
      <c r="AJ108" s="23" t="str">
        <f ca="1">_xll.IMDP("BND",Z108,AJ8,Z3)</f>
        <v>입력오류</v>
      </c>
      <c r="AK108" s="2"/>
      <c r="AU108" s="21" t="str">
        <f ca="1">_xll.IMDP("BND",AL108,AU8,AL3)</f>
        <v>입력오류</v>
      </c>
      <c r="AV108" s="23" t="str">
        <f ca="1">_xll.IMDP("BND",AL108,AV8,AL3)</f>
        <v>입력오류</v>
      </c>
      <c r="AW108" s="2"/>
      <c r="BG108" s="21" t="str">
        <f ca="1">_xll.IMDP("BND",AX108,BG8,AX3)</f>
        <v>입력오류</v>
      </c>
      <c r="BH108" s="23" t="str">
        <f ca="1">_xll.IMDP("BND",AX108,BH8,AX3)</f>
        <v>입력오류</v>
      </c>
      <c r="BI108" s="2">
        <v>46198</v>
      </c>
      <c r="BJ108" s="3" t="s">
        <v>580</v>
      </c>
      <c r="BK108" s="3" t="s">
        <v>319</v>
      </c>
      <c r="BL108" s="3" t="s">
        <v>581</v>
      </c>
      <c r="BM108" s="3">
        <v>0</v>
      </c>
      <c r="BN108" s="3">
        <v>0.3</v>
      </c>
      <c r="BO108" s="3">
        <v>0</v>
      </c>
      <c r="BP108" s="3">
        <v>381691</v>
      </c>
      <c r="BQ108" s="3">
        <v>9954.75</v>
      </c>
      <c r="BR108" s="3">
        <v>1.5105999999999999</v>
      </c>
      <c r="BS108" s="21">
        <f ca="1">_xll.IMDP("BND",BJ108,BS8,BJ3)</f>
        <v>20280124</v>
      </c>
      <c r="BT108" s="23">
        <f ca="1">_xll.IMDP("BND",BJ108,BT8,BJ3)</f>
        <v>3.9079999999999999</v>
      </c>
      <c r="BU108" s="2">
        <v>46198</v>
      </c>
      <c r="BV108" s="3" t="s">
        <v>2269</v>
      </c>
      <c r="BW108" s="3" t="s">
        <v>1180</v>
      </c>
      <c r="BX108" s="3" t="s">
        <v>1181</v>
      </c>
      <c r="BY108" s="3">
        <v>0</v>
      </c>
      <c r="BZ108" s="3">
        <v>0.35</v>
      </c>
      <c r="CA108" s="3">
        <v>0</v>
      </c>
      <c r="CB108" s="3">
        <v>464179</v>
      </c>
      <c r="CE108" s="21" t="str">
        <f ca="1">_xll.IMDP("BND",BV108,CE8,BV3)</f>
        <v/>
      </c>
      <c r="CF108" s="23" t="str">
        <f ca="1">_xll.IMDP("BND",BV108,CF8,BV3)</f>
        <v/>
      </c>
      <c r="CG108" s="2"/>
      <c r="CQ108" s="21" t="str">
        <f ca="1">_xll.IMDP("BND",CH108,CQ8,CH3)</f>
        <v>입력오류</v>
      </c>
      <c r="CR108" s="23" t="str">
        <f ca="1">_xll.IMDP("BND",CH108,CR8,CH3)</f>
        <v>입력오류</v>
      </c>
      <c r="CS108" s="2">
        <v>46198</v>
      </c>
      <c r="CT108" s="3" t="s">
        <v>2341</v>
      </c>
      <c r="CU108" s="3" t="s">
        <v>1760</v>
      </c>
      <c r="CV108" s="3" t="s">
        <v>2342</v>
      </c>
      <c r="CW108" s="3">
        <v>0</v>
      </c>
      <c r="CX108" s="3">
        <v>0.32</v>
      </c>
      <c r="CY108" s="3">
        <v>0</v>
      </c>
      <c r="CZ108" s="3">
        <v>462433</v>
      </c>
      <c r="DA108" s="3">
        <v>9903.02</v>
      </c>
      <c r="DB108" s="3">
        <v>1.1995</v>
      </c>
      <c r="DC108" s="21">
        <f ca="1">_xll.IMDP("BND",CT108,DC8,CT3)</f>
        <v>20270917</v>
      </c>
      <c r="DD108" s="23">
        <f ca="1">_xll.IMDP("BND",CT108,DD8,CT3)</f>
        <v>4.0220000000000002</v>
      </c>
      <c r="DE108" s="2"/>
      <c r="DO108" s="21" t="str">
        <f ca="1">_xll.IMDP("BND",DF108,DO8,DF3)</f>
        <v>입력오류</v>
      </c>
      <c r="DP108" s="23" t="str">
        <f ca="1">_xll.IMDP("BND",DF108,DP8,DF3)</f>
        <v>입력오류</v>
      </c>
      <c r="DQ108" s="2"/>
      <c r="EA108" s="21" t="str">
        <f ca="1">_xll.IMDP("BND",DR108,EA8,DR3)</f>
        <v>입력오류</v>
      </c>
      <c r="EB108" s="23" t="str">
        <f ca="1">_xll.IMDP("BND",DR108,EB8,DR3)</f>
        <v>입력오류</v>
      </c>
    </row>
    <row r="109" spans="1:132" ht="13.5" customHeight="1" x14ac:dyDescent="0.3">
      <c r="A109" s="2">
        <v>46198</v>
      </c>
      <c r="B109" s="3" t="s">
        <v>937</v>
      </c>
      <c r="C109" s="3" t="s">
        <v>938</v>
      </c>
      <c r="D109" s="3" t="s">
        <v>939</v>
      </c>
      <c r="E109" s="3">
        <v>0</v>
      </c>
      <c r="F109" s="3">
        <v>0.24</v>
      </c>
      <c r="G109" s="3">
        <v>0</v>
      </c>
      <c r="H109" s="3">
        <v>266126</v>
      </c>
      <c r="I109" s="3">
        <v>10023.200000000001</v>
      </c>
      <c r="J109" s="3">
        <v>2.4030999999999998</v>
      </c>
      <c r="K109" s="21">
        <f ca="1">_xll.IMDP("BND",B109,K8,B3)</f>
        <v>20290117</v>
      </c>
      <c r="L109" s="23">
        <f ca="1">_xll.IMDP("BND",B109,L8,B3)</f>
        <v>4.2830000000000004</v>
      </c>
      <c r="M109" s="2"/>
      <c r="W109" s="21" t="str">
        <f ca="1">_xll.IMDP("BND",N109,W8,N3)</f>
        <v>입력오류</v>
      </c>
      <c r="X109" s="23" t="str">
        <f ca="1">_xll.IMDP("BND",N109,X8,N3)</f>
        <v>입력오류</v>
      </c>
      <c r="Y109" s="2"/>
      <c r="AI109" s="21" t="str">
        <f ca="1">_xll.IMDP("BND",Z109,AI8,Z3)</f>
        <v>입력오류</v>
      </c>
      <c r="AJ109" s="23" t="str">
        <f ca="1">_xll.IMDP("BND",Z109,AJ8,Z3)</f>
        <v>입력오류</v>
      </c>
      <c r="AK109" s="2"/>
      <c r="AU109" s="21" t="str">
        <f ca="1">_xll.IMDP("BND",AL109,AU8,AL3)</f>
        <v>입력오류</v>
      </c>
      <c r="AV109" s="23" t="str">
        <f ca="1">_xll.IMDP("BND",AL109,AV8,AL3)</f>
        <v>입력오류</v>
      </c>
      <c r="AW109" s="2"/>
      <c r="BG109" s="21" t="str">
        <f ca="1">_xll.IMDP("BND",AX109,BG8,AX3)</f>
        <v>입력오류</v>
      </c>
      <c r="BH109" s="23" t="str">
        <f ca="1">_xll.IMDP("BND",AX109,BH8,AX3)</f>
        <v>입력오류</v>
      </c>
      <c r="BI109" s="2">
        <v>46198</v>
      </c>
      <c r="BJ109" s="3" t="s">
        <v>1382</v>
      </c>
      <c r="BK109" s="3" t="s">
        <v>1205</v>
      </c>
      <c r="BL109" s="3" t="s">
        <v>1383</v>
      </c>
      <c r="BM109" s="3">
        <v>0</v>
      </c>
      <c r="BN109" s="3">
        <v>0.3</v>
      </c>
      <c r="BO109" s="3">
        <v>0</v>
      </c>
      <c r="BP109" s="3">
        <v>380957</v>
      </c>
      <c r="BQ109" s="3">
        <v>9454.4</v>
      </c>
      <c r="BR109" s="3">
        <v>3.8927999999999998</v>
      </c>
      <c r="BS109" s="21">
        <f ca="1">_xll.IMDP("BND",BJ109,BS8,BJ3)</f>
        <v>20300829</v>
      </c>
      <c r="BT109" s="23">
        <f ca="1">_xll.IMDP("BND",BJ109,BT8,BJ3)</f>
        <v>4.37</v>
      </c>
      <c r="BU109" s="2">
        <v>46198</v>
      </c>
      <c r="BV109" s="3" t="s">
        <v>1179</v>
      </c>
      <c r="BW109" s="3" t="s">
        <v>1180</v>
      </c>
      <c r="BX109" s="3" t="s">
        <v>1181</v>
      </c>
      <c r="BY109" s="3">
        <v>0</v>
      </c>
      <c r="BZ109" s="3">
        <v>0.35</v>
      </c>
      <c r="CA109" s="3">
        <v>0</v>
      </c>
      <c r="CB109" s="3">
        <v>464179</v>
      </c>
      <c r="CE109" s="21" t="str">
        <f ca="1">_xll.IMDP("BND",BV109,CE8,BV3)</f>
        <v/>
      </c>
      <c r="CF109" s="23" t="str">
        <f ca="1">_xll.IMDP("BND",BV109,CF8,BV3)</f>
        <v/>
      </c>
      <c r="CG109" s="2"/>
      <c r="CQ109" s="21" t="str">
        <f ca="1">_xll.IMDP("BND",CH109,CQ8,CH3)</f>
        <v>입력오류</v>
      </c>
      <c r="CR109" s="23" t="str">
        <f ca="1">_xll.IMDP("BND",CH109,CR8,CH3)</f>
        <v>입력오류</v>
      </c>
      <c r="CS109" s="2">
        <v>46198</v>
      </c>
      <c r="CT109" s="3" t="s">
        <v>2343</v>
      </c>
      <c r="CU109" s="3" t="s">
        <v>1224</v>
      </c>
      <c r="CV109" s="3" t="s">
        <v>2344</v>
      </c>
      <c r="CW109" s="3">
        <v>0</v>
      </c>
      <c r="CX109" s="3">
        <v>0.32</v>
      </c>
      <c r="CY109" s="3">
        <v>0</v>
      </c>
      <c r="CZ109" s="3">
        <v>462278</v>
      </c>
      <c r="DC109" s="21" t="str">
        <f ca="1">_xll.IMDP("BND",CT109,DC8,CT3)</f>
        <v/>
      </c>
      <c r="DD109" s="23" t="str">
        <f ca="1">_xll.IMDP("BND",CT109,DD8,CT3)</f>
        <v/>
      </c>
      <c r="DE109" s="2"/>
      <c r="DO109" s="21" t="str">
        <f ca="1">_xll.IMDP("BND",DF109,DO8,DF3)</f>
        <v>입력오류</v>
      </c>
      <c r="DP109" s="23" t="str">
        <f ca="1">_xll.IMDP("BND",DF109,DP8,DF3)</f>
        <v>입력오류</v>
      </c>
      <c r="DQ109" s="2"/>
      <c r="EA109" s="21" t="str">
        <f ca="1">_xll.IMDP("BND",DR109,EA8,DR3)</f>
        <v>입력오류</v>
      </c>
      <c r="EB109" s="23" t="str">
        <f ca="1">_xll.IMDP("BND",DR109,EB8,DR3)</f>
        <v>입력오류</v>
      </c>
    </row>
    <row r="110" spans="1:132" ht="13.5" customHeight="1" x14ac:dyDescent="0.3">
      <c r="A110" s="2">
        <v>46198</v>
      </c>
      <c r="B110" s="3" t="s">
        <v>935</v>
      </c>
      <c r="C110" s="3" t="s">
        <v>319</v>
      </c>
      <c r="D110" s="3" t="s">
        <v>936</v>
      </c>
      <c r="E110" s="3">
        <v>0</v>
      </c>
      <c r="F110" s="3">
        <v>0.24</v>
      </c>
      <c r="G110" s="3">
        <v>0</v>
      </c>
      <c r="H110" s="3">
        <v>266107</v>
      </c>
      <c r="I110" s="3">
        <v>10021.18</v>
      </c>
      <c r="J110" s="3">
        <v>6.0810000000000004</v>
      </c>
      <c r="K110" s="21">
        <f ca="1">_xll.IMDP("BND",B110,K8,B3)</f>
        <v>20330905</v>
      </c>
      <c r="L110" s="23">
        <f ca="1">_xll.IMDP("BND",B110,L8,B3)</f>
        <v>4.3239999999999998</v>
      </c>
      <c r="M110" s="2"/>
      <c r="W110" s="21" t="str">
        <f ca="1">_xll.IMDP("BND",N110,W8,N3)</f>
        <v>입력오류</v>
      </c>
      <c r="X110" s="23" t="str">
        <f ca="1">_xll.IMDP("BND",N110,X8,N3)</f>
        <v>입력오류</v>
      </c>
      <c r="Y110" s="2"/>
      <c r="AI110" s="21" t="str">
        <f ca="1">_xll.IMDP("BND",Z110,AI8,Z3)</f>
        <v>입력오류</v>
      </c>
      <c r="AJ110" s="23" t="str">
        <f ca="1">_xll.IMDP("BND",Z110,AJ8,Z3)</f>
        <v>입력오류</v>
      </c>
      <c r="AK110" s="2"/>
      <c r="AU110" s="21" t="str">
        <f ca="1">_xll.IMDP("BND",AL110,AU8,AL3)</f>
        <v>입력오류</v>
      </c>
      <c r="AV110" s="23" t="str">
        <f ca="1">_xll.IMDP("BND",AL110,AV8,AL3)</f>
        <v>입력오류</v>
      </c>
      <c r="AW110" s="2"/>
      <c r="BG110" s="21" t="str">
        <f ca="1">_xll.IMDP("BND",AX110,BG8,AX3)</f>
        <v>입력오류</v>
      </c>
      <c r="BH110" s="23" t="str">
        <f ca="1">_xll.IMDP("BND",AX110,BH8,AX3)</f>
        <v>입력오류</v>
      </c>
      <c r="BI110" s="2">
        <v>46198</v>
      </c>
      <c r="BJ110" s="3" t="s">
        <v>1404</v>
      </c>
      <c r="BK110" s="3" t="s">
        <v>1403</v>
      </c>
      <c r="BL110" s="3" t="s">
        <v>584</v>
      </c>
      <c r="BM110" s="3">
        <v>0</v>
      </c>
      <c r="BN110" s="3">
        <v>0.3</v>
      </c>
      <c r="BO110" s="3">
        <v>0</v>
      </c>
      <c r="BP110" s="3">
        <v>380705</v>
      </c>
      <c r="BS110" s="21" t="str">
        <f ca="1">_xll.IMDP("BND",BJ110,BS8,BJ3)</f>
        <v/>
      </c>
      <c r="BT110" s="23" t="str">
        <f ca="1">_xll.IMDP("BND",BJ110,BT8,BJ3)</f>
        <v/>
      </c>
      <c r="BU110" s="2">
        <v>46198</v>
      </c>
      <c r="BV110" s="3" t="s">
        <v>2272</v>
      </c>
      <c r="BW110" s="3" t="s">
        <v>704</v>
      </c>
      <c r="BX110" s="3" t="s">
        <v>705</v>
      </c>
      <c r="BY110" s="3">
        <v>0</v>
      </c>
      <c r="BZ110" s="3">
        <v>0.35</v>
      </c>
      <c r="CA110" s="3">
        <v>0</v>
      </c>
      <c r="CB110" s="3">
        <v>464172</v>
      </c>
      <c r="CE110" s="21" t="str">
        <f ca="1">_xll.IMDP("BND",BV110,CE8,BV3)</f>
        <v/>
      </c>
      <c r="CF110" s="23" t="str">
        <f ca="1">_xll.IMDP("BND",BV110,CF8,BV3)</f>
        <v/>
      </c>
      <c r="CG110" s="2"/>
      <c r="CQ110" s="21" t="str">
        <f ca="1">_xll.IMDP("BND",CH110,CQ8,CH3)</f>
        <v>입력오류</v>
      </c>
      <c r="CR110" s="23" t="str">
        <f ca="1">_xll.IMDP("BND",CH110,CR8,CH3)</f>
        <v>입력오류</v>
      </c>
      <c r="CS110" s="2">
        <v>46198</v>
      </c>
      <c r="CT110" s="3" t="s">
        <v>2345</v>
      </c>
      <c r="CU110" s="3" t="s">
        <v>2346</v>
      </c>
      <c r="CV110" s="3" t="s">
        <v>2347</v>
      </c>
      <c r="CW110" s="3">
        <v>0</v>
      </c>
      <c r="CX110" s="3">
        <v>0.32</v>
      </c>
      <c r="CY110" s="3">
        <v>0</v>
      </c>
      <c r="CZ110" s="3">
        <v>462067</v>
      </c>
      <c r="DA110" s="3">
        <v>9895.2199999999993</v>
      </c>
      <c r="DB110" s="3">
        <v>1.1418999999999999</v>
      </c>
      <c r="DC110" s="21">
        <f ca="1">_xll.IMDP("BND",CT110,DC8,CT3)</f>
        <v>20270827</v>
      </c>
      <c r="DD110" s="23">
        <f ca="1">_xll.IMDP("BND",CT110,DD8,CT3)</f>
        <v>4.08</v>
      </c>
      <c r="DE110" s="2"/>
      <c r="DO110" s="21" t="str">
        <f ca="1">_xll.IMDP("BND",DF110,DO8,DF3)</f>
        <v>입력오류</v>
      </c>
      <c r="DP110" s="23" t="str">
        <f ca="1">_xll.IMDP("BND",DF110,DP8,DF3)</f>
        <v>입력오류</v>
      </c>
      <c r="DQ110" s="2"/>
      <c r="EA110" s="21" t="str">
        <f ca="1">_xll.IMDP("BND",DR110,EA8,DR3)</f>
        <v>입력오류</v>
      </c>
      <c r="EB110" s="23" t="str">
        <f ca="1">_xll.IMDP("BND",DR110,EB8,DR3)</f>
        <v>입력오류</v>
      </c>
    </row>
    <row r="111" spans="1:132" ht="13.5" customHeight="1" x14ac:dyDescent="0.3">
      <c r="A111" s="2">
        <v>46198</v>
      </c>
      <c r="B111" s="3" t="s">
        <v>1723</v>
      </c>
      <c r="C111" s="3" t="s">
        <v>1724</v>
      </c>
      <c r="D111" s="3" t="s">
        <v>1725</v>
      </c>
      <c r="E111" s="3">
        <v>0</v>
      </c>
      <c r="F111" s="3">
        <v>0.24</v>
      </c>
      <c r="G111" s="3">
        <v>0</v>
      </c>
      <c r="H111" s="3">
        <v>266035</v>
      </c>
      <c r="I111" s="3">
        <v>10019.92</v>
      </c>
      <c r="J111" s="3">
        <v>2.5590000000000002</v>
      </c>
      <c r="K111" s="21">
        <f ca="1">_xll.IMDP("BND",B111,K8,B3)</f>
        <v>20290327</v>
      </c>
      <c r="L111" s="23">
        <f ca="1">_xll.IMDP("BND",B111,L8,B3)</f>
        <v>4.57</v>
      </c>
      <c r="M111" s="2"/>
      <c r="W111" s="21" t="str">
        <f ca="1">_xll.IMDP("BND",N111,W8,N3)</f>
        <v>입력오류</v>
      </c>
      <c r="X111" s="23" t="str">
        <f ca="1">_xll.IMDP("BND",N111,X8,N3)</f>
        <v>입력오류</v>
      </c>
      <c r="Y111" s="2"/>
      <c r="AI111" s="21" t="str">
        <f ca="1">_xll.IMDP("BND",Z111,AI8,Z3)</f>
        <v>입력오류</v>
      </c>
      <c r="AJ111" s="23" t="str">
        <f ca="1">_xll.IMDP("BND",Z111,AJ8,Z3)</f>
        <v>입력오류</v>
      </c>
      <c r="AK111" s="2"/>
      <c r="AU111" s="21" t="str">
        <f ca="1">_xll.IMDP("BND",AL111,AU8,AL3)</f>
        <v>입력오류</v>
      </c>
      <c r="AV111" s="23" t="str">
        <f ca="1">_xll.IMDP("BND",AL111,AV8,AL3)</f>
        <v>입력오류</v>
      </c>
      <c r="AW111" s="2"/>
      <c r="BG111" s="21" t="str">
        <f ca="1">_xll.IMDP("BND",AX111,BG8,AX3)</f>
        <v>입력오류</v>
      </c>
      <c r="BH111" s="23" t="str">
        <f ca="1">_xll.IMDP("BND",AX111,BH8,AX3)</f>
        <v>입력오류</v>
      </c>
      <c r="BI111" s="2">
        <v>46198</v>
      </c>
      <c r="BJ111" s="3" t="s">
        <v>1402</v>
      </c>
      <c r="BK111" s="3" t="s">
        <v>1403</v>
      </c>
      <c r="BL111" s="3" t="s">
        <v>584</v>
      </c>
      <c r="BM111" s="3">
        <v>0</v>
      </c>
      <c r="BN111" s="3">
        <v>0.3</v>
      </c>
      <c r="BO111" s="3">
        <v>0</v>
      </c>
      <c r="BP111" s="3">
        <v>380705</v>
      </c>
      <c r="BS111" s="21" t="str">
        <f ca="1">_xll.IMDP("BND",BJ111,BS8,BJ3)</f>
        <v/>
      </c>
      <c r="BT111" s="23" t="str">
        <f ca="1">_xll.IMDP("BND",BJ111,BT8,BJ3)</f>
        <v/>
      </c>
      <c r="BU111" s="2">
        <v>46198</v>
      </c>
      <c r="BV111" s="3" t="s">
        <v>2271</v>
      </c>
      <c r="BW111" s="3" t="s">
        <v>704</v>
      </c>
      <c r="BX111" s="3" t="s">
        <v>705</v>
      </c>
      <c r="BY111" s="3">
        <v>0</v>
      </c>
      <c r="BZ111" s="3">
        <v>0.35</v>
      </c>
      <c r="CA111" s="3">
        <v>0</v>
      </c>
      <c r="CB111" s="3">
        <v>464172</v>
      </c>
      <c r="CE111" s="21" t="str">
        <f ca="1">_xll.IMDP("BND",BV111,CE8,BV3)</f>
        <v/>
      </c>
      <c r="CF111" s="23" t="str">
        <f ca="1">_xll.IMDP("BND",BV111,CF8,BV3)</f>
        <v/>
      </c>
      <c r="CG111" s="2"/>
      <c r="CQ111" s="21" t="str">
        <f ca="1">_xll.IMDP("BND",CH111,CQ8,CH3)</f>
        <v>입력오류</v>
      </c>
      <c r="CR111" s="23" t="str">
        <f ca="1">_xll.IMDP("BND",CH111,CR8,CH3)</f>
        <v>입력오류</v>
      </c>
      <c r="CS111" s="2">
        <v>46198</v>
      </c>
      <c r="CT111" s="3" t="s">
        <v>2348</v>
      </c>
      <c r="CU111" s="3" t="s">
        <v>661</v>
      </c>
      <c r="CV111" s="3" t="s">
        <v>2349</v>
      </c>
      <c r="CW111" s="3">
        <v>0</v>
      </c>
      <c r="CX111" s="3">
        <v>0.32</v>
      </c>
      <c r="CY111" s="3">
        <v>0</v>
      </c>
      <c r="CZ111" s="3">
        <v>461823</v>
      </c>
      <c r="DA111" s="3">
        <v>9890.1299999999992</v>
      </c>
      <c r="DB111" s="3">
        <v>2.4792999999999998</v>
      </c>
      <c r="DC111" s="21">
        <f ca="1">_xll.IMDP("BND",CT111,DC8,CT3)</f>
        <v>20290209</v>
      </c>
      <c r="DD111" s="23">
        <f ca="1">_xll.IMDP("BND",CT111,DD8,CT3)</f>
        <v>4.26</v>
      </c>
      <c r="DE111" s="2"/>
      <c r="DO111" s="21" t="str">
        <f ca="1">_xll.IMDP("BND",DF111,DO8,DF3)</f>
        <v>입력오류</v>
      </c>
      <c r="DP111" s="23" t="str">
        <f ca="1">_xll.IMDP("BND",DF111,DP8,DF3)</f>
        <v>입력오류</v>
      </c>
      <c r="DQ111" s="2"/>
      <c r="EA111" s="21" t="str">
        <f ca="1">_xll.IMDP("BND",DR111,EA8,DR3)</f>
        <v>입력오류</v>
      </c>
      <c r="EB111" s="23" t="str">
        <f ca="1">_xll.IMDP("BND",DR111,EB8,DR3)</f>
        <v>입력오류</v>
      </c>
    </row>
    <row r="112" spans="1:132" ht="13.5" customHeight="1" x14ac:dyDescent="0.3">
      <c r="A112" s="2">
        <v>46198</v>
      </c>
      <c r="B112" s="3" t="s">
        <v>1726</v>
      </c>
      <c r="C112" s="3" t="s">
        <v>1727</v>
      </c>
      <c r="D112" s="3" t="s">
        <v>1728</v>
      </c>
      <c r="E112" s="3">
        <v>0</v>
      </c>
      <c r="F112" s="3">
        <v>0.24</v>
      </c>
      <c r="G112" s="3">
        <v>0</v>
      </c>
      <c r="H112" s="3">
        <v>265949</v>
      </c>
      <c r="I112" s="3">
        <v>10013.23</v>
      </c>
      <c r="J112" s="3">
        <v>5.0563000000000002</v>
      </c>
      <c r="K112" s="21">
        <f ca="1">_xll.IMDP("BND",B112,K8,B3)</f>
        <v>20320320</v>
      </c>
      <c r="L112" s="23">
        <f ca="1">_xll.IMDP("BND",B112,L8,B3)</f>
        <v>4.3049999999999997</v>
      </c>
      <c r="M112" s="2"/>
      <c r="W112" s="21" t="str">
        <f ca="1">_xll.IMDP("BND",N112,W8,N3)</f>
        <v>입력오류</v>
      </c>
      <c r="X112" s="23" t="str">
        <f ca="1">_xll.IMDP("BND",N112,X8,N3)</f>
        <v>입력오류</v>
      </c>
      <c r="Y112" s="2"/>
      <c r="AI112" s="21" t="str">
        <f ca="1">_xll.IMDP("BND",Z112,AI8,Z3)</f>
        <v>입력오류</v>
      </c>
      <c r="AJ112" s="23" t="str">
        <f ca="1">_xll.IMDP("BND",Z112,AJ8,Z3)</f>
        <v>입력오류</v>
      </c>
      <c r="AK112" s="2"/>
      <c r="AU112" s="21" t="str">
        <f ca="1">_xll.IMDP("BND",AL112,AU8,AL3)</f>
        <v>입력오류</v>
      </c>
      <c r="AV112" s="23" t="str">
        <f ca="1">_xll.IMDP("BND",AL112,AV8,AL3)</f>
        <v>입력오류</v>
      </c>
      <c r="AW112" s="2"/>
      <c r="BG112" s="21" t="str">
        <f ca="1">_xll.IMDP("BND",AX112,BG8,AX3)</f>
        <v>입력오류</v>
      </c>
      <c r="BH112" s="23" t="str">
        <f ca="1">_xll.IMDP("BND",AX112,BH8,AX3)</f>
        <v>입력오류</v>
      </c>
      <c r="BI112" s="2">
        <v>46198</v>
      </c>
      <c r="BJ112" s="3" t="s">
        <v>1406</v>
      </c>
      <c r="BK112" s="3" t="s">
        <v>1403</v>
      </c>
      <c r="BL112" s="3" t="s">
        <v>584</v>
      </c>
      <c r="BM112" s="3">
        <v>0</v>
      </c>
      <c r="BN112" s="3">
        <v>0.3</v>
      </c>
      <c r="BO112" s="3">
        <v>0</v>
      </c>
      <c r="BP112" s="3">
        <v>380669</v>
      </c>
      <c r="BS112" s="21" t="str">
        <f ca="1">_xll.IMDP("BND",BJ112,BS8,BJ3)</f>
        <v/>
      </c>
      <c r="BT112" s="23" t="str">
        <f ca="1">_xll.IMDP("BND",BJ112,BT8,BJ3)</f>
        <v/>
      </c>
      <c r="BU112" s="2">
        <v>46198</v>
      </c>
      <c r="BV112" s="3" t="s">
        <v>2273</v>
      </c>
      <c r="BW112" s="3" t="s">
        <v>704</v>
      </c>
      <c r="BX112" s="3" t="s">
        <v>705</v>
      </c>
      <c r="BY112" s="3">
        <v>0</v>
      </c>
      <c r="BZ112" s="3">
        <v>0.35</v>
      </c>
      <c r="CA112" s="3">
        <v>0</v>
      </c>
      <c r="CB112" s="3">
        <v>464172</v>
      </c>
      <c r="CE112" s="21" t="str">
        <f ca="1">_xll.IMDP("BND",BV112,CE8,BV3)</f>
        <v/>
      </c>
      <c r="CF112" s="23" t="str">
        <f ca="1">_xll.IMDP("BND",BV112,CF8,BV3)</f>
        <v/>
      </c>
      <c r="CG112" s="2"/>
      <c r="CQ112" s="21" t="str">
        <f ca="1">_xll.IMDP("BND",CH112,CQ8,CH3)</f>
        <v>입력오류</v>
      </c>
      <c r="CR112" s="23" t="str">
        <f ca="1">_xll.IMDP("BND",CH112,CR8,CH3)</f>
        <v>입력오류</v>
      </c>
      <c r="CS112" s="2">
        <v>46198</v>
      </c>
      <c r="CT112" s="3" t="s">
        <v>2350</v>
      </c>
      <c r="CU112" s="3" t="s">
        <v>1056</v>
      </c>
      <c r="CV112" s="3" t="s">
        <v>2351</v>
      </c>
      <c r="CW112" s="3">
        <v>0</v>
      </c>
      <c r="CX112" s="3">
        <v>0.32</v>
      </c>
      <c r="CY112" s="3">
        <v>0</v>
      </c>
      <c r="CZ112" s="3">
        <v>461791</v>
      </c>
      <c r="DA112" s="3">
        <v>9890.39</v>
      </c>
      <c r="DB112" s="3">
        <v>2.5464000000000002</v>
      </c>
      <c r="DC112" s="21">
        <f ca="1">_xll.IMDP("BND",CT112,DC8,CT3)</f>
        <v>20290309</v>
      </c>
      <c r="DD112" s="23">
        <f ca="1">_xll.IMDP("BND",CT112,DD8,CT3)</f>
        <v>4.4359999999999999</v>
      </c>
      <c r="DE112" s="2"/>
      <c r="DO112" s="21" t="str">
        <f ca="1">_xll.IMDP("BND",DF112,DO8,DF3)</f>
        <v>입력오류</v>
      </c>
      <c r="DP112" s="23" t="str">
        <f ca="1">_xll.IMDP("BND",DF112,DP8,DF3)</f>
        <v>입력오류</v>
      </c>
      <c r="DQ112" s="2"/>
      <c r="EA112" s="21" t="str">
        <f ca="1">_xll.IMDP("BND",DR112,EA8,DR3)</f>
        <v>입력오류</v>
      </c>
      <c r="EB112" s="23" t="str">
        <f ca="1">_xll.IMDP("BND",DR112,EB8,DR3)</f>
        <v>입력오류</v>
      </c>
    </row>
    <row r="113" spans="1:132" ht="13.5" customHeight="1" x14ac:dyDescent="0.3">
      <c r="A113" s="2">
        <v>46198</v>
      </c>
      <c r="B113" s="3" t="s">
        <v>1729</v>
      </c>
      <c r="C113" s="3" t="s">
        <v>1730</v>
      </c>
      <c r="D113" s="3" t="s">
        <v>1731</v>
      </c>
      <c r="E113" s="3">
        <v>0</v>
      </c>
      <c r="F113" s="3">
        <v>0.24</v>
      </c>
      <c r="G113" s="3">
        <v>0</v>
      </c>
      <c r="H113" s="3">
        <v>265706</v>
      </c>
      <c r="I113" s="3">
        <v>10006.44</v>
      </c>
      <c r="J113" s="3">
        <v>1.0451999999999999</v>
      </c>
      <c r="K113" s="21">
        <f ca="1">_xll.IMDP("BND",B113,K8,B3)</f>
        <v>20270722</v>
      </c>
      <c r="L113" s="23">
        <f ca="1">_xll.IMDP("BND",B113,L8,B3)</f>
        <v>3.7269999999999999</v>
      </c>
      <c r="M113" s="2"/>
      <c r="W113" s="21" t="str">
        <f ca="1">_xll.IMDP("BND",N113,W8,N3)</f>
        <v>입력오류</v>
      </c>
      <c r="X113" s="23" t="str">
        <f ca="1">_xll.IMDP("BND",N113,X8,N3)</f>
        <v>입력오류</v>
      </c>
      <c r="Y113" s="2"/>
      <c r="AI113" s="21" t="str">
        <f ca="1">_xll.IMDP("BND",Z113,AI8,Z3)</f>
        <v>입력오류</v>
      </c>
      <c r="AJ113" s="23" t="str">
        <f ca="1">_xll.IMDP("BND",Z113,AJ8,Z3)</f>
        <v>입력오류</v>
      </c>
      <c r="AK113" s="2"/>
      <c r="AU113" s="21" t="str">
        <f ca="1">_xll.IMDP("BND",AL113,AU8,AL3)</f>
        <v>입력오류</v>
      </c>
      <c r="AV113" s="23" t="str">
        <f ca="1">_xll.IMDP("BND",AL113,AV8,AL3)</f>
        <v>입력오류</v>
      </c>
      <c r="AW113" s="2"/>
      <c r="BG113" s="21" t="str">
        <f ca="1">_xll.IMDP("BND",AX113,BG8,AX3)</f>
        <v>입력오류</v>
      </c>
      <c r="BH113" s="23" t="str">
        <f ca="1">_xll.IMDP("BND",AX113,BH8,AX3)</f>
        <v>입력오류</v>
      </c>
      <c r="BI113" s="2">
        <v>46198</v>
      </c>
      <c r="BJ113" s="3" t="s">
        <v>1405</v>
      </c>
      <c r="BK113" s="3" t="s">
        <v>1403</v>
      </c>
      <c r="BL113" s="3" t="s">
        <v>584</v>
      </c>
      <c r="BM113" s="3">
        <v>0</v>
      </c>
      <c r="BN113" s="3">
        <v>0.3</v>
      </c>
      <c r="BO113" s="3">
        <v>0</v>
      </c>
      <c r="BP113" s="3">
        <v>380669</v>
      </c>
      <c r="BS113" s="21" t="str">
        <f ca="1">_xll.IMDP("BND",BJ113,BS8,BJ3)</f>
        <v/>
      </c>
      <c r="BT113" s="23" t="str">
        <f ca="1">_xll.IMDP("BND",BJ113,BT8,BJ3)</f>
        <v/>
      </c>
      <c r="BU113" s="2">
        <v>46198</v>
      </c>
      <c r="BV113" s="3" t="s">
        <v>2270</v>
      </c>
      <c r="BW113" s="3" t="s">
        <v>704</v>
      </c>
      <c r="BX113" s="3" t="s">
        <v>705</v>
      </c>
      <c r="BY113" s="3">
        <v>0</v>
      </c>
      <c r="BZ113" s="3">
        <v>0.35</v>
      </c>
      <c r="CA113" s="3">
        <v>0</v>
      </c>
      <c r="CB113" s="3">
        <v>464172</v>
      </c>
      <c r="CE113" s="21" t="str">
        <f ca="1">_xll.IMDP("BND",BV113,CE8,BV3)</f>
        <v/>
      </c>
      <c r="CF113" s="23" t="str">
        <f ca="1">_xll.IMDP("BND",BV113,CF8,BV3)</f>
        <v/>
      </c>
      <c r="CG113" s="2"/>
      <c r="CQ113" s="21" t="str">
        <f ca="1">_xll.IMDP("BND",CH113,CQ8,CH3)</f>
        <v>입력오류</v>
      </c>
      <c r="CR113" s="23" t="str">
        <f ca="1">_xll.IMDP("BND",CH113,CR8,CH3)</f>
        <v>입력오류</v>
      </c>
      <c r="CS113" s="2">
        <v>46198</v>
      </c>
      <c r="CT113" s="3" t="s">
        <v>2352</v>
      </c>
      <c r="CU113" s="3" t="s">
        <v>784</v>
      </c>
      <c r="CV113" s="3" t="s">
        <v>2353</v>
      </c>
      <c r="CW113" s="3">
        <v>0</v>
      </c>
      <c r="CX113" s="3">
        <v>0.32</v>
      </c>
      <c r="CY113" s="3">
        <v>0</v>
      </c>
      <c r="CZ113" s="3">
        <v>461700</v>
      </c>
      <c r="DA113" s="3">
        <v>9887.49</v>
      </c>
      <c r="DB113" s="3">
        <v>2.4794999999999998</v>
      </c>
      <c r="DC113" s="21">
        <f ca="1">_xll.IMDP("BND",CT113,DC8,CT3)</f>
        <v>20290209</v>
      </c>
      <c r="DD113" s="23">
        <f ca="1">_xll.IMDP("BND",CT113,DD8,CT3)</f>
        <v>4.26</v>
      </c>
      <c r="DE113" s="2"/>
      <c r="DO113" s="21" t="str">
        <f ca="1">_xll.IMDP("BND",DF113,DO8,DF3)</f>
        <v>입력오류</v>
      </c>
      <c r="DP113" s="23" t="str">
        <f ca="1">_xll.IMDP("BND",DF113,DP8,DF3)</f>
        <v>입력오류</v>
      </c>
      <c r="DQ113" s="2"/>
      <c r="EA113" s="21" t="str">
        <f ca="1">_xll.IMDP("BND",DR113,EA8,DR3)</f>
        <v>입력오류</v>
      </c>
      <c r="EB113" s="23" t="str">
        <f ca="1">_xll.IMDP("BND",DR113,EB8,DR3)</f>
        <v>입력오류</v>
      </c>
    </row>
    <row r="114" spans="1:132" ht="13.5" customHeight="1" x14ac:dyDescent="0.3">
      <c r="A114" s="2">
        <v>46198</v>
      </c>
      <c r="B114" s="3" t="s">
        <v>1732</v>
      </c>
      <c r="C114" s="3" t="s">
        <v>1733</v>
      </c>
      <c r="D114" s="3" t="s">
        <v>1734</v>
      </c>
      <c r="E114" s="3">
        <v>0</v>
      </c>
      <c r="F114" s="3">
        <v>0.24</v>
      </c>
      <c r="G114" s="3">
        <v>0</v>
      </c>
      <c r="H114" s="3">
        <v>265631</v>
      </c>
      <c r="I114" s="3">
        <v>10002.35</v>
      </c>
      <c r="J114" s="3">
        <v>1.2446999999999999</v>
      </c>
      <c r="K114" s="21">
        <f ca="1">_xll.IMDP("BND",B114,K8,B3)</f>
        <v>20271008</v>
      </c>
      <c r="L114" s="23">
        <f ca="1">_xll.IMDP("BND",B114,L8,B3)</f>
        <v>3.8530000000000002</v>
      </c>
      <c r="M114" s="2"/>
      <c r="W114" s="21" t="str">
        <f ca="1">_xll.IMDP("BND",N114,W8,N3)</f>
        <v>입력오류</v>
      </c>
      <c r="X114" s="23" t="str">
        <f ca="1">_xll.IMDP("BND",N114,X8,N3)</f>
        <v>입력오류</v>
      </c>
      <c r="Y114" s="2"/>
      <c r="AI114" s="21" t="str">
        <f ca="1">_xll.IMDP("BND",Z114,AI8,Z3)</f>
        <v>입력오류</v>
      </c>
      <c r="AJ114" s="23" t="str">
        <f ca="1">_xll.IMDP("BND",Z114,AJ8,Z3)</f>
        <v>입력오류</v>
      </c>
      <c r="AK114" s="2"/>
      <c r="AU114" s="21" t="str">
        <f ca="1">_xll.IMDP("BND",AL114,AU8,AL3)</f>
        <v>입력오류</v>
      </c>
      <c r="AV114" s="23" t="str">
        <f ca="1">_xll.IMDP("BND",AL114,AV8,AL3)</f>
        <v>입력오류</v>
      </c>
      <c r="AW114" s="2"/>
      <c r="BG114" s="21" t="str">
        <f ca="1">_xll.IMDP("BND",AX114,BG8,AX3)</f>
        <v>입력오류</v>
      </c>
      <c r="BH114" s="23" t="str">
        <f ca="1">_xll.IMDP("BND",AX114,BH8,AX3)</f>
        <v>입력오류</v>
      </c>
      <c r="BI114" s="2">
        <v>46198</v>
      </c>
      <c r="BJ114" s="3" t="s">
        <v>1407</v>
      </c>
      <c r="BK114" s="3" t="s">
        <v>1408</v>
      </c>
      <c r="BL114" s="3" t="s">
        <v>1409</v>
      </c>
      <c r="BM114" s="3">
        <v>0</v>
      </c>
      <c r="BN114" s="3">
        <v>0.3</v>
      </c>
      <c r="BO114" s="3">
        <v>0</v>
      </c>
      <c r="BP114" s="3">
        <v>380533</v>
      </c>
      <c r="BS114" s="21" t="str">
        <f ca="1">_xll.IMDP("BND",BJ114,BS8,BJ3)</f>
        <v/>
      </c>
      <c r="BT114" s="23" t="str">
        <f ca="1">_xll.IMDP("BND",BJ114,BT8,BJ3)</f>
        <v/>
      </c>
      <c r="BU114" s="2">
        <v>46198</v>
      </c>
      <c r="BV114" s="3" t="s">
        <v>2274</v>
      </c>
      <c r="BW114" s="3" t="s">
        <v>704</v>
      </c>
      <c r="BX114" s="3" t="s">
        <v>705</v>
      </c>
      <c r="BY114" s="3">
        <v>0</v>
      </c>
      <c r="BZ114" s="3">
        <v>0.35</v>
      </c>
      <c r="CA114" s="3">
        <v>0</v>
      </c>
      <c r="CB114" s="3">
        <v>464172</v>
      </c>
      <c r="CE114" s="21" t="str">
        <f ca="1">_xll.IMDP("BND",BV114,CE8,BV3)</f>
        <v/>
      </c>
      <c r="CF114" s="23" t="str">
        <f ca="1">_xll.IMDP("BND",BV114,CF8,BV3)</f>
        <v/>
      </c>
      <c r="CG114" s="2"/>
      <c r="CQ114" s="21" t="str">
        <f ca="1">_xll.IMDP("BND",CH114,CQ8,CH3)</f>
        <v>입력오류</v>
      </c>
      <c r="CR114" s="23" t="str">
        <f ca="1">_xll.IMDP("BND",CH114,CR8,CH3)</f>
        <v>입력오류</v>
      </c>
      <c r="CS114" s="2">
        <v>46198</v>
      </c>
      <c r="CT114" s="3" t="s">
        <v>2356</v>
      </c>
      <c r="CU114" s="3" t="s">
        <v>346</v>
      </c>
      <c r="CV114" s="3" t="s">
        <v>2357</v>
      </c>
      <c r="CW114" s="3">
        <v>0</v>
      </c>
      <c r="CX114" s="3">
        <v>0.32</v>
      </c>
      <c r="CY114" s="3">
        <v>0</v>
      </c>
      <c r="CZ114" s="3">
        <v>461488</v>
      </c>
      <c r="DC114" s="21" t="str">
        <f ca="1">_xll.IMDP("BND",CT114,DC8,CT3)</f>
        <v/>
      </c>
      <c r="DD114" s="23" t="str">
        <f ca="1">_xll.IMDP("BND",CT114,DD8,CT3)</f>
        <v/>
      </c>
      <c r="DE114" s="2"/>
      <c r="DO114" s="21" t="str">
        <f ca="1">_xll.IMDP("BND",DF114,DO8,DF3)</f>
        <v>입력오류</v>
      </c>
      <c r="DP114" s="23" t="str">
        <f ca="1">_xll.IMDP("BND",DF114,DP8,DF3)</f>
        <v>입력오류</v>
      </c>
      <c r="DQ114" s="2"/>
      <c r="EA114" s="21" t="str">
        <f ca="1">_xll.IMDP("BND",DR114,EA8,DR3)</f>
        <v>입력오류</v>
      </c>
      <c r="EB114" s="23" t="str">
        <f ca="1">_xll.IMDP("BND",DR114,EB8,DR3)</f>
        <v>입력오류</v>
      </c>
    </row>
    <row r="115" spans="1:132" ht="13.5" customHeight="1" x14ac:dyDescent="0.3">
      <c r="A115" s="2">
        <v>46198</v>
      </c>
      <c r="B115" s="3" t="s">
        <v>1735</v>
      </c>
      <c r="C115" s="3" t="s">
        <v>1736</v>
      </c>
      <c r="D115" s="3" t="s">
        <v>1737</v>
      </c>
      <c r="E115" s="3">
        <v>0</v>
      </c>
      <c r="F115" s="3">
        <v>0.24</v>
      </c>
      <c r="G115" s="3">
        <v>0</v>
      </c>
      <c r="H115" s="3">
        <v>265583</v>
      </c>
      <c r="I115" s="3">
        <v>10001.799999999999</v>
      </c>
      <c r="J115" s="3">
        <v>1.0353000000000001</v>
      </c>
      <c r="K115" s="21">
        <f ca="1">_xll.IMDP("BND",B115,K8,B3)</f>
        <v>20270718</v>
      </c>
      <c r="L115" s="23">
        <f ca="1">_xll.IMDP("BND",B115,L8,B3)</f>
        <v>3.6619999999999999</v>
      </c>
      <c r="M115" s="2"/>
      <c r="W115" s="21" t="str">
        <f ca="1">_xll.IMDP("BND",N115,W8,N3)</f>
        <v>입력오류</v>
      </c>
      <c r="X115" s="23" t="str">
        <f ca="1">_xll.IMDP("BND",N115,X8,N3)</f>
        <v>입력오류</v>
      </c>
      <c r="Y115" s="2"/>
      <c r="AI115" s="21" t="str">
        <f ca="1">_xll.IMDP("BND",Z115,AI8,Z3)</f>
        <v>입력오류</v>
      </c>
      <c r="AJ115" s="23" t="str">
        <f ca="1">_xll.IMDP("BND",Z115,AJ8,Z3)</f>
        <v>입력오류</v>
      </c>
      <c r="AK115" s="2"/>
      <c r="AU115" s="21" t="str">
        <f ca="1">_xll.IMDP("BND",AL115,AU8,AL3)</f>
        <v>입력오류</v>
      </c>
      <c r="AV115" s="23" t="str">
        <f ca="1">_xll.IMDP("BND",AL115,AV8,AL3)</f>
        <v>입력오류</v>
      </c>
      <c r="AW115" s="2"/>
      <c r="BG115" s="21" t="str">
        <f ca="1">_xll.IMDP("BND",AX115,BG8,AX3)</f>
        <v>입력오류</v>
      </c>
      <c r="BH115" s="23" t="str">
        <f ca="1">_xll.IMDP("BND",AX115,BH8,AX3)</f>
        <v>입력오류</v>
      </c>
      <c r="BI115" s="2">
        <v>46198</v>
      </c>
      <c r="BJ115" s="3" t="s">
        <v>1410</v>
      </c>
      <c r="BK115" s="3" t="s">
        <v>1408</v>
      </c>
      <c r="BL115" s="3" t="s">
        <v>1409</v>
      </c>
      <c r="BM115" s="3">
        <v>0</v>
      </c>
      <c r="BN115" s="3">
        <v>0.3</v>
      </c>
      <c r="BO115" s="3">
        <v>0</v>
      </c>
      <c r="BP115" s="3">
        <v>380533</v>
      </c>
      <c r="BS115" s="21" t="str">
        <f ca="1">_xll.IMDP("BND",BJ115,BS8,BJ3)</f>
        <v/>
      </c>
      <c r="BT115" s="23" t="str">
        <f ca="1">_xll.IMDP("BND",BJ115,BT8,BJ3)</f>
        <v/>
      </c>
      <c r="BU115" s="2">
        <v>46198</v>
      </c>
      <c r="BV115" s="3" t="s">
        <v>2278</v>
      </c>
      <c r="BW115" s="3" t="s">
        <v>1180</v>
      </c>
      <c r="BX115" s="3" t="s">
        <v>1181</v>
      </c>
      <c r="BY115" s="3">
        <v>0</v>
      </c>
      <c r="BZ115" s="3">
        <v>0.35</v>
      </c>
      <c r="CA115" s="3">
        <v>0</v>
      </c>
      <c r="CB115" s="3">
        <v>463493</v>
      </c>
      <c r="CE115" s="21" t="str">
        <f ca="1">_xll.IMDP("BND",BV115,CE8,BV3)</f>
        <v/>
      </c>
      <c r="CF115" s="23" t="str">
        <f ca="1">_xll.IMDP("BND",BV115,CF8,BV3)</f>
        <v/>
      </c>
      <c r="CG115" s="2"/>
      <c r="CQ115" s="21" t="str">
        <f ca="1">_xll.IMDP("BND",CH115,CQ8,CH3)</f>
        <v>입력오류</v>
      </c>
      <c r="CR115" s="23" t="str">
        <f ca="1">_xll.IMDP("BND",CH115,CR8,CH3)</f>
        <v>입력오류</v>
      </c>
      <c r="CS115" s="2">
        <v>46198</v>
      </c>
      <c r="CT115" s="3" t="s">
        <v>2358</v>
      </c>
      <c r="CU115" s="3" t="s">
        <v>212</v>
      </c>
      <c r="CV115" s="3" t="s">
        <v>2359</v>
      </c>
      <c r="CW115" s="3">
        <v>0</v>
      </c>
      <c r="CX115" s="3">
        <v>0.32</v>
      </c>
      <c r="CY115" s="3">
        <v>0</v>
      </c>
      <c r="CZ115" s="3">
        <v>461456</v>
      </c>
      <c r="DC115" s="21" t="str">
        <f ca="1">_xll.IMDP("BND",CT115,DC8,CT3)</f>
        <v/>
      </c>
      <c r="DD115" s="23" t="str">
        <f ca="1">_xll.IMDP("BND",CT115,DD8,CT3)</f>
        <v/>
      </c>
      <c r="DE115" s="2"/>
      <c r="DO115" s="21" t="str">
        <f ca="1">_xll.IMDP("BND",DF115,DO8,DF3)</f>
        <v>입력오류</v>
      </c>
      <c r="DP115" s="23" t="str">
        <f ca="1">_xll.IMDP("BND",DF115,DP8,DF3)</f>
        <v>입력오류</v>
      </c>
      <c r="DQ115" s="2"/>
      <c r="EA115" s="21" t="str">
        <f ca="1">_xll.IMDP("BND",DR115,EA8,DR3)</f>
        <v>입력오류</v>
      </c>
      <c r="EB115" s="23" t="str">
        <f ca="1">_xll.IMDP("BND",DR115,EB8,DR3)</f>
        <v>입력오류</v>
      </c>
    </row>
    <row r="116" spans="1:132" ht="13.5" customHeight="1" x14ac:dyDescent="0.3">
      <c r="A116" s="2">
        <v>46198</v>
      </c>
      <c r="B116" s="3" t="s">
        <v>1738</v>
      </c>
      <c r="C116" s="3" t="s">
        <v>1739</v>
      </c>
      <c r="D116" s="3" t="s">
        <v>1740</v>
      </c>
      <c r="E116" s="3">
        <v>0</v>
      </c>
      <c r="F116" s="3">
        <v>0.24</v>
      </c>
      <c r="G116" s="3">
        <v>0</v>
      </c>
      <c r="H116" s="3">
        <v>265563</v>
      </c>
      <c r="I116" s="3">
        <v>10001.219999999999</v>
      </c>
      <c r="J116" s="3">
        <v>0.39560000000000001</v>
      </c>
      <c r="K116" s="21">
        <f ca="1">_xll.IMDP("BND",B116,K8,B3)</f>
        <v>20261119</v>
      </c>
      <c r="L116" s="23">
        <f ca="1">_xll.IMDP("BND",B116,L8,B3)</f>
        <v>2.931</v>
      </c>
      <c r="M116" s="2"/>
      <c r="W116" s="21" t="str">
        <f ca="1">_xll.IMDP("BND",N116,W8,N3)</f>
        <v>입력오류</v>
      </c>
      <c r="X116" s="23" t="str">
        <f ca="1">_xll.IMDP("BND",N116,X8,N3)</f>
        <v>입력오류</v>
      </c>
      <c r="Y116" s="2"/>
      <c r="AI116" s="21" t="str">
        <f ca="1">_xll.IMDP("BND",Z116,AI8,Z3)</f>
        <v>입력오류</v>
      </c>
      <c r="AJ116" s="23" t="str">
        <f ca="1">_xll.IMDP("BND",Z116,AJ8,Z3)</f>
        <v>입력오류</v>
      </c>
      <c r="AK116" s="2"/>
      <c r="AU116" s="21" t="str">
        <f ca="1">_xll.IMDP("BND",AL116,AU8,AL3)</f>
        <v>입력오류</v>
      </c>
      <c r="AV116" s="23" t="str">
        <f ca="1">_xll.IMDP("BND",AL116,AV8,AL3)</f>
        <v>입력오류</v>
      </c>
      <c r="AW116" s="2"/>
      <c r="BG116" s="21" t="str">
        <f ca="1">_xll.IMDP("BND",AX116,BG8,AX3)</f>
        <v>입력오류</v>
      </c>
      <c r="BH116" s="23" t="str">
        <f ca="1">_xll.IMDP("BND",AX116,BH8,AX3)</f>
        <v>입력오류</v>
      </c>
      <c r="BI116" s="2">
        <v>46198</v>
      </c>
      <c r="BJ116" s="3" t="s">
        <v>1411</v>
      </c>
      <c r="BK116" s="3" t="s">
        <v>583</v>
      </c>
      <c r="BL116" s="3" t="s">
        <v>584</v>
      </c>
      <c r="BM116" s="3">
        <v>0</v>
      </c>
      <c r="BN116" s="3">
        <v>0.3</v>
      </c>
      <c r="BO116" s="3">
        <v>0</v>
      </c>
      <c r="BP116" s="3">
        <v>380519</v>
      </c>
      <c r="BS116" s="21" t="str">
        <f ca="1">_xll.IMDP("BND",BJ116,BS8,BJ3)</f>
        <v/>
      </c>
      <c r="BT116" s="23" t="str">
        <f ca="1">_xll.IMDP("BND",BJ116,BT8,BJ3)</f>
        <v/>
      </c>
      <c r="BU116" s="2">
        <v>46198</v>
      </c>
      <c r="BV116" s="3" t="s">
        <v>2277</v>
      </c>
      <c r="BW116" s="3" t="s">
        <v>1180</v>
      </c>
      <c r="BX116" s="3" t="s">
        <v>1181</v>
      </c>
      <c r="BY116" s="3">
        <v>0</v>
      </c>
      <c r="BZ116" s="3">
        <v>0.35</v>
      </c>
      <c r="CA116" s="3">
        <v>0</v>
      </c>
      <c r="CB116" s="3">
        <v>463493</v>
      </c>
      <c r="CE116" s="21" t="str">
        <f ca="1">_xll.IMDP("BND",BV116,CE8,BV3)</f>
        <v/>
      </c>
      <c r="CF116" s="23" t="str">
        <f ca="1">_xll.IMDP("BND",BV116,CF8,BV3)</f>
        <v/>
      </c>
      <c r="CG116" s="2"/>
      <c r="CQ116" s="21" t="str">
        <f ca="1">_xll.IMDP("BND",CH116,CQ8,CH3)</f>
        <v>입력오류</v>
      </c>
      <c r="CR116" s="23" t="str">
        <f ca="1">_xll.IMDP("BND",CH116,CR8,CH3)</f>
        <v>입력오류</v>
      </c>
      <c r="CS116" s="2">
        <v>46198</v>
      </c>
      <c r="CT116" s="3" t="s">
        <v>2354</v>
      </c>
      <c r="CU116" s="3" t="s">
        <v>2153</v>
      </c>
      <c r="CV116" s="3" t="s">
        <v>2355</v>
      </c>
      <c r="CW116" s="3">
        <v>0</v>
      </c>
      <c r="CX116" s="3">
        <v>0.32</v>
      </c>
      <c r="CY116" s="3">
        <v>0</v>
      </c>
      <c r="CZ116" s="3">
        <v>461413</v>
      </c>
      <c r="DA116" s="3">
        <v>9882.16</v>
      </c>
      <c r="DB116" s="3">
        <v>2.4598</v>
      </c>
      <c r="DC116" s="21">
        <f ca="1">_xll.IMDP("BND",CT116,DC8,CT3)</f>
        <v>20290202</v>
      </c>
      <c r="DD116" s="23">
        <f ca="1">_xll.IMDP("BND",CT116,DD8,CT3)</f>
        <v>4.2839999999999998</v>
      </c>
      <c r="DE116" s="2"/>
      <c r="DO116" s="21" t="str">
        <f ca="1">_xll.IMDP("BND",DF116,DO8,DF3)</f>
        <v>입력오류</v>
      </c>
      <c r="DP116" s="23" t="str">
        <f ca="1">_xll.IMDP("BND",DF116,DP8,DF3)</f>
        <v>입력오류</v>
      </c>
      <c r="DQ116" s="2"/>
      <c r="EA116" s="21" t="str">
        <f ca="1">_xll.IMDP("BND",DR116,EA8,DR3)</f>
        <v>입력오류</v>
      </c>
      <c r="EB116" s="23" t="str">
        <f ca="1">_xll.IMDP("BND",DR116,EB8,DR3)</f>
        <v>입력오류</v>
      </c>
    </row>
    <row r="117" spans="1:132" ht="13.5" customHeight="1" x14ac:dyDescent="0.3">
      <c r="A117" s="2">
        <v>46198</v>
      </c>
      <c r="B117" s="3" t="s">
        <v>1744</v>
      </c>
      <c r="C117" s="3" t="s">
        <v>1745</v>
      </c>
      <c r="D117" s="3" t="s">
        <v>1746</v>
      </c>
      <c r="E117" s="3">
        <v>0</v>
      </c>
      <c r="F117" s="3">
        <v>0.24</v>
      </c>
      <c r="G117" s="3">
        <v>0</v>
      </c>
      <c r="H117" s="3">
        <v>265484</v>
      </c>
      <c r="I117" s="3">
        <v>9998.65</v>
      </c>
      <c r="J117" s="3">
        <v>0.64080000000000004</v>
      </c>
      <c r="K117" s="21">
        <f ca="1">_xll.IMDP("BND",B117,K8,B3)</f>
        <v>20270219</v>
      </c>
      <c r="L117" s="23">
        <f ca="1">_xll.IMDP("BND",B117,L8,B3)</f>
        <v>3.5209999999999999</v>
      </c>
      <c r="M117" s="2"/>
      <c r="W117" s="21" t="str">
        <f ca="1">_xll.IMDP("BND",N117,W8,N3)</f>
        <v>입력오류</v>
      </c>
      <c r="X117" s="23" t="str">
        <f ca="1">_xll.IMDP("BND",N117,X8,N3)</f>
        <v>입력오류</v>
      </c>
      <c r="Y117" s="2"/>
      <c r="AI117" s="21" t="str">
        <f ca="1">_xll.IMDP("BND",Z117,AI8,Z3)</f>
        <v>입력오류</v>
      </c>
      <c r="AJ117" s="23" t="str">
        <f ca="1">_xll.IMDP("BND",Z117,AJ8,Z3)</f>
        <v>입력오류</v>
      </c>
      <c r="AK117" s="2"/>
      <c r="AU117" s="21" t="str">
        <f ca="1">_xll.IMDP("BND",AL117,AU8,AL3)</f>
        <v>입력오류</v>
      </c>
      <c r="AV117" s="23" t="str">
        <f ca="1">_xll.IMDP("BND",AL117,AV8,AL3)</f>
        <v>입력오류</v>
      </c>
      <c r="AW117" s="2"/>
      <c r="BG117" s="21" t="str">
        <f ca="1">_xll.IMDP("BND",AX117,BG8,AX3)</f>
        <v>입력오류</v>
      </c>
      <c r="BH117" s="23" t="str">
        <f ca="1">_xll.IMDP("BND",AX117,BH8,AX3)</f>
        <v>입력오류</v>
      </c>
      <c r="BI117" s="2">
        <v>46198</v>
      </c>
      <c r="BJ117" s="3" t="s">
        <v>1412</v>
      </c>
      <c r="BK117" s="3" t="s">
        <v>583</v>
      </c>
      <c r="BL117" s="3" t="s">
        <v>584</v>
      </c>
      <c r="BM117" s="3">
        <v>0</v>
      </c>
      <c r="BN117" s="3">
        <v>0.3</v>
      </c>
      <c r="BO117" s="3">
        <v>0</v>
      </c>
      <c r="BP117" s="3">
        <v>380519</v>
      </c>
      <c r="BS117" s="21" t="str">
        <f ca="1">_xll.IMDP("BND",BJ117,BS8,BJ3)</f>
        <v/>
      </c>
      <c r="BT117" s="23" t="str">
        <f ca="1">_xll.IMDP("BND",BJ117,BT8,BJ3)</f>
        <v/>
      </c>
      <c r="BU117" s="2">
        <v>46198</v>
      </c>
      <c r="BV117" s="3" t="s">
        <v>2275</v>
      </c>
      <c r="BW117" s="3" t="s">
        <v>1180</v>
      </c>
      <c r="BX117" s="3" t="s">
        <v>1181</v>
      </c>
      <c r="BY117" s="3">
        <v>0</v>
      </c>
      <c r="BZ117" s="3">
        <v>0.35</v>
      </c>
      <c r="CA117" s="3">
        <v>0</v>
      </c>
      <c r="CB117" s="3">
        <v>463493</v>
      </c>
      <c r="CE117" s="21" t="str">
        <f ca="1">_xll.IMDP("BND",BV117,CE8,BV3)</f>
        <v/>
      </c>
      <c r="CF117" s="23" t="str">
        <f ca="1">_xll.IMDP("BND",BV117,CF8,BV3)</f>
        <v/>
      </c>
      <c r="CG117" s="2"/>
      <c r="CQ117" s="21" t="str">
        <f ca="1">_xll.IMDP("BND",CH117,CQ8,CH3)</f>
        <v>입력오류</v>
      </c>
      <c r="CR117" s="23" t="str">
        <f ca="1">_xll.IMDP("BND",CH117,CR8,CH3)</f>
        <v>입력오류</v>
      </c>
      <c r="CS117" s="2">
        <v>46198</v>
      </c>
      <c r="CT117" s="3" t="s">
        <v>2360</v>
      </c>
      <c r="CU117" s="3" t="s">
        <v>1615</v>
      </c>
      <c r="CV117" s="3" t="s">
        <v>2361</v>
      </c>
      <c r="CW117" s="3">
        <v>0</v>
      </c>
      <c r="CX117" s="3">
        <v>0.32</v>
      </c>
      <c r="CY117" s="3">
        <v>0</v>
      </c>
      <c r="CZ117" s="3">
        <v>461262</v>
      </c>
      <c r="DA117" s="3">
        <v>9878.52</v>
      </c>
      <c r="DB117" s="3">
        <v>2.3121</v>
      </c>
      <c r="DC117" s="21">
        <f ca="1">_xll.IMDP("BND",CT117,DC8,CT3)</f>
        <v>20281201</v>
      </c>
      <c r="DD117" s="23">
        <f ca="1">_xll.IMDP("BND",CT117,DD8,CT3)</f>
        <v>4.2910000000000004</v>
      </c>
      <c r="DE117" s="2"/>
      <c r="DO117" s="21" t="str">
        <f ca="1">_xll.IMDP("BND",DF117,DO8,DF3)</f>
        <v>입력오류</v>
      </c>
      <c r="DP117" s="23" t="str">
        <f ca="1">_xll.IMDP("BND",DF117,DP8,DF3)</f>
        <v>입력오류</v>
      </c>
      <c r="DQ117" s="2"/>
      <c r="EA117" s="21" t="str">
        <f ca="1">_xll.IMDP("BND",DR117,EA8,DR3)</f>
        <v>입력오류</v>
      </c>
      <c r="EB117" s="23" t="str">
        <f ca="1">_xll.IMDP("BND",DR117,EB8,DR3)</f>
        <v>입력오류</v>
      </c>
    </row>
    <row r="118" spans="1:132" ht="13.5" customHeight="1" x14ac:dyDescent="0.3">
      <c r="A118" s="2">
        <v>46198</v>
      </c>
      <c r="B118" s="3" t="s">
        <v>1741</v>
      </c>
      <c r="C118" s="3" t="s">
        <v>1742</v>
      </c>
      <c r="D118" s="3" t="s">
        <v>1743</v>
      </c>
      <c r="E118" s="3">
        <v>0</v>
      </c>
      <c r="F118" s="3">
        <v>0.24</v>
      </c>
      <c r="G118" s="3">
        <v>0</v>
      </c>
      <c r="H118" s="3">
        <v>265439</v>
      </c>
      <c r="I118" s="3">
        <v>9995.76</v>
      </c>
      <c r="J118" s="3">
        <v>1.5673999999999999</v>
      </c>
      <c r="K118" s="21">
        <f ca="1">_xll.IMDP("BND",B118,K8,B3)</f>
        <v>20280211</v>
      </c>
      <c r="L118" s="23">
        <f ca="1">_xll.IMDP("BND",B118,L8,B3)</f>
        <v>4.0780000000000003</v>
      </c>
      <c r="M118" s="2"/>
      <c r="W118" s="21" t="str">
        <f ca="1">_xll.IMDP("BND",N118,W8,N3)</f>
        <v>입력오류</v>
      </c>
      <c r="X118" s="23" t="str">
        <f ca="1">_xll.IMDP("BND",N118,X8,N3)</f>
        <v>입력오류</v>
      </c>
      <c r="Y118" s="2"/>
      <c r="AI118" s="21" t="str">
        <f ca="1">_xll.IMDP("BND",Z118,AI8,Z3)</f>
        <v>입력오류</v>
      </c>
      <c r="AJ118" s="23" t="str">
        <f ca="1">_xll.IMDP("BND",Z118,AJ8,Z3)</f>
        <v>입력오류</v>
      </c>
      <c r="AK118" s="2"/>
      <c r="AU118" s="21" t="str">
        <f ca="1">_xll.IMDP("BND",AL118,AU8,AL3)</f>
        <v>입력오류</v>
      </c>
      <c r="AV118" s="23" t="str">
        <f ca="1">_xll.IMDP("BND",AL118,AV8,AL3)</f>
        <v>입력오류</v>
      </c>
      <c r="AW118" s="2"/>
      <c r="BG118" s="21" t="str">
        <f ca="1">_xll.IMDP("BND",AX118,BG8,AX3)</f>
        <v>입력오류</v>
      </c>
      <c r="BH118" s="23" t="str">
        <f ca="1">_xll.IMDP("BND",AX118,BH8,AX3)</f>
        <v>입력오류</v>
      </c>
      <c r="BI118" s="2">
        <v>46198</v>
      </c>
      <c r="BJ118" s="3" t="s">
        <v>1413</v>
      </c>
      <c r="BK118" s="3" t="s">
        <v>1408</v>
      </c>
      <c r="BL118" s="3" t="s">
        <v>1409</v>
      </c>
      <c r="BM118" s="3">
        <v>0</v>
      </c>
      <c r="BN118" s="3">
        <v>0.3</v>
      </c>
      <c r="BO118" s="3">
        <v>0</v>
      </c>
      <c r="BP118" s="3">
        <v>378795</v>
      </c>
      <c r="BS118" s="21" t="str">
        <f ca="1">_xll.IMDP("BND",BJ118,BS8,BJ3)</f>
        <v/>
      </c>
      <c r="BT118" s="23" t="str">
        <f ca="1">_xll.IMDP("BND",BJ118,BT8,BJ3)</f>
        <v/>
      </c>
      <c r="BU118" s="2">
        <v>46198</v>
      </c>
      <c r="BV118" s="3" t="s">
        <v>2276</v>
      </c>
      <c r="BW118" s="3" t="s">
        <v>1180</v>
      </c>
      <c r="BX118" s="3" t="s">
        <v>1181</v>
      </c>
      <c r="BY118" s="3">
        <v>0</v>
      </c>
      <c r="BZ118" s="3">
        <v>0.35</v>
      </c>
      <c r="CA118" s="3">
        <v>0</v>
      </c>
      <c r="CB118" s="3">
        <v>463493</v>
      </c>
      <c r="CE118" s="21" t="str">
        <f ca="1">_xll.IMDP("BND",BV118,CE8,BV3)</f>
        <v/>
      </c>
      <c r="CF118" s="23" t="str">
        <f ca="1">_xll.IMDP("BND",BV118,CF8,BV3)</f>
        <v/>
      </c>
      <c r="CG118" s="2"/>
      <c r="CQ118" s="21" t="str">
        <f ca="1">_xll.IMDP("BND",CH118,CQ8,CH3)</f>
        <v>입력오류</v>
      </c>
      <c r="CR118" s="23" t="str">
        <f ca="1">_xll.IMDP("BND",CH118,CR8,CH3)</f>
        <v>입력오류</v>
      </c>
      <c r="CS118" s="2">
        <v>46198</v>
      </c>
      <c r="CT118" s="3" t="s">
        <v>2362</v>
      </c>
      <c r="CU118" s="3" t="s">
        <v>313</v>
      </c>
      <c r="CV118" s="3" t="s">
        <v>2363</v>
      </c>
      <c r="CW118" s="3">
        <v>0</v>
      </c>
      <c r="CX118" s="3">
        <v>0.32</v>
      </c>
      <c r="CY118" s="3">
        <v>0</v>
      </c>
      <c r="CZ118" s="3">
        <v>461102</v>
      </c>
      <c r="DA118" s="3">
        <v>9874.39</v>
      </c>
      <c r="DB118" s="3">
        <v>1.2473000000000001</v>
      </c>
      <c r="DC118" s="21">
        <f ca="1">_xll.IMDP("BND",CT118,DC8,CT3)</f>
        <v>20271006</v>
      </c>
      <c r="DD118" s="23">
        <f ca="1">_xll.IMDP("BND",CT118,DD8,CT3)</f>
        <v>4.1399999999999997</v>
      </c>
      <c r="DE118" s="2"/>
      <c r="DO118" s="21" t="str">
        <f ca="1">_xll.IMDP("BND",DF118,DO8,DF3)</f>
        <v>입력오류</v>
      </c>
      <c r="DP118" s="23" t="str">
        <f ca="1">_xll.IMDP("BND",DF118,DP8,DF3)</f>
        <v>입력오류</v>
      </c>
      <c r="DQ118" s="2"/>
      <c r="EA118" s="21" t="str">
        <f ca="1">_xll.IMDP("BND",DR118,EA8,DR3)</f>
        <v>입력오류</v>
      </c>
      <c r="EB118" s="23" t="str">
        <f ca="1">_xll.IMDP("BND",DR118,EB8,DR3)</f>
        <v>입력오류</v>
      </c>
    </row>
    <row r="119" spans="1:132" ht="13.5" customHeight="1" x14ac:dyDescent="0.3">
      <c r="A119" s="2">
        <v>46198</v>
      </c>
      <c r="B119" s="3" t="s">
        <v>1750</v>
      </c>
      <c r="C119" s="3" t="s">
        <v>1077</v>
      </c>
      <c r="D119" s="3" t="s">
        <v>1751</v>
      </c>
      <c r="E119" s="3">
        <v>0</v>
      </c>
      <c r="F119" s="3">
        <v>0.24</v>
      </c>
      <c r="G119" s="3">
        <v>0</v>
      </c>
      <c r="H119" s="3">
        <v>265401</v>
      </c>
      <c r="I119" s="3">
        <v>9994.91</v>
      </c>
      <c r="J119" s="3">
        <v>0.4708</v>
      </c>
      <c r="K119" s="21">
        <f ca="1">_xll.IMDP("BND",B119,K8,B3)</f>
        <v>20261216</v>
      </c>
      <c r="L119" s="23">
        <f ca="1">_xll.IMDP("BND",B119,L8,B3)</f>
        <v>3.4140000000000001</v>
      </c>
      <c r="M119" s="2"/>
      <c r="W119" s="21" t="str">
        <f ca="1">_xll.IMDP("BND",N119,W8,N3)</f>
        <v>입력오류</v>
      </c>
      <c r="X119" s="23" t="str">
        <f ca="1">_xll.IMDP("BND",N119,X8,N3)</f>
        <v>입력오류</v>
      </c>
      <c r="Y119" s="2"/>
      <c r="AI119" s="21" t="str">
        <f ca="1">_xll.IMDP("BND",Z119,AI8,Z3)</f>
        <v>입력오류</v>
      </c>
      <c r="AJ119" s="23" t="str">
        <f ca="1">_xll.IMDP("BND",Z119,AJ8,Z3)</f>
        <v>입력오류</v>
      </c>
      <c r="AK119" s="2"/>
      <c r="AU119" s="21" t="str">
        <f ca="1">_xll.IMDP("BND",AL119,AU8,AL3)</f>
        <v>입력오류</v>
      </c>
      <c r="AV119" s="23" t="str">
        <f ca="1">_xll.IMDP("BND",AL119,AV8,AL3)</f>
        <v>입력오류</v>
      </c>
      <c r="AW119" s="2"/>
      <c r="BG119" s="21" t="str">
        <f ca="1">_xll.IMDP("BND",AX119,BG8,AX3)</f>
        <v>입력오류</v>
      </c>
      <c r="BH119" s="23" t="str">
        <f ca="1">_xll.IMDP("BND",AX119,BH8,AX3)</f>
        <v>입력오류</v>
      </c>
      <c r="BI119" s="2">
        <v>46198</v>
      </c>
      <c r="BJ119" s="3" t="s">
        <v>1414</v>
      </c>
      <c r="BK119" s="3" t="s">
        <v>1408</v>
      </c>
      <c r="BL119" s="3" t="s">
        <v>1409</v>
      </c>
      <c r="BM119" s="3">
        <v>0</v>
      </c>
      <c r="BN119" s="3">
        <v>0.3</v>
      </c>
      <c r="BO119" s="3">
        <v>0</v>
      </c>
      <c r="BP119" s="3">
        <v>378795</v>
      </c>
      <c r="BS119" s="21" t="str">
        <f ca="1">_xll.IMDP("BND",BJ119,BS8,BJ3)</f>
        <v/>
      </c>
      <c r="BT119" s="23" t="str">
        <f ca="1">_xll.IMDP("BND",BJ119,BT8,BJ3)</f>
        <v/>
      </c>
      <c r="BU119" s="2">
        <v>46198</v>
      </c>
      <c r="BV119" s="3" t="s">
        <v>2280</v>
      </c>
      <c r="BW119" s="3" t="s">
        <v>704</v>
      </c>
      <c r="BX119" s="3" t="s">
        <v>705</v>
      </c>
      <c r="BY119" s="3">
        <v>0</v>
      </c>
      <c r="BZ119" s="3">
        <v>0.35</v>
      </c>
      <c r="CA119" s="3">
        <v>0</v>
      </c>
      <c r="CB119" s="3">
        <v>462939</v>
      </c>
      <c r="CE119" s="21" t="str">
        <f ca="1">_xll.IMDP("BND",BV119,CE8,BV3)</f>
        <v/>
      </c>
      <c r="CF119" s="23" t="str">
        <f ca="1">_xll.IMDP("BND",BV119,CF8,BV3)</f>
        <v/>
      </c>
      <c r="CG119" s="2"/>
      <c r="CQ119" s="21" t="str">
        <f ca="1">_xll.IMDP("BND",CH119,CQ8,CH3)</f>
        <v>입력오류</v>
      </c>
      <c r="CR119" s="23" t="str">
        <f ca="1">_xll.IMDP("BND",CH119,CR8,CH3)</f>
        <v>입력오류</v>
      </c>
      <c r="CS119" s="2">
        <v>46198</v>
      </c>
      <c r="CT119" s="3" t="s">
        <v>2080</v>
      </c>
      <c r="CU119" s="3" t="s">
        <v>1556</v>
      </c>
      <c r="CV119" s="3" t="s">
        <v>2081</v>
      </c>
      <c r="CW119" s="3">
        <v>0</v>
      </c>
      <c r="CX119" s="3">
        <v>0.32</v>
      </c>
      <c r="CY119" s="3">
        <v>0</v>
      </c>
      <c r="CZ119" s="3">
        <v>461076</v>
      </c>
      <c r="DA119" s="3">
        <v>9874.5300000000007</v>
      </c>
      <c r="DB119" s="3">
        <v>2.4342999999999999</v>
      </c>
      <c r="DC119" s="21">
        <f ca="1">_xll.IMDP("BND",CT119,DC8,CT3)</f>
        <v>20290122</v>
      </c>
      <c r="DD119" s="23">
        <f ca="1">_xll.IMDP("BND",CT119,DD8,CT3)</f>
        <v>4.2469999999999999</v>
      </c>
      <c r="DE119" s="2"/>
      <c r="DO119" s="21" t="str">
        <f ca="1">_xll.IMDP("BND",DF119,DO8,DF3)</f>
        <v>입력오류</v>
      </c>
      <c r="DP119" s="23" t="str">
        <f ca="1">_xll.IMDP("BND",DF119,DP8,DF3)</f>
        <v>입력오류</v>
      </c>
      <c r="DQ119" s="2"/>
      <c r="EA119" s="21" t="str">
        <f ca="1">_xll.IMDP("BND",DR119,EA8,DR3)</f>
        <v>입력오류</v>
      </c>
      <c r="EB119" s="23" t="str">
        <f ca="1">_xll.IMDP("BND",DR119,EB8,DR3)</f>
        <v>입력오류</v>
      </c>
    </row>
    <row r="120" spans="1:132" ht="13.5" customHeight="1" x14ac:dyDescent="0.3">
      <c r="A120" s="2">
        <v>46198</v>
      </c>
      <c r="B120" s="3" t="s">
        <v>1747</v>
      </c>
      <c r="C120" s="3" t="s">
        <v>1748</v>
      </c>
      <c r="D120" s="3" t="s">
        <v>1749</v>
      </c>
      <c r="E120" s="3">
        <v>0</v>
      </c>
      <c r="F120" s="3">
        <v>0.24</v>
      </c>
      <c r="G120" s="3">
        <v>0</v>
      </c>
      <c r="H120" s="3">
        <v>265371</v>
      </c>
      <c r="I120" s="3">
        <v>9994.0499999999993</v>
      </c>
      <c r="J120" s="3">
        <v>1.2216</v>
      </c>
      <c r="K120" s="21">
        <f ca="1">_xll.IMDP("BND",B120,K8,B3)</f>
        <v>20270930</v>
      </c>
      <c r="L120" s="23">
        <f ca="1">_xll.IMDP("BND",B120,L8,B3)</f>
        <v>4.069</v>
      </c>
      <c r="M120" s="2"/>
      <c r="W120" s="21" t="str">
        <f ca="1">_xll.IMDP("BND",N120,W8,N3)</f>
        <v>입력오류</v>
      </c>
      <c r="X120" s="23" t="str">
        <f ca="1">_xll.IMDP("BND",N120,X8,N3)</f>
        <v>입력오류</v>
      </c>
      <c r="Y120" s="2"/>
      <c r="AI120" s="21" t="str">
        <f ca="1">_xll.IMDP("BND",Z120,AI8,Z3)</f>
        <v>입력오류</v>
      </c>
      <c r="AJ120" s="23" t="str">
        <f ca="1">_xll.IMDP("BND",Z120,AJ8,Z3)</f>
        <v>입력오류</v>
      </c>
      <c r="AK120" s="2"/>
      <c r="AU120" s="21" t="str">
        <f ca="1">_xll.IMDP("BND",AL120,AU8,AL3)</f>
        <v>입력오류</v>
      </c>
      <c r="AV120" s="23" t="str">
        <f ca="1">_xll.IMDP("BND",AL120,AV8,AL3)</f>
        <v>입력오류</v>
      </c>
      <c r="AW120" s="2"/>
      <c r="BG120" s="21" t="str">
        <f ca="1">_xll.IMDP("BND",AX120,BG8,AX3)</f>
        <v>입력오류</v>
      </c>
      <c r="BH120" s="23" t="str">
        <f ca="1">_xll.IMDP("BND",AX120,BH8,AX3)</f>
        <v>입력오류</v>
      </c>
      <c r="BI120" s="2">
        <v>46198</v>
      </c>
      <c r="BJ120" s="3" t="s">
        <v>1415</v>
      </c>
      <c r="BK120" s="3" t="s">
        <v>1408</v>
      </c>
      <c r="BL120" s="3" t="s">
        <v>1409</v>
      </c>
      <c r="BM120" s="3">
        <v>0</v>
      </c>
      <c r="BN120" s="3">
        <v>0.3</v>
      </c>
      <c r="BO120" s="3">
        <v>0</v>
      </c>
      <c r="BP120" s="3">
        <v>378795</v>
      </c>
      <c r="BS120" s="21" t="str">
        <f ca="1">_xll.IMDP("BND",BJ120,BS8,BJ3)</f>
        <v/>
      </c>
      <c r="BT120" s="23" t="str">
        <f ca="1">_xll.IMDP("BND",BJ120,BT8,BJ3)</f>
        <v/>
      </c>
      <c r="BU120" s="2">
        <v>46198</v>
      </c>
      <c r="BV120" s="3" t="s">
        <v>2279</v>
      </c>
      <c r="BW120" s="3" t="s">
        <v>704</v>
      </c>
      <c r="BX120" s="3" t="s">
        <v>705</v>
      </c>
      <c r="BY120" s="3">
        <v>0</v>
      </c>
      <c r="BZ120" s="3">
        <v>0.35</v>
      </c>
      <c r="CA120" s="3">
        <v>0</v>
      </c>
      <c r="CB120" s="3">
        <v>462939</v>
      </c>
      <c r="CE120" s="21" t="str">
        <f ca="1">_xll.IMDP("BND",BV120,CE8,BV3)</f>
        <v/>
      </c>
      <c r="CF120" s="23" t="str">
        <f ca="1">_xll.IMDP("BND",BV120,CF8,BV3)</f>
        <v/>
      </c>
      <c r="CG120" s="2"/>
      <c r="CQ120" s="21" t="str">
        <f ca="1">_xll.IMDP("BND",CH120,CQ8,CH3)</f>
        <v>입력오류</v>
      </c>
      <c r="CR120" s="23" t="str">
        <f ca="1">_xll.IMDP("BND",CH120,CR8,CH3)</f>
        <v>입력오류</v>
      </c>
      <c r="CS120" s="2">
        <v>46198</v>
      </c>
      <c r="CT120" s="3" t="s">
        <v>2364</v>
      </c>
      <c r="CU120" s="3" t="s">
        <v>261</v>
      </c>
      <c r="CV120" s="3" t="s">
        <v>2365</v>
      </c>
      <c r="CW120" s="3">
        <v>0</v>
      </c>
      <c r="CX120" s="3">
        <v>0.32</v>
      </c>
      <c r="CY120" s="3">
        <v>0</v>
      </c>
      <c r="CZ120" s="3">
        <v>461031</v>
      </c>
      <c r="DA120" s="3">
        <v>9874.9</v>
      </c>
      <c r="DB120" s="3">
        <v>2.3561999999999999</v>
      </c>
      <c r="DC120" s="21">
        <f ca="1">_xll.IMDP("BND",CT120,DC8,CT3)</f>
        <v>20281222</v>
      </c>
      <c r="DD120" s="23">
        <f ca="1">_xll.IMDP("BND",CT120,DD8,CT3)</f>
        <v>4.3360000000000003</v>
      </c>
      <c r="DE120" s="2"/>
      <c r="DO120" s="21" t="str">
        <f ca="1">_xll.IMDP("BND",DF120,DO8,DF3)</f>
        <v>입력오류</v>
      </c>
      <c r="DP120" s="23" t="str">
        <f ca="1">_xll.IMDP("BND",DF120,DP8,DF3)</f>
        <v>입력오류</v>
      </c>
      <c r="DQ120" s="2"/>
      <c r="EA120" s="21" t="str">
        <f ca="1">_xll.IMDP("BND",DR120,EA8,DR3)</f>
        <v>입력오류</v>
      </c>
      <c r="EB120" s="23" t="str">
        <f ca="1">_xll.IMDP("BND",DR120,EB8,DR3)</f>
        <v>입력오류</v>
      </c>
    </row>
    <row r="121" spans="1:132" ht="13.5" customHeight="1" x14ac:dyDescent="0.3">
      <c r="A121" s="2">
        <v>46198</v>
      </c>
      <c r="B121" s="3" t="s">
        <v>1752</v>
      </c>
      <c r="C121" s="3" t="s">
        <v>1753</v>
      </c>
      <c r="D121" s="3" t="s">
        <v>1754</v>
      </c>
      <c r="E121" s="3">
        <v>0</v>
      </c>
      <c r="F121" s="3">
        <v>0.24</v>
      </c>
      <c r="G121" s="3">
        <v>0</v>
      </c>
      <c r="H121" s="3">
        <v>265206</v>
      </c>
      <c r="I121" s="3">
        <v>9987.26</v>
      </c>
      <c r="J121" s="3">
        <v>1.7366999999999999</v>
      </c>
      <c r="K121" s="21">
        <f ca="1">_xll.IMDP("BND",B121,K8,B3)</f>
        <v>20280420</v>
      </c>
      <c r="L121" s="23">
        <f ca="1">_xll.IMDP("BND",B121,L8,B3)</f>
        <v>4.2720000000000002</v>
      </c>
      <c r="M121" s="2"/>
      <c r="W121" s="21" t="str">
        <f ca="1">_xll.IMDP("BND",N121,W8,N3)</f>
        <v>입력오류</v>
      </c>
      <c r="X121" s="23" t="str">
        <f ca="1">_xll.IMDP("BND",N121,X8,N3)</f>
        <v>입력오류</v>
      </c>
      <c r="Y121" s="2"/>
      <c r="AI121" s="21" t="str">
        <f ca="1">_xll.IMDP("BND",Z121,AI8,Z3)</f>
        <v>입력오류</v>
      </c>
      <c r="AJ121" s="23" t="str">
        <f ca="1">_xll.IMDP("BND",Z121,AJ8,Z3)</f>
        <v>입력오류</v>
      </c>
      <c r="AK121" s="2"/>
      <c r="AU121" s="21" t="str">
        <f ca="1">_xll.IMDP("BND",AL121,AU8,AL3)</f>
        <v>입력오류</v>
      </c>
      <c r="AV121" s="23" t="str">
        <f ca="1">_xll.IMDP("BND",AL121,AV8,AL3)</f>
        <v>입력오류</v>
      </c>
      <c r="AW121" s="2"/>
      <c r="BG121" s="21" t="str">
        <f ca="1">_xll.IMDP("BND",AX121,BG8,AX3)</f>
        <v>입력오류</v>
      </c>
      <c r="BH121" s="23" t="str">
        <f ca="1">_xll.IMDP("BND",AX121,BH8,AX3)</f>
        <v>입력오류</v>
      </c>
      <c r="BI121" s="2">
        <v>46198</v>
      </c>
      <c r="BJ121" s="3" t="s">
        <v>1416</v>
      </c>
      <c r="BK121" s="3" t="s">
        <v>346</v>
      </c>
      <c r="BL121" s="3" t="s">
        <v>1121</v>
      </c>
      <c r="BM121" s="3">
        <v>0</v>
      </c>
      <c r="BN121" s="3">
        <v>0.3</v>
      </c>
      <c r="BO121" s="3">
        <v>0</v>
      </c>
      <c r="BP121" s="3">
        <v>378550</v>
      </c>
      <c r="BS121" s="21" t="str">
        <f ca="1">_xll.IMDP("BND",BJ121,BS8,BJ3)</f>
        <v/>
      </c>
      <c r="BT121" s="23" t="str">
        <f ca="1">_xll.IMDP("BND",BJ121,BT8,BJ3)</f>
        <v/>
      </c>
      <c r="BU121" s="2">
        <v>46198</v>
      </c>
      <c r="BV121" s="3" t="s">
        <v>2282</v>
      </c>
      <c r="BW121" s="3" t="s">
        <v>1180</v>
      </c>
      <c r="BX121" s="3" t="s">
        <v>1181</v>
      </c>
      <c r="BY121" s="3">
        <v>0</v>
      </c>
      <c r="BZ121" s="3">
        <v>0.35</v>
      </c>
      <c r="CA121" s="3">
        <v>0</v>
      </c>
      <c r="CB121" s="3">
        <v>462370</v>
      </c>
      <c r="CE121" s="21" t="str">
        <f ca="1">_xll.IMDP("BND",BV121,CE8,BV3)</f>
        <v/>
      </c>
      <c r="CF121" s="23" t="str">
        <f ca="1">_xll.IMDP("BND",BV121,CF8,BV3)</f>
        <v/>
      </c>
      <c r="CG121" s="2"/>
      <c r="CQ121" s="21" t="str">
        <f ca="1">_xll.IMDP("BND",CH121,CQ8,CH3)</f>
        <v>입력오류</v>
      </c>
      <c r="CR121" s="23" t="str">
        <f ca="1">_xll.IMDP("BND",CH121,CR8,CH3)</f>
        <v>입력오류</v>
      </c>
      <c r="CS121" s="2">
        <v>46198</v>
      </c>
      <c r="CT121" s="3" t="s">
        <v>2366</v>
      </c>
      <c r="CU121" s="3" t="s">
        <v>1522</v>
      </c>
      <c r="CV121" s="3" t="s">
        <v>2367</v>
      </c>
      <c r="CW121" s="3">
        <v>0</v>
      </c>
      <c r="CX121" s="3">
        <v>0.32</v>
      </c>
      <c r="CY121" s="3">
        <v>0</v>
      </c>
      <c r="CZ121" s="3">
        <v>461007</v>
      </c>
      <c r="DA121" s="3">
        <v>9872.73</v>
      </c>
      <c r="DB121" s="3">
        <v>1.4131</v>
      </c>
      <c r="DC121" s="21">
        <f ca="1">_xll.IMDP("BND",CT121,DC8,CT3)</f>
        <v>20271209</v>
      </c>
      <c r="DD121" s="23">
        <f ca="1">_xll.IMDP("BND",CT121,DD8,CT3)</f>
        <v>4.18</v>
      </c>
      <c r="DE121" s="2"/>
      <c r="DO121" s="21" t="str">
        <f ca="1">_xll.IMDP("BND",DF121,DO8,DF3)</f>
        <v>입력오류</v>
      </c>
      <c r="DP121" s="23" t="str">
        <f ca="1">_xll.IMDP("BND",DF121,DP8,DF3)</f>
        <v>입력오류</v>
      </c>
      <c r="DQ121" s="2"/>
      <c r="EA121" s="21" t="str">
        <f ca="1">_xll.IMDP("BND",DR121,EA8,DR3)</f>
        <v>입력오류</v>
      </c>
      <c r="EB121" s="23" t="str">
        <f ca="1">_xll.IMDP("BND",DR121,EB8,DR3)</f>
        <v>입력오류</v>
      </c>
    </row>
    <row r="122" spans="1:132" ht="13.5" customHeight="1" x14ac:dyDescent="0.3">
      <c r="A122" s="2">
        <v>46198</v>
      </c>
      <c r="B122" s="3" t="s">
        <v>1755</v>
      </c>
      <c r="C122" s="3" t="s">
        <v>496</v>
      </c>
      <c r="D122" s="3" t="s">
        <v>1756</v>
      </c>
      <c r="E122" s="3">
        <v>0</v>
      </c>
      <c r="F122" s="3">
        <v>0.24</v>
      </c>
      <c r="G122" s="3">
        <v>0</v>
      </c>
      <c r="H122" s="3">
        <v>265154</v>
      </c>
      <c r="I122" s="3">
        <v>9984.9</v>
      </c>
      <c r="J122" s="3">
        <v>2.6850999999999998</v>
      </c>
      <c r="K122" s="21">
        <f ca="1">_xll.IMDP("BND",B122,K8,B3)</f>
        <v>20290511</v>
      </c>
      <c r="L122" s="23">
        <f ca="1">_xll.IMDP("BND",B122,L8,B3)</f>
        <v>4.3159999999999998</v>
      </c>
      <c r="M122" s="2"/>
      <c r="W122" s="21" t="str">
        <f ca="1">_xll.IMDP("BND",N122,W8,N3)</f>
        <v>입력오류</v>
      </c>
      <c r="X122" s="23" t="str">
        <f ca="1">_xll.IMDP("BND",N122,X8,N3)</f>
        <v>입력오류</v>
      </c>
      <c r="Y122" s="2"/>
      <c r="AI122" s="21" t="str">
        <f ca="1">_xll.IMDP("BND",Z122,AI8,Z3)</f>
        <v>입력오류</v>
      </c>
      <c r="AJ122" s="23" t="str">
        <f ca="1">_xll.IMDP("BND",Z122,AJ8,Z3)</f>
        <v>입력오류</v>
      </c>
      <c r="AK122" s="2"/>
      <c r="AU122" s="21" t="str">
        <f ca="1">_xll.IMDP("BND",AL122,AU8,AL3)</f>
        <v>입력오류</v>
      </c>
      <c r="AV122" s="23" t="str">
        <f ca="1">_xll.IMDP("BND",AL122,AV8,AL3)</f>
        <v>입력오류</v>
      </c>
      <c r="AW122" s="2"/>
      <c r="BG122" s="21" t="str">
        <f ca="1">_xll.IMDP("BND",AX122,BG8,AX3)</f>
        <v>입력오류</v>
      </c>
      <c r="BH122" s="23" t="str">
        <f ca="1">_xll.IMDP("BND",AX122,BH8,AX3)</f>
        <v>입력오류</v>
      </c>
      <c r="BI122" s="2">
        <v>46198</v>
      </c>
      <c r="BJ122" s="3" t="s">
        <v>1417</v>
      </c>
      <c r="BK122" s="3" t="s">
        <v>1418</v>
      </c>
      <c r="BL122" s="3" t="s">
        <v>1419</v>
      </c>
      <c r="BM122" s="3">
        <v>0</v>
      </c>
      <c r="BN122" s="3">
        <v>0.3</v>
      </c>
      <c r="BO122" s="3">
        <v>0</v>
      </c>
      <c r="BP122" s="3">
        <v>378498</v>
      </c>
      <c r="BS122" s="21" t="str">
        <f ca="1">_xll.IMDP("BND",BJ122,BS8,BJ3)</f>
        <v/>
      </c>
      <c r="BT122" s="23" t="str">
        <f ca="1">_xll.IMDP("BND",BJ122,BT8,BJ3)</f>
        <v/>
      </c>
      <c r="BU122" s="2">
        <v>46198</v>
      </c>
      <c r="BV122" s="3" t="s">
        <v>2281</v>
      </c>
      <c r="BW122" s="3" t="s">
        <v>1180</v>
      </c>
      <c r="BX122" s="3" t="s">
        <v>1181</v>
      </c>
      <c r="BY122" s="3">
        <v>0</v>
      </c>
      <c r="BZ122" s="3">
        <v>0.35</v>
      </c>
      <c r="CA122" s="3">
        <v>0</v>
      </c>
      <c r="CB122" s="3">
        <v>462370</v>
      </c>
      <c r="CE122" s="21" t="str">
        <f ca="1">_xll.IMDP("BND",BV122,CE8,BV3)</f>
        <v/>
      </c>
      <c r="CF122" s="23" t="str">
        <f ca="1">_xll.IMDP("BND",BV122,CF8,BV3)</f>
        <v/>
      </c>
      <c r="CG122" s="2"/>
      <c r="CQ122" s="21" t="str">
        <f ca="1">_xll.IMDP("BND",CH122,CQ8,CH3)</f>
        <v>입력오류</v>
      </c>
      <c r="CR122" s="23" t="str">
        <f ca="1">_xll.IMDP("BND",CH122,CR8,CH3)</f>
        <v>입력오류</v>
      </c>
      <c r="CS122" s="2">
        <v>46198</v>
      </c>
      <c r="CT122" s="3" t="s">
        <v>2368</v>
      </c>
      <c r="CU122" s="3" t="s">
        <v>1235</v>
      </c>
      <c r="CV122" s="3" t="s">
        <v>2369</v>
      </c>
      <c r="CW122" s="3">
        <v>0</v>
      </c>
      <c r="CX122" s="3">
        <v>0.32</v>
      </c>
      <c r="CY122" s="3">
        <v>0</v>
      </c>
      <c r="CZ122" s="3">
        <v>460886</v>
      </c>
      <c r="DC122" s="21" t="str">
        <f ca="1">_xll.IMDP("BND",CT122,DC8,CT3)</f>
        <v/>
      </c>
      <c r="DD122" s="23" t="str">
        <f ca="1">_xll.IMDP("BND",CT122,DD8,CT3)</f>
        <v/>
      </c>
      <c r="DE122" s="2"/>
      <c r="DO122" s="21" t="str">
        <f ca="1">_xll.IMDP("BND",DF122,DO8,DF3)</f>
        <v>입력오류</v>
      </c>
      <c r="DP122" s="23" t="str">
        <f ca="1">_xll.IMDP("BND",DF122,DP8,DF3)</f>
        <v>입력오류</v>
      </c>
      <c r="DQ122" s="2"/>
      <c r="EA122" s="21" t="str">
        <f ca="1">_xll.IMDP("BND",DR122,EA8,DR3)</f>
        <v>입력오류</v>
      </c>
      <c r="EB122" s="23" t="str">
        <f ca="1">_xll.IMDP("BND",DR122,EB8,DR3)</f>
        <v>입력오류</v>
      </c>
    </row>
    <row r="123" spans="1:132" ht="13.5" customHeight="1" x14ac:dyDescent="0.3">
      <c r="A123" s="2">
        <v>46198</v>
      </c>
      <c r="B123" s="3" t="s">
        <v>190</v>
      </c>
      <c r="C123" s="3" t="s">
        <v>191</v>
      </c>
      <c r="D123" s="3" t="s">
        <v>192</v>
      </c>
      <c r="E123" s="3">
        <v>0</v>
      </c>
      <c r="F123" s="3">
        <v>0.24</v>
      </c>
      <c r="G123" s="3">
        <v>0</v>
      </c>
      <c r="H123" s="3">
        <v>265147</v>
      </c>
      <c r="I123" s="3">
        <v>9984.7099999999991</v>
      </c>
      <c r="J123" s="3">
        <v>1.8189</v>
      </c>
      <c r="K123" s="21">
        <f ca="1">_xll.IMDP("BND",B123,K8,B3)</f>
        <v>20280524</v>
      </c>
      <c r="L123" s="23">
        <f ca="1">_xll.IMDP("BND",B123,L8,B3)</f>
        <v>4.4550000000000001</v>
      </c>
      <c r="M123" s="2"/>
      <c r="W123" s="21" t="str">
        <f ca="1">_xll.IMDP("BND",N123,W8,N3)</f>
        <v>입력오류</v>
      </c>
      <c r="X123" s="23" t="str">
        <f ca="1">_xll.IMDP("BND",N123,X8,N3)</f>
        <v>입력오류</v>
      </c>
      <c r="Y123" s="2"/>
      <c r="AI123" s="21" t="str">
        <f ca="1">_xll.IMDP("BND",Z123,AI8,Z3)</f>
        <v>입력오류</v>
      </c>
      <c r="AJ123" s="23" t="str">
        <f ca="1">_xll.IMDP("BND",Z123,AJ8,Z3)</f>
        <v>입력오류</v>
      </c>
      <c r="AK123" s="2"/>
      <c r="AU123" s="21" t="str">
        <f ca="1">_xll.IMDP("BND",AL123,AU8,AL3)</f>
        <v>입력오류</v>
      </c>
      <c r="AV123" s="23" t="str">
        <f ca="1">_xll.IMDP("BND",AL123,AV8,AL3)</f>
        <v>입력오류</v>
      </c>
      <c r="AW123" s="2"/>
      <c r="BG123" s="21" t="str">
        <f ca="1">_xll.IMDP("BND",AX123,BG8,AX3)</f>
        <v>입력오류</v>
      </c>
      <c r="BH123" s="23" t="str">
        <f ca="1">_xll.IMDP("BND",AX123,BH8,AX3)</f>
        <v>입력오류</v>
      </c>
      <c r="BI123" s="2">
        <v>46198</v>
      </c>
      <c r="BJ123" s="3" t="s">
        <v>1420</v>
      </c>
      <c r="BK123" s="3" t="s">
        <v>1418</v>
      </c>
      <c r="BL123" s="3" t="s">
        <v>1419</v>
      </c>
      <c r="BM123" s="3">
        <v>0</v>
      </c>
      <c r="BN123" s="3">
        <v>0.3</v>
      </c>
      <c r="BO123" s="3">
        <v>0</v>
      </c>
      <c r="BP123" s="3">
        <v>378498</v>
      </c>
      <c r="BS123" s="21" t="str">
        <f ca="1">_xll.IMDP("BND",BJ123,BS8,BJ3)</f>
        <v/>
      </c>
      <c r="BT123" s="23" t="str">
        <f ca="1">_xll.IMDP("BND",BJ123,BT8,BJ3)</f>
        <v/>
      </c>
      <c r="BU123" s="2">
        <v>46198</v>
      </c>
      <c r="BV123" s="3" t="s">
        <v>2286</v>
      </c>
      <c r="BW123" s="3" t="s">
        <v>1157</v>
      </c>
      <c r="BX123" s="3" t="s">
        <v>1158</v>
      </c>
      <c r="BY123" s="3">
        <v>0</v>
      </c>
      <c r="BZ123" s="3">
        <v>0.35</v>
      </c>
      <c r="CA123" s="3">
        <v>0</v>
      </c>
      <c r="CB123" s="3">
        <v>462250</v>
      </c>
      <c r="CE123" s="21" t="str">
        <f ca="1">_xll.IMDP("BND",BV123,CE8,BV3)</f>
        <v/>
      </c>
      <c r="CF123" s="23" t="str">
        <f ca="1">_xll.IMDP("BND",BV123,CF8,BV3)</f>
        <v/>
      </c>
      <c r="CG123" s="2"/>
      <c r="CQ123" s="21" t="str">
        <f ca="1">_xll.IMDP("BND",CH123,CQ8,CH3)</f>
        <v>입력오류</v>
      </c>
      <c r="CR123" s="23" t="str">
        <f ca="1">_xll.IMDP("BND",CH123,CR8,CH3)</f>
        <v>입력오류</v>
      </c>
      <c r="CS123" s="2">
        <v>46198</v>
      </c>
      <c r="CT123" s="3" t="s">
        <v>2374</v>
      </c>
      <c r="CU123" s="3" t="s">
        <v>346</v>
      </c>
      <c r="CV123" s="3" t="s">
        <v>2375</v>
      </c>
      <c r="CW123" s="3">
        <v>0</v>
      </c>
      <c r="CX123" s="3">
        <v>0.32</v>
      </c>
      <c r="CY123" s="3">
        <v>0</v>
      </c>
      <c r="CZ123" s="3">
        <v>460475</v>
      </c>
      <c r="DC123" s="21" t="str">
        <f ca="1">_xll.IMDP("BND",CT123,DC8,CT3)</f>
        <v/>
      </c>
      <c r="DD123" s="23" t="str">
        <f ca="1">_xll.IMDP("BND",CT123,DD8,CT3)</f>
        <v/>
      </c>
      <c r="DE123" s="2"/>
      <c r="DO123" s="21" t="str">
        <f ca="1">_xll.IMDP("BND",DF123,DO8,DF3)</f>
        <v>입력오류</v>
      </c>
      <c r="DP123" s="23" t="str">
        <f ca="1">_xll.IMDP("BND",DF123,DP8,DF3)</f>
        <v>입력오류</v>
      </c>
      <c r="DQ123" s="2"/>
      <c r="EA123" s="21" t="str">
        <f ca="1">_xll.IMDP("BND",DR123,EA8,DR3)</f>
        <v>입력오류</v>
      </c>
      <c r="EB123" s="23" t="str">
        <f ca="1">_xll.IMDP("BND",DR123,EB8,DR3)</f>
        <v>입력오류</v>
      </c>
    </row>
    <row r="124" spans="1:132" ht="13.5" customHeight="1" x14ac:dyDescent="0.3">
      <c r="A124" s="2">
        <v>46198</v>
      </c>
      <c r="B124" s="3" t="s">
        <v>1757</v>
      </c>
      <c r="C124" s="3" t="s">
        <v>1727</v>
      </c>
      <c r="D124" s="3" t="s">
        <v>1758</v>
      </c>
      <c r="E124" s="3">
        <v>0</v>
      </c>
      <c r="F124" s="3">
        <v>0.24</v>
      </c>
      <c r="G124" s="3">
        <v>0</v>
      </c>
      <c r="H124" s="3">
        <v>265098</v>
      </c>
      <c r="I124" s="3">
        <v>9981.7099999999991</v>
      </c>
      <c r="J124" s="3">
        <v>5.1224999999999996</v>
      </c>
      <c r="K124" s="21">
        <f ca="1">_xll.IMDP("BND",B124,K8,B3)</f>
        <v>20320426</v>
      </c>
      <c r="L124" s="23">
        <f ca="1">_xll.IMDP("BND",B124,L8,B3)</f>
        <v>4.3079999999999998</v>
      </c>
      <c r="M124" s="2"/>
      <c r="W124" s="21" t="str">
        <f ca="1">_xll.IMDP("BND",N124,W8,N3)</f>
        <v>입력오류</v>
      </c>
      <c r="X124" s="23" t="str">
        <f ca="1">_xll.IMDP("BND",N124,X8,N3)</f>
        <v>입력오류</v>
      </c>
      <c r="Y124" s="2"/>
      <c r="AI124" s="21" t="str">
        <f ca="1">_xll.IMDP("BND",Z124,AI8,Z3)</f>
        <v>입력오류</v>
      </c>
      <c r="AJ124" s="23" t="str">
        <f ca="1">_xll.IMDP("BND",Z124,AJ8,Z3)</f>
        <v>입력오류</v>
      </c>
      <c r="AK124" s="2"/>
      <c r="AU124" s="21" t="str">
        <f ca="1">_xll.IMDP("BND",AL124,AU8,AL3)</f>
        <v>입력오류</v>
      </c>
      <c r="AV124" s="23" t="str">
        <f ca="1">_xll.IMDP("BND",AL124,AV8,AL3)</f>
        <v>입력오류</v>
      </c>
      <c r="AW124" s="2"/>
      <c r="BG124" s="21" t="str">
        <f ca="1">_xll.IMDP("BND",AX124,BG8,AX3)</f>
        <v>입력오류</v>
      </c>
      <c r="BH124" s="23" t="str">
        <f ca="1">_xll.IMDP("BND",AX124,BH8,AX3)</f>
        <v>입력오류</v>
      </c>
      <c r="BI124" s="2">
        <v>46198</v>
      </c>
      <c r="BJ124" s="3" t="s">
        <v>1421</v>
      </c>
      <c r="BK124" s="3" t="s">
        <v>1422</v>
      </c>
      <c r="BL124" s="3" t="s">
        <v>1423</v>
      </c>
      <c r="BM124" s="3">
        <v>0</v>
      </c>
      <c r="BN124" s="3">
        <v>0.3</v>
      </c>
      <c r="BO124" s="3">
        <v>0</v>
      </c>
      <c r="BP124" s="3">
        <v>378049</v>
      </c>
      <c r="BS124" s="21" t="str">
        <f ca="1">_xll.IMDP("BND",BJ124,BS8,BJ3)</f>
        <v/>
      </c>
      <c r="BT124" s="23" t="str">
        <f ca="1">_xll.IMDP("BND",BJ124,BT8,BJ3)</f>
        <v/>
      </c>
      <c r="BU124" s="2">
        <v>46198</v>
      </c>
      <c r="BV124" s="3" t="s">
        <v>2285</v>
      </c>
      <c r="BW124" s="3" t="s">
        <v>1157</v>
      </c>
      <c r="BX124" s="3" t="s">
        <v>1158</v>
      </c>
      <c r="BY124" s="3">
        <v>0</v>
      </c>
      <c r="BZ124" s="3">
        <v>0.35</v>
      </c>
      <c r="CA124" s="3">
        <v>0</v>
      </c>
      <c r="CB124" s="3">
        <v>462250</v>
      </c>
      <c r="CE124" s="21" t="str">
        <f ca="1">_xll.IMDP("BND",BV124,CE8,BV3)</f>
        <v/>
      </c>
      <c r="CF124" s="23" t="str">
        <f ca="1">_xll.IMDP("BND",BV124,CF8,BV3)</f>
        <v/>
      </c>
      <c r="CG124" s="2"/>
      <c r="CQ124" s="21" t="str">
        <f ca="1">_xll.IMDP("BND",CH124,CQ8,CH3)</f>
        <v>입력오류</v>
      </c>
      <c r="CR124" s="23" t="str">
        <f ca="1">_xll.IMDP("BND",CH124,CR8,CH3)</f>
        <v>입력오류</v>
      </c>
      <c r="CS124" s="2">
        <v>46198</v>
      </c>
      <c r="CT124" s="3" t="s">
        <v>2370</v>
      </c>
      <c r="CU124" s="3" t="s">
        <v>1083</v>
      </c>
      <c r="CV124" s="3" t="s">
        <v>2371</v>
      </c>
      <c r="CW124" s="3">
        <v>0</v>
      </c>
      <c r="CX124" s="3">
        <v>0.32</v>
      </c>
      <c r="CY124" s="3">
        <v>0</v>
      </c>
      <c r="CZ124" s="3">
        <v>460448</v>
      </c>
      <c r="DA124" s="3">
        <v>9860.56</v>
      </c>
      <c r="DB124" s="3">
        <v>1.1644000000000001</v>
      </c>
      <c r="DC124" s="21">
        <f ca="1">_xll.IMDP("BND",CT124,DC8,CT3)</f>
        <v>20270903</v>
      </c>
      <c r="DD124" s="23">
        <f ca="1">_xll.IMDP("BND",CT124,DD8,CT3)</f>
        <v>4.0389999999999997</v>
      </c>
      <c r="DE124" s="2"/>
      <c r="DO124" s="21" t="str">
        <f ca="1">_xll.IMDP("BND",DF124,DO8,DF3)</f>
        <v>입력오류</v>
      </c>
      <c r="DP124" s="23" t="str">
        <f ca="1">_xll.IMDP("BND",DF124,DP8,DF3)</f>
        <v>입력오류</v>
      </c>
      <c r="DQ124" s="2"/>
      <c r="EA124" s="21" t="str">
        <f ca="1">_xll.IMDP("BND",DR124,EA8,DR3)</f>
        <v>입력오류</v>
      </c>
      <c r="EB124" s="23" t="str">
        <f ca="1">_xll.IMDP("BND",DR124,EB8,DR3)</f>
        <v>입력오류</v>
      </c>
    </row>
    <row r="125" spans="1:132" ht="13.5" customHeight="1" x14ac:dyDescent="0.3">
      <c r="A125" s="2">
        <v>46198</v>
      </c>
      <c r="B125" s="3" t="s">
        <v>1759</v>
      </c>
      <c r="C125" s="3" t="s">
        <v>1760</v>
      </c>
      <c r="D125" s="3" t="s">
        <v>1761</v>
      </c>
      <c r="E125" s="3">
        <v>0</v>
      </c>
      <c r="F125" s="3">
        <v>0.24</v>
      </c>
      <c r="G125" s="3">
        <v>0</v>
      </c>
      <c r="H125" s="3">
        <v>265096</v>
      </c>
      <c r="I125" s="3">
        <v>9982.94</v>
      </c>
      <c r="J125" s="3">
        <v>1.7955000000000001</v>
      </c>
      <c r="K125" s="21">
        <f ca="1">_xll.IMDP("BND",B125,K8,B3)</f>
        <v>20280512</v>
      </c>
      <c r="L125" s="23">
        <f ca="1">_xll.IMDP("BND",B125,L8,B3)</f>
        <v>4.2880000000000003</v>
      </c>
      <c r="M125" s="2"/>
      <c r="W125" s="21" t="str">
        <f ca="1">_xll.IMDP("BND",N125,W8,N3)</f>
        <v>입력오류</v>
      </c>
      <c r="X125" s="23" t="str">
        <f ca="1">_xll.IMDP("BND",N125,X8,N3)</f>
        <v>입력오류</v>
      </c>
      <c r="Y125" s="2"/>
      <c r="AI125" s="21" t="str">
        <f ca="1">_xll.IMDP("BND",Z125,AI8,Z3)</f>
        <v>입력오류</v>
      </c>
      <c r="AJ125" s="23" t="str">
        <f ca="1">_xll.IMDP("BND",Z125,AJ8,Z3)</f>
        <v>입력오류</v>
      </c>
      <c r="AK125" s="2"/>
      <c r="AU125" s="21" t="str">
        <f ca="1">_xll.IMDP("BND",AL125,AU8,AL3)</f>
        <v>입력오류</v>
      </c>
      <c r="AV125" s="23" t="str">
        <f ca="1">_xll.IMDP("BND",AL125,AV8,AL3)</f>
        <v>입력오류</v>
      </c>
      <c r="AW125" s="2"/>
      <c r="BG125" s="21" t="str">
        <f ca="1">_xll.IMDP("BND",AX125,BG8,AX3)</f>
        <v>입력오류</v>
      </c>
      <c r="BH125" s="23" t="str">
        <f ca="1">_xll.IMDP("BND",AX125,BH8,AX3)</f>
        <v>입력오류</v>
      </c>
      <c r="BI125" s="2">
        <v>46198</v>
      </c>
      <c r="BJ125" s="3" t="s">
        <v>1424</v>
      </c>
      <c r="BK125" s="3" t="s">
        <v>1422</v>
      </c>
      <c r="BL125" s="3" t="s">
        <v>1423</v>
      </c>
      <c r="BM125" s="3">
        <v>0</v>
      </c>
      <c r="BN125" s="3">
        <v>0.3</v>
      </c>
      <c r="BO125" s="3">
        <v>0</v>
      </c>
      <c r="BP125" s="3">
        <v>378049</v>
      </c>
      <c r="BS125" s="21" t="str">
        <f ca="1">_xll.IMDP("BND",BJ125,BS8,BJ3)</f>
        <v/>
      </c>
      <c r="BT125" s="23" t="str">
        <f ca="1">_xll.IMDP("BND",BJ125,BT8,BJ3)</f>
        <v/>
      </c>
      <c r="BU125" s="2">
        <v>46198</v>
      </c>
      <c r="BV125" s="3" t="s">
        <v>2283</v>
      </c>
      <c r="BW125" s="3" t="s">
        <v>1679</v>
      </c>
      <c r="BX125" s="3" t="s">
        <v>1680</v>
      </c>
      <c r="BY125" s="3">
        <v>0</v>
      </c>
      <c r="BZ125" s="3">
        <v>0.35</v>
      </c>
      <c r="CA125" s="3">
        <v>0</v>
      </c>
      <c r="CB125" s="3">
        <v>462238</v>
      </c>
      <c r="CE125" s="21" t="str">
        <f ca="1">_xll.IMDP("BND",BV125,CE8,BV3)</f>
        <v/>
      </c>
      <c r="CF125" s="23" t="str">
        <f ca="1">_xll.IMDP("BND",BV125,CF8,BV3)</f>
        <v/>
      </c>
      <c r="CG125" s="2"/>
      <c r="CQ125" s="21" t="str">
        <f ca="1">_xll.IMDP("BND",CH125,CQ8,CH3)</f>
        <v>입력오류</v>
      </c>
      <c r="CR125" s="23" t="str">
        <f ca="1">_xll.IMDP("BND",CH125,CR8,CH3)</f>
        <v>입력오류</v>
      </c>
      <c r="CS125" s="2">
        <v>46198</v>
      </c>
      <c r="CT125" s="3" t="s">
        <v>2372</v>
      </c>
      <c r="CU125" s="3" t="s">
        <v>1609</v>
      </c>
      <c r="CV125" s="3" t="s">
        <v>2373</v>
      </c>
      <c r="CW125" s="3">
        <v>0</v>
      </c>
      <c r="CX125" s="3">
        <v>0.32</v>
      </c>
      <c r="CY125" s="3">
        <v>0</v>
      </c>
      <c r="CZ125" s="3">
        <v>460345</v>
      </c>
      <c r="DA125" s="3">
        <v>9858.32</v>
      </c>
      <c r="DB125" s="3">
        <v>2.4540000000000002</v>
      </c>
      <c r="DC125" s="21">
        <f ca="1">_xll.IMDP("BND",CT125,DC8,CT3)</f>
        <v>20290128</v>
      </c>
      <c r="DD125" s="23">
        <f ca="1">_xll.IMDP("BND",CT125,DD8,CT3)</f>
        <v>4.1829999999999998</v>
      </c>
      <c r="DE125" s="2"/>
      <c r="DO125" s="21" t="str">
        <f ca="1">_xll.IMDP("BND",DF125,DO8,DF3)</f>
        <v>입력오류</v>
      </c>
      <c r="DP125" s="23" t="str">
        <f ca="1">_xll.IMDP("BND",DF125,DP8,DF3)</f>
        <v>입력오류</v>
      </c>
      <c r="DQ125" s="2"/>
      <c r="EA125" s="21" t="str">
        <f ca="1">_xll.IMDP("BND",DR125,EA8,DR3)</f>
        <v>입력오류</v>
      </c>
      <c r="EB125" s="23" t="str">
        <f ca="1">_xll.IMDP("BND",DR125,EB8,DR3)</f>
        <v>입력오류</v>
      </c>
    </row>
    <row r="126" spans="1:132" ht="13.5" customHeight="1" x14ac:dyDescent="0.3">
      <c r="A126" s="2">
        <v>46198</v>
      </c>
      <c r="B126" s="3" t="s">
        <v>1762</v>
      </c>
      <c r="C126" s="3" t="s">
        <v>1763</v>
      </c>
      <c r="D126" s="3" t="s">
        <v>1764</v>
      </c>
      <c r="E126" s="3">
        <v>0</v>
      </c>
      <c r="F126" s="3">
        <v>0.24</v>
      </c>
      <c r="G126" s="3">
        <v>0</v>
      </c>
      <c r="H126" s="3">
        <v>265068</v>
      </c>
      <c r="I126" s="3">
        <v>9982.4599999999991</v>
      </c>
      <c r="J126" s="3">
        <v>1.2888999999999999</v>
      </c>
      <c r="K126" s="21">
        <f ca="1">_xll.IMDP("BND",B126,K8,B3)</f>
        <v>20271025</v>
      </c>
      <c r="L126" s="23">
        <f ca="1">_xll.IMDP("BND",B126,L8,B3)</f>
        <v>4.0449999999999999</v>
      </c>
      <c r="M126" s="2"/>
      <c r="W126" s="21" t="str">
        <f ca="1">_xll.IMDP("BND",N126,W8,N3)</f>
        <v>입력오류</v>
      </c>
      <c r="X126" s="23" t="str">
        <f ca="1">_xll.IMDP("BND",N126,X8,N3)</f>
        <v>입력오류</v>
      </c>
      <c r="Y126" s="2"/>
      <c r="AI126" s="21" t="str">
        <f ca="1">_xll.IMDP("BND",Z126,AI8,Z3)</f>
        <v>입력오류</v>
      </c>
      <c r="AJ126" s="23" t="str">
        <f ca="1">_xll.IMDP("BND",Z126,AJ8,Z3)</f>
        <v>입력오류</v>
      </c>
      <c r="AK126" s="2"/>
      <c r="AU126" s="21" t="str">
        <f ca="1">_xll.IMDP("BND",AL126,AU8,AL3)</f>
        <v>입력오류</v>
      </c>
      <c r="AV126" s="23" t="str">
        <f ca="1">_xll.IMDP("BND",AL126,AV8,AL3)</f>
        <v>입력오류</v>
      </c>
      <c r="AW126" s="2"/>
      <c r="BG126" s="21" t="str">
        <f ca="1">_xll.IMDP("BND",AX126,BG8,AX3)</f>
        <v>입력오류</v>
      </c>
      <c r="BH126" s="23" t="str">
        <f ca="1">_xll.IMDP("BND",AX126,BH8,AX3)</f>
        <v>입력오류</v>
      </c>
      <c r="BI126" s="2">
        <v>46198</v>
      </c>
      <c r="BJ126" s="3" t="s">
        <v>1426</v>
      </c>
      <c r="BK126" s="3" t="s">
        <v>1403</v>
      </c>
      <c r="BL126" s="3" t="s">
        <v>584</v>
      </c>
      <c r="BM126" s="3">
        <v>0</v>
      </c>
      <c r="BN126" s="3">
        <v>0.3</v>
      </c>
      <c r="BO126" s="3">
        <v>0</v>
      </c>
      <c r="BP126" s="3">
        <v>377981</v>
      </c>
      <c r="BS126" s="21" t="str">
        <f ca="1">_xll.IMDP("BND",BJ126,BS8,BJ3)</f>
        <v/>
      </c>
      <c r="BT126" s="23" t="str">
        <f ca="1">_xll.IMDP("BND",BJ126,BT8,BJ3)</f>
        <v/>
      </c>
      <c r="BU126" s="2">
        <v>46198</v>
      </c>
      <c r="BV126" s="3" t="s">
        <v>2284</v>
      </c>
      <c r="BW126" s="3" t="s">
        <v>1679</v>
      </c>
      <c r="BX126" s="3" t="s">
        <v>1680</v>
      </c>
      <c r="BY126" s="3">
        <v>0</v>
      </c>
      <c r="BZ126" s="3">
        <v>0.35</v>
      </c>
      <c r="CA126" s="3">
        <v>0</v>
      </c>
      <c r="CB126" s="3">
        <v>462238</v>
      </c>
      <c r="CE126" s="21" t="str">
        <f ca="1">_xll.IMDP("BND",BV126,CE8,BV3)</f>
        <v/>
      </c>
      <c r="CF126" s="23" t="str">
        <f ca="1">_xll.IMDP("BND",BV126,CF8,BV3)</f>
        <v/>
      </c>
      <c r="CG126" s="2"/>
      <c r="CQ126" s="21" t="str">
        <f ca="1">_xll.IMDP("BND",CH126,CQ8,CH3)</f>
        <v>입력오류</v>
      </c>
      <c r="CR126" s="23" t="str">
        <f ca="1">_xll.IMDP("BND",CH126,CR8,CH3)</f>
        <v>입력오류</v>
      </c>
      <c r="CS126" s="2">
        <v>46198</v>
      </c>
      <c r="CT126" s="3" t="s">
        <v>88</v>
      </c>
      <c r="CU126" s="3" t="s">
        <v>89</v>
      </c>
      <c r="CV126" s="3" t="s">
        <v>90</v>
      </c>
      <c r="CW126" s="3">
        <v>0</v>
      </c>
      <c r="CX126" s="3">
        <v>0.32</v>
      </c>
      <c r="CY126" s="3">
        <v>0</v>
      </c>
      <c r="CZ126" s="3">
        <v>459772</v>
      </c>
      <c r="DA126" s="3">
        <v>9845.26</v>
      </c>
      <c r="DB126" s="3">
        <v>2.7843</v>
      </c>
      <c r="DC126" s="21">
        <f ca="1">_xll.IMDP("BND",CT126,DC8,CT3)</f>
        <v>20290612</v>
      </c>
      <c r="DD126" s="23">
        <f ca="1">_xll.IMDP("BND",CT126,DD8,CT3)</f>
        <v>4.3899999999999997</v>
      </c>
      <c r="DE126" s="2"/>
      <c r="DO126" s="21" t="str">
        <f ca="1">_xll.IMDP("BND",DF126,DO8,DF3)</f>
        <v>입력오류</v>
      </c>
      <c r="DP126" s="23" t="str">
        <f ca="1">_xll.IMDP("BND",DF126,DP8,DF3)</f>
        <v>입력오류</v>
      </c>
      <c r="DQ126" s="2"/>
      <c r="EA126" s="21" t="str">
        <f ca="1">_xll.IMDP("BND",DR126,EA8,DR3)</f>
        <v>입력오류</v>
      </c>
      <c r="EB126" s="23" t="str">
        <f ca="1">_xll.IMDP("BND",DR126,EB8,DR3)</f>
        <v>입력오류</v>
      </c>
    </row>
    <row r="127" spans="1:132" ht="13.5" customHeight="1" x14ac:dyDescent="0.3">
      <c r="A127" s="2">
        <v>46198</v>
      </c>
      <c r="B127" s="3" t="s">
        <v>1765</v>
      </c>
      <c r="C127" s="3" t="s">
        <v>1766</v>
      </c>
      <c r="D127" s="3" t="s">
        <v>1767</v>
      </c>
      <c r="E127" s="3">
        <v>0</v>
      </c>
      <c r="F127" s="3">
        <v>0.24</v>
      </c>
      <c r="G127" s="3">
        <v>0</v>
      </c>
      <c r="H127" s="3">
        <v>265023</v>
      </c>
      <c r="I127" s="3">
        <v>9981.1</v>
      </c>
      <c r="J127" s="3">
        <v>1.5976999999999999</v>
      </c>
      <c r="K127" s="21">
        <f ca="1">_xll.IMDP("BND",B127,K8,B3)</f>
        <v>20280227</v>
      </c>
      <c r="L127" s="23">
        <f ca="1">_xll.IMDP("BND",B127,L8,B3)</f>
        <v>3.9260000000000002</v>
      </c>
      <c r="M127" s="2"/>
      <c r="W127" s="21" t="str">
        <f ca="1">_xll.IMDP("BND",N127,W8,N3)</f>
        <v>입력오류</v>
      </c>
      <c r="X127" s="23" t="str">
        <f ca="1">_xll.IMDP("BND",N127,X8,N3)</f>
        <v>입력오류</v>
      </c>
      <c r="Y127" s="2"/>
      <c r="AI127" s="21" t="str">
        <f ca="1">_xll.IMDP("BND",Z127,AI8,Z3)</f>
        <v>입력오류</v>
      </c>
      <c r="AJ127" s="23" t="str">
        <f ca="1">_xll.IMDP("BND",Z127,AJ8,Z3)</f>
        <v>입력오류</v>
      </c>
      <c r="AK127" s="2"/>
      <c r="AU127" s="21" t="str">
        <f ca="1">_xll.IMDP("BND",AL127,AU8,AL3)</f>
        <v>입력오류</v>
      </c>
      <c r="AV127" s="23" t="str">
        <f ca="1">_xll.IMDP("BND",AL127,AV8,AL3)</f>
        <v>입력오류</v>
      </c>
      <c r="AW127" s="2"/>
      <c r="BG127" s="21" t="str">
        <f ca="1">_xll.IMDP("BND",AX127,BG8,AX3)</f>
        <v>입력오류</v>
      </c>
      <c r="BH127" s="23" t="str">
        <f ca="1">_xll.IMDP("BND",AX127,BH8,AX3)</f>
        <v>입력오류</v>
      </c>
      <c r="BI127" s="2">
        <v>46198</v>
      </c>
      <c r="BJ127" s="3" t="s">
        <v>1425</v>
      </c>
      <c r="BK127" s="3" t="s">
        <v>1403</v>
      </c>
      <c r="BL127" s="3" t="s">
        <v>584</v>
      </c>
      <c r="BM127" s="3">
        <v>0</v>
      </c>
      <c r="BN127" s="3">
        <v>0.3</v>
      </c>
      <c r="BO127" s="3">
        <v>0</v>
      </c>
      <c r="BP127" s="3">
        <v>377981</v>
      </c>
      <c r="BS127" s="21" t="str">
        <f ca="1">_xll.IMDP("BND",BJ127,BS8,BJ3)</f>
        <v/>
      </c>
      <c r="BT127" s="23" t="str">
        <f ca="1">_xll.IMDP("BND",BJ127,BT8,BJ3)</f>
        <v/>
      </c>
      <c r="BU127" s="2">
        <v>46198</v>
      </c>
      <c r="BV127" s="3" t="s">
        <v>2297</v>
      </c>
      <c r="BW127" s="3" t="s">
        <v>2288</v>
      </c>
      <c r="BX127" s="3" t="s">
        <v>2289</v>
      </c>
      <c r="BY127" s="3">
        <v>0</v>
      </c>
      <c r="BZ127" s="3">
        <v>0.35</v>
      </c>
      <c r="CA127" s="3">
        <v>0</v>
      </c>
      <c r="CB127" s="3">
        <v>462167</v>
      </c>
      <c r="CE127" s="21" t="str">
        <f ca="1">_xll.IMDP("BND",BV127,CE8,BV3)</f>
        <v/>
      </c>
      <c r="CF127" s="23" t="str">
        <f ca="1">_xll.IMDP("BND",BV127,CF8,BV3)</f>
        <v/>
      </c>
      <c r="CG127" s="2"/>
      <c r="CQ127" s="21" t="str">
        <f ca="1">_xll.IMDP("BND",CH127,CQ8,CH3)</f>
        <v>입력오류</v>
      </c>
      <c r="CR127" s="23" t="str">
        <f ca="1">_xll.IMDP("BND",CH127,CR8,CH3)</f>
        <v>입력오류</v>
      </c>
      <c r="CS127" s="2">
        <v>46198</v>
      </c>
      <c r="CT127" s="3" t="s">
        <v>2376</v>
      </c>
      <c r="CU127" s="3" t="s">
        <v>2377</v>
      </c>
      <c r="CV127" s="3" t="s">
        <v>2378</v>
      </c>
      <c r="CW127" s="3">
        <v>0</v>
      </c>
      <c r="CX127" s="3">
        <v>0.32</v>
      </c>
      <c r="CY127" s="3">
        <v>0</v>
      </c>
      <c r="CZ127" s="3">
        <v>459729</v>
      </c>
      <c r="DA127" s="3">
        <v>9845.2900000000009</v>
      </c>
      <c r="DB127" s="3">
        <v>1.4846999999999999</v>
      </c>
      <c r="DC127" s="21">
        <f ca="1">_xll.IMDP("BND",CT127,DC8,CT3)</f>
        <v>20280107</v>
      </c>
      <c r="DD127" s="23">
        <f ca="1">_xll.IMDP("BND",CT127,DD8,CT3)</f>
        <v>4.2160000000000002</v>
      </c>
      <c r="DE127" s="2"/>
      <c r="DO127" s="21" t="str">
        <f ca="1">_xll.IMDP("BND",DF127,DO8,DF3)</f>
        <v>입력오류</v>
      </c>
      <c r="DP127" s="23" t="str">
        <f ca="1">_xll.IMDP("BND",DF127,DP8,DF3)</f>
        <v>입력오류</v>
      </c>
      <c r="DQ127" s="2"/>
      <c r="EA127" s="21" t="str">
        <f ca="1">_xll.IMDP("BND",DR127,EA8,DR3)</f>
        <v>입력오류</v>
      </c>
      <c r="EB127" s="23" t="str">
        <f ca="1">_xll.IMDP("BND",DR127,EB8,DR3)</f>
        <v>입력오류</v>
      </c>
    </row>
    <row r="128" spans="1:132" ht="13.5" customHeight="1" x14ac:dyDescent="0.3">
      <c r="A128" s="2">
        <v>46198</v>
      </c>
      <c r="B128" s="3" t="s">
        <v>1768</v>
      </c>
      <c r="C128" s="3" t="s">
        <v>1769</v>
      </c>
      <c r="D128" s="3" t="s">
        <v>1770</v>
      </c>
      <c r="E128" s="3">
        <v>0</v>
      </c>
      <c r="F128" s="3">
        <v>0.24</v>
      </c>
      <c r="G128" s="3">
        <v>0</v>
      </c>
      <c r="H128" s="3">
        <v>265011</v>
      </c>
      <c r="I128" s="3">
        <v>9979.84</v>
      </c>
      <c r="J128" s="3">
        <v>1.141</v>
      </c>
      <c r="K128" s="21">
        <f ca="1">_xll.IMDP("BND",B128,K8,B3)</f>
        <v>20270827</v>
      </c>
      <c r="L128" s="23">
        <f ca="1">_xll.IMDP("BND",B128,L8,B3)</f>
        <v>3.9390000000000001</v>
      </c>
      <c r="M128" s="2"/>
      <c r="W128" s="21" t="str">
        <f ca="1">_xll.IMDP("BND",N128,W8,N3)</f>
        <v>입력오류</v>
      </c>
      <c r="X128" s="23" t="str">
        <f ca="1">_xll.IMDP("BND",N128,X8,N3)</f>
        <v>입력오류</v>
      </c>
      <c r="Y128" s="2"/>
      <c r="AI128" s="21" t="str">
        <f ca="1">_xll.IMDP("BND",Z128,AI8,Z3)</f>
        <v>입력오류</v>
      </c>
      <c r="AJ128" s="23" t="str">
        <f ca="1">_xll.IMDP("BND",Z128,AJ8,Z3)</f>
        <v>입력오류</v>
      </c>
      <c r="AK128" s="2"/>
      <c r="AU128" s="21" t="str">
        <f ca="1">_xll.IMDP("BND",AL128,AU8,AL3)</f>
        <v>입력오류</v>
      </c>
      <c r="AV128" s="23" t="str">
        <f ca="1">_xll.IMDP("BND",AL128,AV8,AL3)</f>
        <v>입력오류</v>
      </c>
      <c r="AW128" s="2"/>
      <c r="BG128" s="21" t="str">
        <f ca="1">_xll.IMDP("BND",AX128,BG8,AX3)</f>
        <v>입력오류</v>
      </c>
      <c r="BH128" s="23" t="str">
        <f ca="1">_xll.IMDP("BND",AX128,BH8,AX3)</f>
        <v>입력오류</v>
      </c>
      <c r="BI128" s="2">
        <v>46198</v>
      </c>
      <c r="BJ128" s="3" t="s">
        <v>1427</v>
      </c>
      <c r="BK128" s="3" t="s">
        <v>1428</v>
      </c>
      <c r="BL128" s="3" t="s">
        <v>1429</v>
      </c>
      <c r="BM128" s="3">
        <v>0</v>
      </c>
      <c r="BN128" s="3">
        <v>0.3</v>
      </c>
      <c r="BO128" s="3">
        <v>0</v>
      </c>
      <c r="BP128" s="3">
        <v>374259</v>
      </c>
      <c r="BS128" s="21" t="str">
        <f ca="1">_xll.IMDP("BND",BJ128,BS8,BJ3)</f>
        <v/>
      </c>
      <c r="BT128" s="23" t="str">
        <f ca="1">_xll.IMDP("BND",BJ128,BT8,BJ3)</f>
        <v/>
      </c>
      <c r="BU128" s="2">
        <v>46198</v>
      </c>
      <c r="BV128" s="3" t="s">
        <v>2293</v>
      </c>
      <c r="BW128" s="3" t="s">
        <v>2288</v>
      </c>
      <c r="BX128" s="3" t="s">
        <v>2289</v>
      </c>
      <c r="BY128" s="3">
        <v>0</v>
      </c>
      <c r="BZ128" s="3">
        <v>0.35</v>
      </c>
      <c r="CA128" s="3">
        <v>0</v>
      </c>
      <c r="CB128" s="3">
        <v>462167</v>
      </c>
      <c r="CE128" s="21" t="str">
        <f ca="1">_xll.IMDP("BND",BV128,CE8,BV3)</f>
        <v/>
      </c>
      <c r="CF128" s="23" t="str">
        <f ca="1">_xll.IMDP("BND",BV128,CF8,BV3)</f>
        <v/>
      </c>
      <c r="CG128" s="2"/>
      <c r="CQ128" s="21" t="str">
        <f ca="1">_xll.IMDP("BND",CH128,CQ8,CH3)</f>
        <v>입력오류</v>
      </c>
      <c r="CR128" s="23" t="str">
        <f ca="1">_xll.IMDP("BND",CH128,CR8,CH3)</f>
        <v>입력오류</v>
      </c>
      <c r="CS128" s="2">
        <v>46198</v>
      </c>
      <c r="CT128" s="3" t="s">
        <v>2379</v>
      </c>
      <c r="CU128" s="3" t="s">
        <v>452</v>
      </c>
      <c r="CV128" s="3" t="s">
        <v>2380</v>
      </c>
      <c r="CW128" s="3">
        <v>0</v>
      </c>
      <c r="CX128" s="3">
        <v>0.32</v>
      </c>
      <c r="CY128" s="3">
        <v>0</v>
      </c>
      <c r="CZ128" s="3">
        <v>459308</v>
      </c>
      <c r="DA128" s="3">
        <v>9835.5</v>
      </c>
      <c r="DB128" s="3">
        <v>2.3426999999999998</v>
      </c>
      <c r="DC128" s="21">
        <f ca="1">_xll.IMDP("BND",CT128,DC8,CT3)</f>
        <v>20281208</v>
      </c>
      <c r="DD128" s="23">
        <f ca="1">_xll.IMDP("BND",CT128,DD8,CT3)</f>
        <v>4.0039999999999996</v>
      </c>
      <c r="DE128" s="2"/>
      <c r="DO128" s="21" t="str">
        <f ca="1">_xll.IMDP("BND",DF128,DO8,DF3)</f>
        <v>입력오류</v>
      </c>
      <c r="DP128" s="23" t="str">
        <f ca="1">_xll.IMDP("BND",DF128,DP8,DF3)</f>
        <v>입력오류</v>
      </c>
      <c r="DQ128" s="2"/>
      <c r="EA128" s="21" t="str">
        <f ca="1">_xll.IMDP("BND",DR128,EA8,DR3)</f>
        <v>입력오류</v>
      </c>
      <c r="EB128" s="23" t="str">
        <f ca="1">_xll.IMDP("BND",DR128,EB8,DR3)</f>
        <v>입력오류</v>
      </c>
    </row>
    <row r="129" spans="1:132" ht="13.5" customHeight="1" x14ac:dyDescent="0.3">
      <c r="A129" s="2">
        <v>46198</v>
      </c>
      <c r="B129" s="3" t="s">
        <v>1771</v>
      </c>
      <c r="C129" s="3" t="s">
        <v>1772</v>
      </c>
      <c r="D129" s="3" t="s">
        <v>1773</v>
      </c>
      <c r="E129" s="3">
        <v>0</v>
      </c>
      <c r="F129" s="3">
        <v>0.24</v>
      </c>
      <c r="G129" s="3">
        <v>0</v>
      </c>
      <c r="H129" s="3">
        <v>264976</v>
      </c>
      <c r="I129" s="3">
        <v>9980.26</v>
      </c>
      <c r="J129" s="3">
        <v>2.6821000000000002</v>
      </c>
      <c r="K129" s="21">
        <f ca="1">_xll.IMDP("BND",B129,K8,B3)</f>
        <v>20290510</v>
      </c>
      <c r="L129" s="23">
        <f ca="1">_xll.IMDP("BND",B129,L8,B3)</f>
        <v>4.343</v>
      </c>
      <c r="M129" s="2"/>
      <c r="W129" s="21" t="str">
        <f ca="1">_xll.IMDP("BND",N129,W8,N3)</f>
        <v>입력오류</v>
      </c>
      <c r="X129" s="23" t="str">
        <f ca="1">_xll.IMDP("BND",N129,X8,N3)</f>
        <v>입력오류</v>
      </c>
      <c r="Y129" s="2"/>
      <c r="AI129" s="21" t="str">
        <f ca="1">_xll.IMDP("BND",Z129,AI8,Z3)</f>
        <v>입력오류</v>
      </c>
      <c r="AJ129" s="23" t="str">
        <f ca="1">_xll.IMDP("BND",Z129,AJ8,Z3)</f>
        <v>입력오류</v>
      </c>
      <c r="AK129" s="2"/>
      <c r="AU129" s="21" t="str">
        <f ca="1">_xll.IMDP("BND",AL129,AU8,AL3)</f>
        <v>입력오류</v>
      </c>
      <c r="AV129" s="23" t="str">
        <f ca="1">_xll.IMDP("BND",AL129,AV8,AL3)</f>
        <v>입력오류</v>
      </c>
      <c r="AW129" s="2"/>
      <c r="BG129" s="21" t="str">
        <f ca="1">_xll.IMDP("BND",AX129,BG8,AX3)</f>
        <v>입력오류</v>
      </c>
      <c r="BH129" s="23" t="str">
        <f ca="1">_xll.IMDP("BND",AX129,BH8,AX3)</f>
        <v>입력오류</v>
      </c>
      <c r="BI129" s="2">
        <v>46198</v>
      </c>
      <c r="BJ129" s="3" t="s">
        <v>1430</v>
      </c>
      <c r="BK129" s="3" t="s">
        <v>1428</v>
      </c>
      <c r="BL129" s="3" t="s">
        <v>1429</v>
      </c>
      <c r="BM129" s="3">
        <v>0</v>
      </c>
      <c r="BN129" s="3">
        <v>0.3</v>
      </c>
      <c r="BO129" s="3">
        <v>0</v>
      </c>
      <c r="BP129" s="3">
        <v>374259</v>
      </c>
      <c r="BS129" s="21" t="str">
        <f ca="1">_xll.IMDP("BND",BJ129,BS8,BJ3)</f>
        <v/>
      </c>
      <c r="BT129" s="23" t="str">
        <f ca="1">_xll.IMDP("BND",BJ129,BT8,BJ3)</f>
        <v/>
      </c>
      <c r="BU129" s="2">
        <v>46198</v>
      </c>
      <c r="BV129" s="3" t="s">
        <v>2296</v>
      </c>
      <c r="BW129" s="3" t="s">
        <v>2288</v>
      </c>
      <c r="BX129" s="3" t="s">
        <v>2289</v>
      </c>
      <c r="BY129" s="3">
        <v>0</v>
      </c>
      <c r="BZ129" s="3">
        <v>0.35</v>
      </c>
      <c r="CA129" s="3">
        <v>0</v>
      </c>
      <c r="CB129" s="3">
        <v>462167</v>
      </c>
      <c r="CE129" s="21" t="str">
        <f ca="1">_xll.IMDP("BND",BV129,CE8,BV3)</f>
        <v/>
      </c>
      <c r="CF129" s="23" t="str">
        <f ca="1">_xll.IMDP("BND",BV129,CF8,BV3)</f>
        <v/>
      </c>
      <c r="CG129" s="2"/>
      <c r="CQ129" s="21" t="str">
        <f ca="1">_xll.IMDP("BND",CH129,CQ8,CH3)</f>
        <v>입력오류</v>
      </c>
      <c r="CR129" s="23" t="str">
        <f ca="1">_xll.IMDP("BND",CH129,CR8,CH3)</f>
        <v>입력오류</v>
      </c>
      <c r="CS129" s="2">
        <v>46198</v>
      </c>
      <c r="CT129" s="3" t="s">
        <v>2384</v>
      </c>
      <c r="CU129" s="3" t="s">
        <v>790</v>
      </c>
      <c r="CV129" s="3" t="s">
        <v>2385</v>
      </c>
      <c r="CW129" s="3">
        <v>0</v>
      </c>
      <c r="CX129" s="3">
        <v>0.32</v>
      </c>
      <c r="CY129" s="3">
        <v>0</v>
      </c>
      <c r="CZ129" s="3">
        <v>458963</v>
      </c>
      <c r="DA129" s="3">
        <v>9829.07</v>
      </c>
      <c r="DB129" s="3">
        <v>2.2751000000000001</v>
      </c>
      <c r="DC129" s="21">
        <f ca="1">_xll.IMDP("BND",CT129,DC8,CT3)</f>
        <v>20281112</v>
      </c>
      <c r="DD129" s="23">
        <f ca="1">_xll.IMDP("BND",CT129,DD8,CT3)</f>
        <v>3.9980000000000002</v>
      </c>
      <c r="DE129" s="2"/>
      <c r="DO129" s="21" t="str">
        <f ca="1">_xll.IMDP("BND",DF129,DO8,DF3)</f>
        <v>입력오류</v>
      </c>
      <c r="DP129" s="23" t="str">
        <f ca="1">_xll.IMDP("BND",DF129,DP8,DF3)</f>
        <v>입력오류</v>
      </c>
      <c r="DQ129" s="2"/>
      <c r="EA129" s="21" t="str">
        <f ca="1">_xll.IMDP("BND",DR129,EA8,DR3)</f>
        <v>입력오류</v>
      </c>
      <c r="EB129" s="23" t="str">
        <f ca="1">_xll.IMDP("BND",DR129,EB8,DR3)</f>
        <v>입력오류</v>
      </c>
    </row>
    <row r="130" spans="1:132" ht="13.5" customHeight="1" x14ac:dyDescent="0.3">
      <c r="A130" s="2">
        <v>46198</v>
      </c>
      <c r="B130" s="3" t="s">
        <v>1780</v>
      </c>
      <c r="C130" s="3" t="s">
        <v>1781</v>
      </c>
      <c r="D130" s="3" t="s">
        <v>1782</v>
      </c>
      <c r="E130" s="3">
        <v>0</v>
      </c>
      <c r="F130" s="3">
        <v>0.24</v>
      </c>
      <c r="G130" s="3">
        <v>0</v>
      </c>
      <c r="H130" s="3">
        <v>264918</v>
      </c>
      <c r="I130" s="3">
        <v>9976.98</v>
      </c>
      <c r="J130" s="3">
        <v>1.1069</v>
      </c>
      <c r="K130" s="21">
        <f ca="1">_xll.IMDP("BND",B130,K8,B3)</f>
        <v>20270814</v>
      </c>
      <c r="L130" s="23">
        <f ca="1">_xll.IMDP("BND",B130,L8,B3)</f>
        <v>3.7469999999999999</v>
      </c>
      <c r="M130" s="2"/>
      <c r="W130" s="21" t="str">
        <f ca="1">_xll.IMDP("BND",N130,W8,N3)</f>
        <v>입력오류</v>
      </c>
      <c r="X130" s="23" t="str">
        <f ca="1">_xll.IMDP("BND",N130,X8,N3)</f>
        <v>입력오류</v>
      </c>
      <c r="Y130" s="2"/>
      <c r="AI130" s="21" t="str">
        <f ca="1">_xll.IMDP("BND",Z130,AI8,Z3)</f>
        <v>입력오류</v>
      </c>
      <c r="AJ130" s="23" t="str">
        <f ca="1">_xll.IMDP("BND",Z130,AJ8,Z3)</f>
        <v>입력오류</v>
      </c>
      <c r="AK130" s="2"/>
      <c r="AU130" s="21" t="str">
        <f ca="1">_xll.IMDP("BND",AL130,AU8,AL3)</f>
        <v>입력오류</v>
      </c>
      <c r="AV130" s="23" t="str">
        <f ca="1">_xll.IMDP("BND",AL130,AV8,AL3)</f>
        <v>입력오류</v>
      </c>
      <c r="AW130" s="2"/>
      <c r="BG130" s="21" t="str">
        <f ca="1">_xll.IMDP("BND",AX130,BG8,AX3)</f>
        <v>입력오류</v>
      </c>
      <c r="BH130" s="23" t="str">
        <f ca="1">_xll.IMDP("BND",AX130,BH8,AX3)</f>
        <v>입력오류</v>
      </c>
      <c r="BI130" s="2">
        <v>46198</v>
      </c>
      <c r="BJ130" s="3" t="s">
        <v>167</v>
      </c>
      <c r="BK130" s="3" t="s">
        <v>29</v>
      </c>
      <c r="BL130" s="3" t="s">
        <v>168</v>
      </c>
      <c r="BM130" s="3">
        <v>0</v>
      </c>
      <c r="BN130" s="3">
        <v>0.3</v>
      </c>
      <c r="BO130" s="3">
        <v>0</v>
      </c>
      <c r="BP130" s="3">
        <v>372142</v>
      </c>
      <c r="BQ130" s="3">
        <v>8986.56</v>
      </c>
      <c r="BR130" s="3">
        <v>4.2351000000000001</v>
      </c>
      <c r="BS130" s="21">
        <f ca="1">_xll.IMDP("BND",BJ130,BS8,BJ3)</f>
        <v>20301210</v>
      </c>
      <c r="BT130" s="23">
        <f ca="1">_xll.IMDP("BND",BJ130,BT8,BJ3)</f>
        <v>4.0199999999999996</v>
      </c>
      <c r="BU130" s="2">
        <v>46198</v>
      </c>
      <c r="BV130" s="3" t="s">
        <v>2294</v>
      </c>
      <c r="BW130" s="3" t="s">
        <v>2288</v>
      </c>
      <c r="BX130" s="3" t="s">
        <v>2289</v>
      </c>
      <c r="BY130" s="3">
        <v>0</v>
      </c>
      <c r="BZ130" s="3">
        <v>0.35</v>
      </c>
      <c r="CA130" s="3">
        <v>0</v>
      </c>
      <c r="CB130" s="3">
        <v>462167</v>
      </c>
      <c r="CE130" s="21" t="str">
        <f ca="1">_xll.IMDP("BND",BV130,CE8,BV3)</f>
        <v/>
      </c>
      <c r="CF130" s="23" t="str">
        <f ca="1">_xll.IMDP("BND",BV130,CF8,BV3)</f>
        <v/>
      </c>
      <c r="CG130" s="2"/>
      <c r="CQ130" s="21" t="str">
        <f ca="1">_xll.IMDP("BND",CH130,CQ8,CH3)</f>
        <v>입력오류</v>
      </c>
      <c r="CR130" s="23" t="str">
        <f ca="1">_xll.IMDP("BND",CH130,CR8,CH3)</f>
        <v>입력오류</v>
      </c>
      <c r="CS130" s="2">
        <v>46198</v>
      </c>
      <c r="CT130" s="3" t="s">
        <v>2381</v>
      </c>
      <c r="CU130" s="3" t="s">
        <v>2382</v>
      </c>
      <c r="CV130" s="3" t="s">
        <v>2383</v>
      </c>
      <c r="CW130" s="3">
        <v>0</v>
      </c>
      <c r="CX130" s="3">
        <v>0.32</v>
      </c>
      <c r="CY130" s="3">
        <v>0</v>
      </c>
      <c r="CZ130" s="3">
        <v>458932</v>
      </c>
      <c r="DA130" s="3">
        <v>9827.9699999999993</v>
      </c>
      <c r="DB130" s="3">
        <v>1.5118</v>
      </c>
      <c r="DC130" s="21">
        <f ca="1">_xll.IMDP("BND",CT130,DC8,CT3)</f>
        <v>20280118</v>
      </c>
      <c r="DD130" s="23">
        <f ca="1">_xll.IMDP("BND",CT130,DD8,CT3)</f>
        <v>4.3339999999999996</v>
      </c>
      <c r="DE130" s="2"/>
      <c r="DO130" s="21" t="str">
        <f ca="1">_xll.IMDP("BND",DF130,DO8,DF3)</f>
        <v>입력오류</v>
      </c>
      <c r="DP130" s="23" t="str">
        <f ca="1">_xll.IMDP("BND",DF130,DP8,DF3)</f>
        <v>입력오류</v>
      </c>
      <c r="DQ130" s="2"/>
      <c r="EA130" s="21" t="str">
        <f ca="1">_xll.IMDP("BND",DR130,EA8,DR3)</f>
        <v>입력오류</v>
      </c>
      <c r="EB130" s="23" t="str">
        <f ca="1">_xll.IMDP("BND",DR130,EB8,DR3)</f>
        <v>입력오류</v>
      </c>
    </row>
    <row r="131" spans="1:132" ht="13.5" customHeight="1" x14ac:dyDescent="0.3">
      <c r="A131" s="2">
        <v>46198</v>
      </c>
      <c r="B131" s="3" t="s">
        <v>1774</v>
      </c>
      <c r="C131" s="3" t="s">
        <v>1775</v>
      </c>
      <c r="D131" s="3" t="s">
        <v>1776</v>
      </c>
      <c r="E131" s="3">
        <v>0</v>
      </c>
      <c r="F131" s="3">
        <v>0.24</v>
      </c>
      <c r="G131" s="3">
        <v>0</v>
      </c>
      <c r="H131" s="3">
        <v>264903</v>
      </c>
      <c r="I131" s="3">
        <v>9975.92</v>
      </c>
      <c r="J131" s="3">
        <v>1.2636000000000001</v>
      </c>
      <c r="K131" s="21">
        <f ca="1">_xll.IMDP("BND",B131,K8,B3)</f>
        <v>20271015</v>
      </c>
      <c r="L131" s="23">
        <f ca="1">_xll.IMDP("BND",B131,L8,B3)</f>
        <v>4.093</v>
      </c>
      <c r="M131" s="2"/>
      <c r="W131" s="21" t="str">
        <f ca="1">_xll.IMDP("BND",N131,W8,N3)</f>
        <v>입력오류</v>
      </c>
      <c r="X131" s="23" t="str">
        <f ca="1">_xll.IMDP("BND",N131,X8,N3)</f>
        <v>입력오류</v>
      </c>
      <c r="Y131" s="2"/>
      <c r="AI131" s="21" t="str">
        <f ca="1">_xll.IMDP("BND",Z131,AI8,Z3)</f>
        <v>입력오류</v>
      </c>
      <c r="AJ131" s="23" t="str">
        <f ca="1">_xll.IMDP("BND",Z131,AJ8,Z3)</f>
        <v>입력오류</v>
      </c>
      <c r="AK131" s="2"/>
      <c r="AU131" s="21" t="str">
        <f ca="1">_xll.IMDP("BND",AL131,AU8,AL3)</f>
        <v>입력오류</v>
      </c>
      <c r="AV131" s="23" t="str">
        <f ca="1">_xll.IMDP("BND",AL131,AV8,AL3)</f>
        <v>입력오류</v>
      </c>
      <c r="AW131" s="2"/>
      <c r="BG131" s="21" t="str">
        <f ca="1">_xll.IMDP("BND",AX131,BG8,AX3)</f>
        <v>입력오류</v>
      </c>
      <c r="BH131" s="23" t="str">
        <f ca="1">_xll.IMDP("BND",AX131,BH8,AX3)</f>
        <v>입력오류</v>
      </c>
      <c r="BI131" s="2">
        <v>46198</v>
      </c>
      <c r="BJ131" s="3" t="s">
        <v>1431</v>
      </c>
      <c r="BK131" s="3" t="s">
        <v>1432</v>
      </c>
      <c r="BL131" s="3" t="s">
        <v>1433</v>
      </c>
      <c r="BM131" s="3">
        <v>0</v>
      </c>
      <c r="BN131" s="3">
        <v>0.3</v>
      </c>
      <c r="BO131" s="3">
        <v>0</v>
      </c>
      <c r="BP131" s="3">
        <v>370268</v>
      </c>
      <c r="BQ131" s="3">
        <v>9656.33</v>
      </c>
      <c r="BR131" s="3">
        <v>2.0972</v>
      </c>
      <c r="BS131" s="21">
        <f ca="1">_xll.IMDP("BND",BJ131,BS8,BJ3)</f>
        <v>20280901</v>
      </c>
      <c r="BT131" s="23">
        <f ca="1">_xll.IMDP("BND",BJ131,BT8,BJ3)</f>
        <v>4.7160000000000002</v>
      </c>
      <c r="BU131" s="2">
        <v>46198</v>
      </c>
      <c r="BV131" s="3" t="s">
        <v>2298</v>
      </c>
      <c r="BW131" s="3" t="s">
        <v>2288</v>
      </c>
      <c r="BX131" s="3" t="s">
        <v>2289</v>
      </c>
      <c r="BY131" s="3">
        <v>0</v>
      </c>
      <c r="BZ131" s="3">
        <v>0.35</v>
      </c>
      <c r="CA131" s="3">
        <v>0</v>
      </c>
      <c r="CB131" s="3">
        <v>462167</v>
      </c>
      <c r="CE131" s="21" t="str">
        <f ca="1">_xll.IMDP("BND",BV131,CE8,BV3)</f>
        <v/>
      </c>
      <c r="CF131" s="23" t="str">
        <f ca="1">_xll.IMDP("BND",BV131,CF8,BV3)</f>
        <v/>
      </c>
      <c r="CG131" s="2"/>
      <c r="CQ131" s="21" t="str">
        <f ca="1">_xll.IMDP("BND",CH131,CQ8,CH3)</f>
        <v>입력오류</v>
      </c>
      <c r="CR131" s="23" t="str">
        <f ca="1">_xll.IMDP("BND",CH131,CR8,CH3)</f>
        <v>입력오류</v>
      </c>
      <c r="CS131" s="2">
        <v>46198</v>
      </c>
      <c r="CT131" s="3" t="s">
        <v>2386</v>
      </c>
      <c r="CU131" s="3" t="s">
        <v>1284</v>
      </c>
      <c r="CV131" s="3" t="s">
        <v>2387</v>
      </c>
      <c r="CW131" s="3">
        <v>0</v>
      </c>
      <c r="CX131" s="3">
        <v>0.32</v>
      </c>
      <c r="CY131" s="3">
        <v>0</v>
      </c>
      <c r="CZ131" s="3">
        <v>458022</v>
      </c>
      <c r="DA131" s="3">
        <v>9807.82</v>
      </c>
      <c r="DB131" s="3">
        <v>1.7724</v>
      </c>
      <c r="DC131" s="21">
        <f ca="1">_xll.IMDP("BND",CT131,DC8,CT3)</f>
        <v>20280428</v>
      </c>
      <c r="DD131" s="23">
        <f ca="1">_xll.IMDP("BND",CT131,DD8,CT3)</f>
        <v>4.2830000000000004</v>
      </c>
      <c r="DE131" s="2"/>
      <c r="DO131" s="21" t="str">
        <f ca="1">_xll.IMDP("BND",DF131,DO8,DF3)</f>
        <v>입력오류</v>
      </c>
      <c r="DP131" s="23" t="str">
        <f ca="1">_xll.IMDP("BND",DF131,DP8,DF3)</f>
        <v>입력오류</v>
      </c>
      <c r="DQ131" s="2"/>
      <c r="EA131" s="21" t="str">
        <f ca="1">_xll.IMDP("BND",DR131,EA8,DR3)</f>
        <v>입력오류</v>
      </c>
      <c r="EB131" s="23" t="str">
        <f ca="1">_xll.IMDP("BND",DR131,EB8,DR3)</f>
        <v>입력오류</v>
      </c>
    </row>
    <row r="132" spans="1:132" ht="13.5" customHeight="1" x14ac:dyDescent="0.3">
      <c r="A132" s="2">
        <v>46198</v>
      </c>
      <c r="B132" s="3" t="s">
        <v>1777</v>
      </c>
      <c r="C132" s="3" t="s">
        <v>1778</v>
      </c>
      <c r="D132" s="3" t="s">
        <v>1779</v>
      </c>
      <c r="E132" s="3">
        <v>0</v>
      </c>
      <c r="F132" s="3">
        <v>0.24</v>
      </c>
      <c r="G132" s="3">
        <v>0</v>
      </c>
      <c r="H132" s="3">
        <v>264889</v>
      </c>
      <c r="I132" s="3">
        <v>9975.16</v>
      </c>
      <c r="J132" s="3">
        <v>2.4643000000000002</v>
      </c>
      <c r="K132" s="21">
        <f ca="1">_xll.IMDP("BND",B132,K8,B3)</f>
        <v>20290207</v>
      </c>
      <c r="L132" s="23">
        <f ca="1">_xll.IMDP("BND",B132,L8,B3)</f>
        <v>4.2169999999999996</v>
      </c>
      <c r="M132" s="2"/>
      <c r="W132" s="21" t="str">
        <f ca="1">_xll.IMDP("BND",N132,W8,N3)</f>
        <v>입력오류</v>
      </c>
      <c r="X132" s="23" t="str">
        <f ca="1">_xll.IMDP("BND",N132,X8,N3)</f>
        <v>입력오류</v>
      </c>
      <c r="Y132" s="2"/>
      <c r="AI132" s="21" t="str">
        <f ca="1">_xll.IMDP("BND",Z132,AI8,Z3)</f>
        <v>입력오류</v>
      </c>
      <c r="AJ132" s="23" t="str">
        <f ca="1">_xll.IMDP("BND",Z132,AJ8,Z3)</f>
        <v>입력오류</v>
      </c>
      <c r="AK132" s="2"/>
      <c r="AU132" s="21" t="str">
        <f ca="1">_xll.IMDP("BND",AL132,AU8,AL3)</f>
        <v>입력오류</v>
      </c>
      <c r="AV132" s="23" t="str">
        <f ca="1">_xll.IMDP("BND",AL132,AV8,AL3)</f>
        <v>입력오류</v>
      </c>
      <c r="AW132" s="2"/>
      <c r="BG132" s="21" t="str">
        <f ca="1">_xll.IMDP("BND",AX132,BG8,AX3)</f>
        <v>입력오류</v>
      </c>
      <c r="BH132" s="23" t="str">
        <f ca="1">_xll.IMDP("BND",AX132,BH8,AX3)</f>
        <v>입력오류</v>
      </c>
      <c r="BI132" s="2">
        <v>46198</v>
      </c>
      <c r="BJ132" s="3" t="s">
        <v>42</v>
      </c>
      <c r="BK132" s="3" t="s">
        <v>29</v>
      </c>
      <c r="BL132" s="3" t="s">
        <v>43</v>
      </c>
      <c r="BM132" s="3">
        <v>0</v>
      </c>
      <c r="BN132" s="3">
        <v>0.28999999999999998</v>
      </c>
      <c r="BO132" s="3">
        <v>0</v>
      </c>
      <c r="BP132" s="3">
        <v>358515</v>
      </c>
      <c r="BQ132" s="3">
        <v>9488.39</v>
      </c>
      <c r="BR132" s="3">
        <v>6.1288999999999998</v>
      </c>
      <c r="BS132" s="21">
        <f ca="1">_xll.IMDP("BND",BJ132,BS8,BJ3)</f>
        <v>20330610</v>
      </c>
      <c r="BT132" s="23">
        <f ca="1">_xll.IMDP("BND",BJ132,BT8,BJ3)</f>
        <v>4.125</v>
      </c>
      <c r="BU132" s="2">
        <v>46198</v>
      </c>
      <c r="BV132" s="3" t="s">
        <v>2291</v>
      </c>
      <c r="BW132" s="3" t="s">
        <v>2288</v>
      </c>
      <c r="BX132" s="3" t="s">
        <v>2289</v>
      </c>
      <c r="BY132" s="3">
        <v>0</v>
      </c>
      <c r="BZ132" s="3">
        <v>0.35</v>
      </c>
      <c r="CA132" s="3">
        <v>0</v>
      </c>
      <c r="CB132" s="3">
        <v>462167</v>
      </c>
      <c r="CE132" s="21" t="str">
        <f ca="1">_xll.IMDP("BND",BV132,CE8,BV3)</f>
        <v/>
      </c>
      <c r="CF132" s="23" t="str">
        <f ca="1">_xll.IMDP("BND",BV132,CF8,BV3)</f>
        <v/>
      </c>
      <c r="CG132" s="2"/>
      <c r="CQ132" s="21" t="str">
        <f ca="1">_xll.IMDP("BND",CH132,CQ8,CH3)</f>
        <v>입력오류</v>
      </c>
      <c r="CR132" s="23" t="str">
        <f ca="1">_xll.IMDP("BND",CH132,CR8,CH3)</f>
        <v>입력오류</v>
      </c>
      <c r="CS132" s="2">
        <v>46198</v>
      </c>
      <c r="CT132" s="3" t="s">
        <v>2388</v>
      </c>
      <c r="CU132" s="3" t="s">
        <v>2377</v>
      </c>
      <c r="CV132" s="3" t="s">
        <v>2389</v>
      </c>
      <c r="CW132" s="3">
        <v>0</v>
      </c>
      <c r="CX132" s="3">
        <v>0.32</v>
      </c>
      <c r="CY132" s="3">
        <v>0</v>
      </c>
      <c r="CZ132" s="3">
        <v>457591</v>
      </c>
      <c r="DA132" s="3">
        <v>9800.2900000000009</v>
      </c>
      <c r="DB132" s="3">
        <v>2.3089</v>
      </c>
      <c r="DC132" s="21">
        <f ca="1">_xll.IMDP("BND",CT132,DC8,CT3)</f>
        <v>20281128</v>
      </c>
      <c r="DD132" s="23">
        <f ca="1">_xll.IMDP("BND",CT132,DD8,CT3)</f>
        <v>4.3380000000000001</v>
      </c>
      <c r="DE132" s="2"/>
      <c r="DO132" s="21" t="str">
        <f ca="1">_xll.IMDP("BND",DF132,DO8,DF3)</f>
        <v>입력오류</v>
      </c>
      <c r="DP132" s="23" t="str">
        <f ca="1">_xll.IMDP("BND",DF132,DP8,DF3)</f>
        <v>입력오류</v>
      </c>
      <c r="DQ132" s="2"/>
      <c r="EA132" s="21" t="str">
        <f ca="1">_xll.IMDP("BND",DR132,EA8,DR3)</f>
        <v>입력오류</v>
      </c>
      <c r="EB132" s="23" t="str">
        <f ca="1">_xll.IMDP("BND",DR132,EB8,DR3)</f>
        <v>입력오류</v>
      </c>
    </row>
    <row r="133" spans="1:132" ht="13.5" customHeight="1" x14ac:dyDescent="0.3">
      <c r="A133" s="2">
        <v>46198</v>
      </c>
      <c r="B133" s="3" t="s">
        <v>1783</v>
      </c>
      <c r="C133" s="3" t="s">
        <v>1232</v>
      </c>
      <c r="D133" s="3" t="s">
        <v>1784</v>
      </c>
      <c r="E133" s="3">
        <v>0</v>
      </c>
      <c r="F133" s="3">
        <v>0.24</v>
      </c>
      <c r="G133" s="3">
        <v>0</v>
      </c>
      <c r="H133" s="3">
        <v>264880</v>
      </c>
      <c r="I133" s="3">
        <v>9974.58</v>
      </c>
      <c r="J133" s="3">
        <v>1.9467000000000001</v>
      </c>
      <c r="K133" s="21">
        <f ca="1">_xll.IMDP("BND",B133,K8,B3)</f>
        <v>20280713</v>
      </c>
      <c r="L133" s="23">
        <f ca="1">_xll.IMDP("BND",B133,L8,B3)</f>
        <v>4.4870000000000001</v>
      </c>
      <c r="M133" s="2"/>
      <c r="W133" s="21" t="str">
        <f ca="1">_xll.IMDP("BND",N133,W8,N3)</f>
        <v>입력오류</v>
      </c>
      <c r="X133" s="23" t="str">
        <f ca="1">_xll.IMDP("BND",N133,X8,N3)</f>
        <v>입력오류</v>
      </c>
      <c r="Y133" s="2"/>
      <c r="AI133" s="21" t="str">
        <f ca="1">_xll.IMDP("BND",Z133,AI8,Z3)</f>
        <v>입력오류</v>
      </c>
      <c r="AJ133" s="23" t="str">
        <f ca="1">_xll.IMDP("BND",Z133,AJ8,Z3)</f>
        <v>입력오류</v>
      </c>
      <c r="AK133" s="2"/>
      <c r="AU133" s="21" t="str">
        <f ca="1">_xll.IMDP("BND",AL133,AU8,AL3)</f>
        <v>입력오류</v>
      </c>
      <c r="AV133" s="23" t="str">
        <f ca="1">_xll.IMDP("BND",AL133,AV8,AL3)</f>
        <v>입력오류</v>
      </c>
      <c r="AW133" s="2"/>
      <c r="BG133" s="21" t="str">
        <f ca="1">_xll.IMDP("BND",AX133,BG8,AX3)</f>
        <v>입력오류</v>
      </c>
      <c r="BH133" s="23" t="str">
        <f ca="1">_xll.IMDP("BND",AX133,BH8,AX3)</f>
        <v>입력오류</v>
      </c>
      <c r="BI133" s="2">
        <v>46198</v>
      </c>
      <c r="BJ133" s="3" t="s">
        <v>1434</v>
      </c>
      <c r="BK133" s="3" t="s">
        <v>29</v>
      </c>
      <c r="BL133" s="3" t="s">
        <v>1435</v>
      </c>
      <c r="BM133" s="3">
        <v>0</v>
      </c>
      <c r="BN133" s="3">
        <v>0.28000000000000003</v>
      </c>
      <c r="BO133" s="3">
        <v>0</v>
      </c>
      <c r="BP133" s="3">
        <v>349525</v>
      </c>
      <c r="BQ133" s="3">
        <v>9822.76</v>
      </c>
      <c r="BR133" s="3">
        <v>1.8875999999999999</v>
      </c>
      <c r="BS133" s="21">
        <f ca="1">_xll.IMDP("BND",BJ133,BS8,BJ3)</f>
        <v>20280610</v>
      </c>
      <c r="BT133" s="23">
        <f ca="1">_xll.IMDP("BND",BJ133,BT8,BJ3)</f>
        <v>3.6259999999999999</v>
      </c>
      <c r="BU133" s="2">
        <v>46198</v>
      </c>
      <c r="BV133" s="3" t="s">
        <v>2295</v>
      </c>
      <c r="BW133" s="3" t="s">
        <v>2288</v>
      </c>
      <c r="BX133" s="3" t="s">
        <v>2289</v>
      </c>
      <c r="BY133" s="3">
        <v>0</v>
      </c>
      <c r="BZ133" s="3">
        <v>0.35</v>
      </c>
      <c r="CA133" s="3">
        <v>0</v>
      </c>
      <c r="CB133" s="3">
        <v>462167</v>
      </c>
      <c r="CE133" s="21" t="str">
        <f ca="1">_xll.IMDP("BND",BV133,CE8,BV3)</f>
        <v/>
      </c>
      <c r="CF133" s="23" t="str">
        <f ca="1">_xll.IMDP("BND",BV133,CF8,BV3)</f>
        <v/>
      </c>
      <c r="CG133" s="2"/>
      <c r="CQ133" s="21" t="str">
        <f ca="1">_xll.IMDP("BND",CH133,CQ8,CH3)</f>
        <v>입력오류</v>
      </c>
      <c r="CR133" s="23" t="str">
        <f ca="1">_xll.IMDP("BND",CH133,CR8,CH3)</f>
        <v>입력오류</v>
      </c>
      <c r="CS133" s="2">
        <v>46198</v>
      </c>
      <c r="CT133" s="3" t="s">
        <v>2390</v>
      </c>
      <c r="CU133" s="3" t="s">
        <v>358</v>
      </c>
      <c r="CV133" s="3" t="s">
        <v>2391</v>
      </c>
      <c r="CW133" s="3">
        <v>0</v>
      </c>
      <c r="CX133" s="3">
        <v>0.32</v>
      </c>
      <c r="CY133" s="3">
        <v>0</v>
      </c>
      <c r="CZ133" s="3">
        <v>456427</v>
      </c>
      <c r="DA133" s="3">
        <v>9774.2099999999991</v>
      </c>
      <c r="DB133" s="3">
        <v>2.3319999999999999</v>
      </c>
      <c r="DC133" s="21">
        <f ca="1">_xll.IMDP("BND",CT133,DC8,CT3)</f>
        <v>20281208</v>
      </c>
      <c r="DD133" s="23">
        <f ca="1">_xll.IMDP("BND",CT133,DD8,CT3)</f>
        <v>4.5519999999999996</v>
      </c>
      <c r="DE133" s="2"/>
      <c r="DO133" s="21" t="str">
        <f ca="1">_xll.IMDP("BND",DF133,DO8,DF3)</f>
        <v>입력오류</v>
      </c>
      <c r="DP133" s="23" t="str">
        <f ca="1">_xll.IMDP("BND",DF133,DP8,DF3)</f>
        <v>입력오류</v>
      </c>
      <c r="DQ133" s="2"/>
      <c r="EA133" s="21" t="str">
        <f ca="1">_xll.IMDP("BND",DR133,EA8,DR3)</f>
        <v>입력오류</v>
      </c>
      <c r="EB133" s="23" t="str">
        <f ca="1">_xll.IMDP("BND",DR133,EB8,DR3)</f>
        <v>입력오류</v>
      </c>
    </row>
    <row r="134" spans="1:132" ht="13.5" customHeight="1" x14ac:dyDescent="0.3">
      <c r="A134" s="2">
        <v>46198</v>
      </c>
      <c r="B134" s="3" t="s">
        <v>1785</v>
      </c>
      <c r="C134" s="3" t="s">
        <v>1385</v>
      </c>
      <c r="D134" s="3" t="s">
        <v>1786</v>
      </c>
      <c r="E134" s="3">
        <v>0</v>
      </c>
      <c r="F134" s="3">
        <v>0.24</v>
      </c>
      <c r="G134" s="3">
        <v>0</v>
      </c>
      <c r="H134" s="3">
        <v>264718</v>
      </c>
      <c r="I134" s="3">
        <v>9969.43</v>
      </c>
      <c r="J134" s="3">
        <v>2.9043999999999999</v>
      </c>
      <c r="K134" s="21">
        <f ca="1">_xll.IMDP("BND",B134,K8,B3)</f>
        <v>20290809</v>
      </c>
      <c r="L134" s="23">
        <f ca="1">_xll.IMDP("BND",B134,L8,B3)</f>
        <v>4.3440000000000003</v>
      </c>
      <c r="M134" s="2"/>
      <c r="W134" s="21" t="str">
        <f ca="1">_xll.IMDP("BND",N134,W8,N3)</f>
        <v>입력오류</v>
      </c>
      <c r="X134" s="23" t="str">
        <f ca="1">_xll.IMDP("BND",N134,X8,N3)</f>
        <v>입력오류</v>
      </c>
      <c r="Y134" s="2"/>
      <c r="AI134" s="21" t="str">
        <f ca="1">_xll.IMDP("BND",Z134,AI8,Z3)</f>
        <v>입력오류</v>
      </c>
      <c r="AJ134" s="23" t="str">
        <f ca="1">_xll.IMDP("BND",Z134,AJ8,Z3)</f>
        <v>입력오류</v>
      </c>
      <c r="AK134" s="2"/>
      <c r="AU134" s="21" t="str">
        <f ca="1">_xll.IMDP("BND",AL134,AU8,AL3)</f>
        <v>입력오류</v>
      </c>
      <c r="AV134" s="23" t="str">
        <f ca="1">_xll.IMDP("BND",AL134,AV8,AL3)</f>
        <v>입력오류</v>
      </c>
      <c r="AW134" s="2"/>
      <c r="BG134" s="21" t="str">
        <f ca="1">_xll.IMDP("BND",AX134,BG8,AX3)</f>
        <v>입력오류</v>
      </c>
      <c r="BH134" s="23" t="str">
        <f ca="1">_xll.IMDP("BND",AX134,BH8,AX3)</f>
        <v>입력오류</v>
      </c>
      <c r="BI134" s="2">
        <v>46198</v>
      </c>
      <c r="BJ134" s="3" t="s">
        <v>1436</v>
      </c>
      <c r="BK134" s="3" t="s">
        <v>1437</v>
      </c>
      <c r="BL134" s="3" t="s">
        <v>1438</v>
      </c>
      <c r="BM134" s="3">
        <v>0</v>
      </c>
      <c r="BN134" s="3">
        <v>0.27</v>
      </c>
      <c r="BO134" s="3">
        <v>0</v>
      </c>
      <c r="BP134" s="3">
        <v>343087</v>
      </c>
      <c r="BQ134" s="3">
        <v>8954.61</v>
      </c>
      <c r="BR134" s="3">
        <v>7.6025999999999998</v>
      </c>
      <c r="BS134" s="21">
        <f ca="1">_xll.IMDP("BND",BJ134,BS8,BJ3)</f>
        <v>20350423</v>
      </c>
      <c r="BT134" s="23">
        <f ca="1">_xll.IMDP("BND",BJ134,BT8,BJ3)</f>
        <v>4.3209999999999997</v>
      </c>
      <c r="BU134" s="2">
        <v>46198</v>
      </c>
      <c r="BV134" s="3" t="s">
        <v>2292</v>
      </c>
      <c r="BW134" s="3" t="s">
        <v>2288</v>
      </c>
      <c r="BX134" s="3" t="s">
        <v>2289</v>
      </c>
      <c r="BY134" s="3">
        <v>0</v>
      </c>
      <c r="BZ134" s="3">
        <v>0.35</v>
      </c>
      <c r="CA134" s="3">
        <v>0</v>
      </c>
      <c r="CB134" s="3">
        <v>462167</v>
      </c>
      <c r="CE134" s="21" t="str">
        <f ca="1">_xll.IMDP("BND",BV134,CE8,BV3)</f>
        <v/>
      </c>
      <c r="CF134" s="23" t="str">
        <f ca="1">_xll.IMDP("BND",BV134,CF8,BV3)</f>
        <v/>
      </c>
      <c r="CG134" s="2"/>
      <c r="CQ134" s="21" t="str">
        <f ca="1">_xll.IMDP("BND",CH134,CQ8,CH3)</f>
        <v>입력오류</v>
      </c>
      <c r="CR134" s="23" t="str">
        <f ca="1">_xll.IMDP("BND",CH134,CR8,CH3)</f>
        <v>입력오류</v>
      </c>
      <c r="CS134" s="2">
        <v>46198</v>
      </c>
      <c r="CT134" s="3" t="s">
        <v>2392</v>
      </c>
      <c r="CU134" s="3" t="s">
        <v>2393</v>
      </c>
      <c r="CV134" s="3" t="s">
        <v>2394</v>
      </c>
      <c r="CW134" s="3">
        <v>0</v>
      </c>
      <c r="CX134" s="3">
        <v>0.32</v>
      </c>
      <c r="CY134" s="3">
        <v>0</v>
      </c>
      <c r="CZ134" s="3">
        <v>455874</v>
      </c>
      <c r="DA134" s="3">
        <v>9761.9</v>
      </c>
      <c r="DB134" s="3">
        <v>4.2469999999999999</v>
      </c>
      <c r="DC134" s="21">
        <f ca="1">_xll.IMDP("BND",CT134,DC8,CT3)</f>
        <v>20310226</v>
      </c>
      <c r="DD134" s="23">
        <f ca="1">_xll.IMDP("BND",CT134,DD8,CT3)</f>
        <v>4.3380000000000001</v>
      </c>
      <c r="DE134" s="2"/>
      <c r="DO134" s="21" t="str">
        <f ca="1">_xll.IMDP("BND",DF134,DO8,DF3)</f>
        <v>입력오류</v>
      </c>
      <c r="DP134" s="23" t="str">
        <f ca="1">_xll.IMDP("BND",DF134,DP8,DF3)</f>
        <v>입력오류</v>
      </c>
      <c r="DQ134" s="2"/>
      <c r="EA134" s="21" t="str">
        <f ca="1">_xll.IMDP("BND",DR134,EA8,DR3)</f>
        <v>입력오류</v>
      </c>
      <c r="EB134" s="23" t="str">
        <f ca="1">_xll.IMDP("BND",DR134,EB8,DR3)</f>
        <v>입력오류</v>
      </c>
    </row>
    <row r="135" spans="1:132" ht="13.5" customHeight="1" x14ac:dyDescent="0.3">
      <c r="A135" s="2">
        <v>46198</v>
      </c>
      <c r="B135" s="3" t="s">
        <v>1787</v>
      </c>
      <c r="C135" s="3" t="s">
        <v>1788</v>
      </c>
      <c r="D135" s="3" t="s">
        <v>1789</v>
      </c>
      <c r="E135" s="3">
        <v>0</v>
      </c>
      <c r="F135" s="3">
        <v>0.24</v>
      </c>
      <c r="G135" s="3">
        <v>0</v>
      </c>
      <c r="H135" s="3">
        <v>264555</v>
      </c>
      <c r="I135" s="3">
        <v>9962.5400000000009</v>
      </c>
      <c r="J135" s="3">
        <v>1.139</v>
      </c>
      <c r="K135" s="21">
        <f ca="1">_xll.IMDP("BND",B135,K8,B3)</f>
        <v>20270826</v>
      </c>
      <c r="L135" s="23">
        <f ca="1">_xll.IMDP("BND",B135,L8,B3)</f>
        <v>3.7970000000000002</v>
      </c>
      <c r="M135" s="2"/>
      <c r="W135" s="21" t="str">
        <f ca="1">_xll.IMDP("BND",N135,W8,N3)</f>
        <v>입력오류</v>
      </c>
      <c r="X135" s="23" t="str">
        <f ca="1">_xll.IMDP("BND",N135,X8,N3)</f>
        <v>입력오류</v>
      </c>
      <c r="Y135" s="2"/>
      <c r="AI135" s="21" t="str">
        <f ca="1">_xll.IMDP("BND",Z135,AI8,Z3)</f>
        <v>입력오류</v>
      </c>
      <c r="AJ135" s="23" t="str">
        <f ca="1">_xll.IMDP("BND",Z135,AJ8,Z3)</f>
        <v>입력오류</v>
      </c>
      <c r="AK135" s="2"/>
      <c r="AU135" s="21" t="str">
        <f ca="1">_xll.IMDP("BND",AL135,AU8,AL3)</f>
        <v>입력오류</v>
      </c>
      <c r="AV135" s="23" t="str">
        <f ca="1">_xll.IMDP("BND",AL135,AV8,AL3)</f>
        <v>입력오류</v>
      </c>
      <c r="AW135" s="2"/>
      <c r="BG135" s="21" t="str">
        <f ca="1">_xll.IMDP("BND",AX135,BG8,AX3)</f>
        <v>입력오류</v>
      </c>
      <c r="BH135" s="23" t="str">
        <f ca="1">_xll.IMDP("BND",AX135,BH8,AX3)</f>
        <v>입력오류</v>
      </c>
      <c r="BI135" s="2">
        <v>46198</v>
      </c>
      <c r="BJ135" s="3" t="s">
        <v>81</v>
      </c>
      <c r="BK135" s="3" t="s">
        <v>29</v>
      </c>
      <c r="BL135" s="3" t="s">
        <v>82</v>
      </c>
      <c r="BM135" s="3">
        <v>0</v>
      </c>
      <c r="BN135" s="3">
        <v>0.27</v>
      </c>
      <c r="BO135" s="3">
        <v>0</v>
      </c>
      <c r="BP135" s="3">
        <v>332286</v>
      </c>
      <c r="BQ135" s="3">
        <v>7127.31</v>
      </c>
      <c r="BR135" s="3">
        <v>12.185600000000001</v>
      </c>
      <c r="BS135" s="21">
        <f ca="1">_xll.IMDP("BND",BJ135,BS8,BJ3)</f>
        <v>20400910</v>
      </c>
      <c r="BT135" s="23">
        <f ca="1">_xll.IMDP("BND",BJ135,BT8,BJ3)</f>
        <v>4.2549999999999999</v>
      </c>
      <c r="BU135" s="2">
        <v>46198</v>
      </c>
      <c r="BV135" s="3" t="s">
        <v>2287</v>
      </c>
      <c r="BW135" s="3" t="s">
        <v>2288</v>
      </c>
      <c r="BX135" s="3" t="s">
        <v>2289</v>
      </c>
      <c r="BY135" s="3">
        <v>0</v>
      </c>
      <c r="BZ135" s="3">
        <v>0.35</v>
      </c>
      <c r="CA135" s="3">
        <v>0</v>
      </c>
      <c r="CB135" s="3">
        <v>462167</v>
      </c>
      <c r="CE135" s="21" t="str">
        <f ca="1">_xll.IMDP("BND",BV135,CE8,BV3)</f>
        <v/>
      </c>
      <c r="CF135" s="23" t="str">
        <f ca="1">_xll.IMDP("BND",BV135,CF8,BV3)</f>
        <v/>
      </c>
      <c r="CG135" s="2"/>
      <c r="CQ135" s="21" t="str">
        <f ca="1">_xll.IMDP("BND",CH135,CQ8,CH3)</f>
        <v>입력오류</v>
      </c>
      <c r="CR135" s="23" t="str">
        <f ca="1">_xll.IMDP("BND",CH135,CR8,CH3)</f>
        <v>입력오류</v>
      </c>
      <c r="CS135" s="2">
        <v>46198</v>
      </c>
      <c r="CT135" s="3" t="s">
        <v>2395</v>
      </c>
      <c r="CU135" s="3" t="s">
        <v>1096</v>
      </c>
      <c r="CV135" s="3" t="s">
        <v>2396</v>
      </c>
      <c r="CW135" s="3">
        <v>0</v>
      </c>
      <c r="CX135" s="3">
        <v>0.32</v>
      </c>
      <c r="CY135" s="3">
        <v>0</v>
      </c>
      <c r="CZ135" s="3">
        <v>455125</v>
      </c>
      <c r="DA135" s="3">
        <v>9746.19</v>
      </c>
      <c r="DB135" s="3">
        <v>2.1898</v>
      </c>
      <c r="DC135" s="21">
        <f ca="1">_xll.IMDP("BND",CT135,DC8,CT3)</f>
        <v>20281010</v>
      </c>
      <c r="DD135" s="23">
        <f ca="1">_xll.IMDP("BND",CT135,DD8,CT3)</f>
        <v>4.3070000000000004</v>
      </c>
      <c r="DE135" s="2"/>
      <c r="DO135" s="21" t="str">
        <f ca="1">_xll.IMDP("BND",DF135,DO8,DF3)</f>
        <v>입력오류</v>
      </c>
      <c r="DP135" s="23" t="str">
        <f ca="1">_xll.IMDP("BND",DF135,DP8,DF3)</f>
        <v>입력오류</v>
      </c>
      <c r="DQ135" s="2"/>
      <c r="EA135" s="21" t="str">
        <f ca="1">_xll.IMDP("BND",DR135,EA8,DR3)</f>
        <v>입력오류</v>
      </c>
      <c r="EB135" s="23" t="str">
        <f ca="1">_xll.IMDP("BND",DR135,EB8,DR3)</f>
        <v>입력오류</v>
      </c>
    </row>
    <row r="136" spans="1:132" ht="13.5" customHeight="1" x14ac:dyDescent="0.3">
      <c r="A136" s="2">
        <v>46198</v>
      </c>
      <c r="B136" s="3" t="s">
        <v>577</v>
      </c>
      <c r="C136" s="3" t="s">
        <v>578</v>
      </c>
      <c r="D136" s="3" t="s">
        <v>579</v>
      </c>
      <c r="E136" s="3">
        <v>0</v>
      </c>
      <c r="F136" s="3">
        <v>0.24</v>
      </c>
      <c r="G136" s="3">
        <v>0</v>
      </c>
      <c r="H136" s="3">
        <v>264453</v>
      </c>
      <c r="I136" s="3">
        <v>9959.44</v>
      </c>
      <c r="J136" s="3">
        <v>1.1394</v>
      </c>
      <c r="K136" s="21">
        <f ca="1">_xll.IMDP("BND",B136,K8,B3)</f>
        <v>20270826</v>
      </c>
      <c r="L136" s="23">
        <f ca="1">_xll.IMDP("BND",B136,L8,B3)</f>
        <v>3.7730000000000001</v>
      </c>
      <c r="M136" s="2"/>
      <c r="W136" s="21" t="str">
        <f ca="1">_xll.IMDP("BND",N136,W8,N3)</f>
        <v>입력오류</v>
      </c>
      <c r="X136" s="23" t="str">
        <f ca="1">_xll.IMDP("BND",N136,X8,N3)</f>
        <v>입력오류</v>
      </c>
      <c r="Y136" s="2"/>
      <c r="AI136" s="21" t="str">
        <f ca="1">_xll.IMDP("BND",Z136,AI8,Z3)</f>
        <v>입력오류</v>
      </c>
      <c r="AJ136" s="23" t="str">
        <f ca="1">_xll.IMDP("BND",Z136,AJ8,Z3)</f>
        <v>입력오류</v>
      </c>
      <c r="AK136" s="2"/>
      <c r="AU136" s="21" t="str">
        <f ca="1">_xll.IMDP("BND",AL136,AU8,AL3)</f>
        <v>입력오류</v>
      </c>
      <c r="AV136" s="23" t="str">
        <f ca="1">_xll.IMDP("BND",AL136,AV8,AL3)</f>
        <v>입력오류</v>
      </c>
      <c r="AW136" s="2"/>
      <c r="BG136" s="21" t="str">
        <f ca="1">_xll.IMDP("BND",AX136,BG8,AX3)</f>
        <v>입력오류</v>
      </c>
      <c r="BH136" s="23" t="str">
        <f ca="1">_xll.IMDP("BND",AX136,BH8,AX3)</f>
        <v>입력오류</v>
      </c>
      <c r="BI136" s="2">
        <v>46198</v>
      </c>
      <c r="BJ136" s="3" t="s">
        <v>40</v>
      </c>
      <c r="BK136" s="3" t="s">
        <v>29</v>
      </c>
      <c r="BL136" s="3" t="s">
        <v>41</v>
      </c>
      <c r="BM136" s="3">
        <v>0</v>
      </c>
      <c r="BN136" s="3">
        <v>0.25</v>
      </c>
      <c r="BO136" s="3">
        <v>0</v>
      </c>
      <c r="BP136" s="3">
        <v>308532</v>
      </c>
      <c r="BQ136" s="3">
        <v>10096.75</v>
      </c>
      <c r="BR136" s="3">
        <v>5.5978000000000003</v>
      </c>
      <c r="BS136" s="21">
        <f ca="1">_xll.IMDP("BND",BJ136,BS8,BJ3)</f>
        <v>20321210</v>
      </c>
      <c r="BT136" s="23">
        <f ca="1">_xll.IMDP("BND",BJ136,BT8,BJ3)</f>
        <v>4.1079999999999997</v>
      </c>
      <c r="BU136" s="2">
        <v>46198</v>
      </c>
      <c r="BV136" s="3" t="s">
        <v>2290</v>
      </c>
      <c r="BW136" s="3" t="s">
        <v>2288</v>
      </c>
      <c r="BX136" s="3" t="s">
        <v>2289</v>
      </c>
      <c r="BY136" s="3">
        <v>0</v>
      </c>
      <c r="BZ136" s="3">
        <v>0.35</v>
      </c>
      <c r="CA136" s="3">
        <v>0</v>
      </c>
      <c r="CB136" s="3">
        <v>462167</v>
      </c>
      <c r="CE136" s="21" t="str">
        <f ca="1">_xll.IMDP("BND",BV136,CE8,BV3)</f>
        <v/>
      </c>
      <c r="CF136" s="23" t="str">
        <f ca="1">_xll.IMDP("BND",BV136,CF8,BV3)</f>
        <v/>
      </c>
      <c r="CG136" s="2"/>
      <c r="CQ136" s="21" t="str">
        <f ca="1">_xll.IMDP("BND",CH136,CQ8,CH3)</f>
        <v>입력오류</v>
      </c>
      <c r="CR136" s="23" t="str">
        <f ca="1">_xll.IMDP("BND",CH136,CR8,CH3)</f>
        <v>입력오류</v>
      </c>
      <c r="CS136" s="2">
        <v>46198</v>
      </c>
      <c r="CT136" s="3" t="s">
        <v>2397</v>
      </c>
      <c r="CU136" s="3" t="s">
        <v>2398</v>
      </c>
      <c r="CV136" s="3" t="s">
        <v>2399</v>
      </c>
      <c r="CW136" s="3">
        <v>0</v>
      </c>
      <c r="CX136" s="3">
        <v>0.32</v>
      </c>
      <c r="CY136" s="3">
        <v>0</v>
      </c>
      <c r="CZ136" s="3">
        <v>454408</v>
      </c>
      <c r="DA136" s="3">
        <v>9734.2000000000007</v>
      </c>
      <c r="DB136" s="3">
        <v>7.8452999999999999</v>
      </c>
      <c r="DC136" s="21">
        <f ca="1">_xll.IMDP("BND",CT136,DC8,CT3)</f>
        <v>20360225</v>
      </c>
      <c r="DD136" s="23">
        <f ca="1">_xll.IMDP("BND",CT136,DD8,CT3)</f>
        <v>4.3739999999999997</v>
      </c>
      <c r="DE136" s="2"/>
      <c r="DO136" s="21" t="str">
        <f ca="1">_xll.IMDP("BND",DF136,DO8,DF3)</f>
        <v>입력오류</v>
      </c>
      <c r="DP136" s="23" t="str">
        <f ca="1">_xll.IMDP("BND",DF136,DP8,DF3)</f>
        <v>입력오류</v>
      </c>
      <c r="DQ136" s="2"/>
      <c r="EA136" s="21" t="str">
        <f ca="1">_xll.IMDP("BND",DR136,EA8,DR3)</f>
        <v>입력오류</v>
      </c>
      <c r="EB136" s="23" t="str">
        <f ca="1">_xll.IMDP("BND",DR136,EB8,DR3)</f>
        <v>입력오류</v>
      </c>
    </row>
    <row r="137" spans="1:132" ht="13.5" customHeight="1" x14ac:dyDescent="0.3">
      <c r="A137" s="2">
        <v>46198</v>
      </c>
      <c r="B137" s="3" t="s">
        <v>1790</v>
      </c>
      <c r="C137" s="3" t="s">
        <v>1791</v>
      </c>
      <c r="D137" s="3" t="s">
        <v>1792</v>
      </c>
      <c r="E137" s="3">
        <v>0</v>
      </c>
      <c r="F137" s="3">
        <v>0.24</v>
      </c>
      <c r="G137" s="3">
        <v>0</v>
      </c>
      <c r="H137" s="3">
        <v>264422</v>
      </c>
      <c r="I137" s="3">
        <v>9957.92</v>
      </c>
      <c r="J137" s="3">
        <v>1.3191999999999999</v>
      </c>
      <c r="K137" s="21">
        <f ca="1">_xll.IMDP("BND",B137,K8,B3)</f>
        <v>20271105</v>
      </c>
      <c r="L137" s="23">
        <f ca="1">_xll.IMDP("BND",B137,L8,B3)</f>
        <v>4.1230000000000002</v>
      </c>
      <c r="M137" s="2"/>
      <c r="W137" s="21" t="str">
        <f ca="1">_xll.IMDP("BND",N137,W8,N3)</f>
        <v>입력오류</v>
      </c>
      <c r="X137" s="23" t="str">
        <f ca="1">_xll.IMDP("BND",N137,X8,N3)</f>
        <v>입력오류</v>
      </c>
      <c r="Y137" s="2"/>
      <c r="AI137" s="21" t="str">
        <f ca="1">_xll.IMDP("BND",Z137,AI8,Z3)</f>
        <v>입력오류</v>
      </c>
      <c r="AJ137" s="23" t="str">
        <f ca="1">_xll.IMDP("BND",Z137,AJ8,Z3)</f>
        <v>입력오류</v>
      </c>
      <c r="AK137" s="2"/>
      <c r="AU137" s="21" t="str">
        <f ca="1">_xll.IMDP("BND",AL137,AU8,AL3)</f>
        <v>입력오류</v>
      </c>
      <c r="AV137" s="23" t="str">
        <f ca="1">_xll.IMDP("BND",AL137,AV8,AL3)</f>
        <v>입력오류</v>
      </c>
      <c r="AW137" s="2"/>
      <c r="BG137" s="21" t="str">
        <f ca="1">_xll.IMDP("BND",AX137,BG8,AX3)</f>
        <v>입력오류</v>
      </c>
      <c r="BH137" s="23" t="str">
        <f ca="1">_xll.IMDP("BND",AX137,BH8,AX3)</f>
        <v>입력오류</v>
      </c>
      <c r="BI137" s="2">
        <v>46198</v>
      </c>
      <c r="BJ137" s="3" t="s">
        <v>1439</v>
      </c>
      <c r="BK137" s="3" t="s">
        <v>1440</v>
      </c>
      <c r="BL137" s="3" t="s">
        <v>1441</v>
      </c>
      <c r="BM137" s="3">
        <v>0</v>
      </c>
      <c r="BN137" s="3">
        <v>0.23</v>
      </c>
      <c r="BO137" s="3">
        <v>0</v>
      </c>
      <c r="BP137" s="3">
        <v>292452</v>
      </c>
      <c r="BQ137" s="3">
        <v>9537.7199999999993</v>
      </c>
      <c r="BR137" s="3">
        <v>5.5206</v>
      </c>
      <c r="BS137" s="21">
        <f ca="1">_xll.IMDP("BND",BJ137,BS8,BJ3)</f>
        <v>20320926</v>
      </c>
      <c r="BT137" s="23">
        <f ca="1">_xll.IMDP("BND",BJ137,BT8,BJ3)</f>
        <v>4.2880000000000003</v>
      </c>
      <c r="BU137" s="2">
        <v>46198</v>
      </c>
      <c r="BV137" s="3" t="s">
        <v>2303</v>
      </c>
      <c r="BW137" s="3" t="s">
        <v>2300</v>
      </c>
      <c r="BX137" s="3" t="s">
        <v>2301</v>
      </c>
      <c r="BY137" s="3">
        <v>0</v>
      </c>
      <c r="BZ137" s="3">
        <v>0.35</v>
      </c>
      <c r="CA137" s="3">
        <v>0</v>
      </c>
      <c r="CB137" s="3">
        <v>461364</v>
      </c>
      <c r="CE137" s="21" t="str">
        <f ca="1">_xll.IMDP("BND",BV137,CE8,BV3)</f>
        <v/>
      </c>
      <c r="CF137" s="23" t="str">
        <f ca="1">_xll.IMDP("BND",BV137,CF8,BV3)</f>
        <v/>
      </c>
      <c r="CG137" s="2"/>
      <c r="CQ137" s="21" t="str">
        <f ca="1">_xll.IMDP("BND",CH137,CQ8,CH3)</f>
        <v>입력오류</v>
      </c>
      <c r="CR137" s="23" t="str">
        <f ca="1">_xll.IMDP("BND",CH137,CR8,CH3)</f>
        <v>입력오류</v>
      </c>
      <c r="CS137" s="2">
        <v>46198</v>
      </c>
      <c r="CT137" s="3" t="s">
        <v>2400</v>
      </c>
      <c r="CU137" s="3" t="s">
        <v>1207</v>
      </c>
      <c r="CV137" s="3" t="s">
        <v>2401</v>
      </c>
      <c r="CW137" s="3">
        <v>0</v>
      </c>
      <c r="CX137" s="3">
        <v>0.32</v>
      </c>
      <c r="CY137" s="3">
        <v>0</v>
      </c>
      <c r="CZ137" s="3">
        <v>454219</v>
      </c>
      <c r="DA137" s="3">
        <v>9726.4699999999993</v>
      </c>
      <c r="DB137" s="3">
        <v>3.0324</v>
      </c>
      <c r="DC137" s="21">
        <f ca="1">_xll.IMDP("BND",CT137,DC8,CT3)</f>
        <v>20290912</v>
      </c>
      <c r="DD137" s="23">
        <f ca="1">_xll.IMDP("BND",CT137,DD8,CT3)</f>
        <v>4.1500000000000004</v>
      </c>
      <c r="DE137" s="2"/>
      <c r="DO137" s="21" t="str">
        <f ca="1">_xll.IMDP("BND",DF137,DO8,DF3)</f>
        <v>입력오류</v>
      </c>
      <c r="DP137" s="23" t="str">
        <f ca="1">_xll.IMDP("BND",DF137,DP8,DF3)</f>
        <v>입력오류</v>
      </c>
      <c r="DQ137" s="2"/>
      <c r="EA137" s="21" t="str">
        <f ca="1">_xll.IMDP("BND",DR137,EA8,DR3)</f>
        <v>입력오류</v>
      </c>
      <c r="EB137" s="23" t="str">
        <f ca="1">_xll.IMDP("BND",DR137,EB8,DR3)</f>
        <v>입력오류</v>
      </c>
    </row>
    <row r="138" spans="1:132" ht="13.5" customHeight="1" x14ac:dyDescent="0.3">
      <c r="A138" s="2">
        <v>46198</v>
      </c>
      <c r="B138" s="3" t="s">
        <v>1793</v>
      </c>
      <c r="C138" s="3" t="s">
        <v>558</v>
      </c>
      <c r="D138" s="3" t="s">
        <v>1794</v>
      </c>
      <c r="E138" s="3">
        <v>0</v>
      </c>
      <c r="F138" s="3">
        <v>0.24</v>
      </c>
      <c r="G138" s="3">
        <v>0</v>
      </c>
      <c r="H138" s="3">
        <v>264407</v>
      </c>
      <c r="I138" s="3">
        <v>9957.2800000000007</v>
      </c>
      <c r="J138" s="3">
        <v>2.4403999999999999</v>
      </c>
      <c r="K138" s="21">
        <f ca="1">_xll.IMDP("BND",B138,K8,B3)</f>
        <v>20290125</v>
      </c>
      <c r="L138" s="23">
        <f ca="1">_xll.IMDP("BND",B138,L8,B3)</f>
        <v>4.0270000000000001</v>
      </c>
      <c r="M138" s="2"/>
      <c r="W138" s="21" t="str">
        <f ca="1">_xll.IMDP("BND",N138,W8,N3)</f>
        <v>입력오류</v>
      </c>
      <c r="X138" s="23" t="str">
        <f ca="1">_xll.IMDP("BND",N138,X8,N3)</f>
        <v>입력오류</v>
      </c>
      <c r="Y138" s="2"/>
      <c r="AI138" s="21" t="str">
        <f ca="1">_xll.IMDP("BND",Z138,AI8,Z3)</f>
        <v>입력오류</v>
      </c>
      <c r="AJ138" s="23" t="str">
        <f ca="1">_xll.IMDP("BND",Z138,AJ8,Z3)</f>
        <v>입력오류</v>
      </c>
      <c r="AK138" s="2"/>
      <c r="AU138" s="21" t="str">
        <f ca="1">_xll.IMDP("BND",AL138,AU8,AL3)</f>
        <v>입력오류</v>
      </c>
      <c r="AV138" s="23" t="str">
        <f ca="1">_xll.IMDP("BND",AL138,AV8,AL3)</f>
        <v>입력오류</v>
      </c>
      <c r="AW138" s="2"/>
      <c r="BG138" s="21" t="str">
        <f ca="1">_xll.IMDP("BND",AX138,BG8,AX3)</f>
        <v>입력오류</v>
      </c>
      <c r="BH138" s="23" t="str">
        <f ca="1">_xll.IMDP("BND",AX138,BH8,AX3)</f>
        <v>입력오류</v>
      </c>
      <c r="BI138" s="2">
        <v>46198</v>
      </c>
      <c r="BJ138" s="3" t="s">
        <v>213</v>
      </c>
      <c r="BK138" s="3" t="s">
        <v>29</v>
      </c>
      <c r="BL138" s="3" t="s">
        <v>729</v>
      </c>
      <c r="BM138" s="3">
        <v>0</v>
      </c>
      <c r="BN138" s="3">
        <v>0.23</v>
      </c>
      <c r="BO138" s="3">
        <v>0</v>
      </c>
      <c r="BP138" s="3">
        <v>283436</v>
      </c>
      <c r="BQ138" s="3">
        <v>6705.37</v>
      </c>
      <c r="BR138" s="3">
        <v>16.626200000000001</v>
      </c>
      <c r="BS138" s="21">
        <f ca="1">_xll.IMDP("BND",BJ138,BS8,BJ3)</f>
        <v>20490310</v>
      </c>
      <c r="BT138" s="23">
        <f ca="1">_xll.IMDP("BND",BJ138,BT8,BJ3)</f>
        <v>4.3339999999999996</v>
      </c>
      <c r="BU138" s="2">
        <v>46198</v>
      </c>
      <c r="BV138" s="3" t="s">
        <v>2299</v>
      </c>
      <c r="BW138" s="3" t="s">
        <v>2300</v>
      </c>
      <c r="BX138" s="3" t="s">
        <v>2301</v>
      </c>
      <c r="BY138" s="3">
        <v>0</v>
      </c>
      <c r="BZ138" s="3">
        <v>0.35</v>
      </c>
      <c r="CA138" s="3">
        <v>0</v>
      </c>
      <c r="CB138" s="3">
        <v>461364</v>
      </c>
      <c r="CE138" s="21" t="str">
        <f ca="1">_xll.IMDP("BND",BV138,CE8,BV3)</f>
        <v/>
      </c>
      <c r="CF138" s="23" t="str">
        <f ca="1">_xll.IMDP("BND",BV138,CF8,BV3)</f>
        <v/>
      </c>
      <c r="CG138" s="2"/>
      <c r="CQ138" s="21" t="str">
        <f ca="1">_xll.IMDP("BND",CH138,CQ8,CH3)</f>
        <v>입력오류</v>
      </c>
      <c r="CR138" s="23" t="str">
        <f ca="1">_xll.IMDP("BND",CH138,CR8,CH3)</f>
        <v>입력오류</v>
      </c>
      <c r="CS138" s="2">
        <v>46198</v>
      </c>
      <c r="CT138" s="3" t="s">
        <v>2402</v>
      </c>
      <c r="CU138" s="3" t="s">
        <v>2403</v>
      </c>
      <c r="CV138" s="3" t="s">
        <v>2404</v>
      </c>
      <c r="CW138" s="3">
        <v>0</v>
      </c>
      <c r="CX138" s="3">
        <v>0.31</v>
      </c>
      <c r="CY138" s="3">
        <v>0</v>
      </c>
      <c r="CZ138" s="3">
        <v>453123</v>
      </c>
      <c r="DA138" s="3">
        <v>9703.39</v>
      </c>
      <c r="DB138" s="3">
        <v>2.2978999999999998</v>
      </c>
      <c r="DC138" s="21">
        <f ca="1">_xll.IMDP("BND",CT138,DC8,CT3)</f>
        <v>20281122</v>
      </c>
      <c r="DD138" s="23">
        <f ca="1">_xll.IMDP("BND",CT138,DD8,CT3)</f>
        <v>4.0629999999999997</v>
      </c>
      <c r="DE138" s="2"/>
      <c r="DO138" s="21" t="str">
        <f ca="1">_xll.IMDP("BND",DF138,DO8,DF3)</f>
        <v>입력오류</v>
      </c>
      <c r="DP138" s="23" t="str">
        <f ca="1">_xll.IMDP("BND",DF138,DP8,DF3)</f>
        <v>입력오류</v>
      </c>
      <c r="DQ138" s="2"/>
      <c r="EA138" s="21" t="str">
        <f ca="1">_xll.IMDP("BND",DR138,EA8,DR3)</f>
        <v>입력오류</v>
      </c>
      <c r="EB138" s="23" t="str">
        <f ca="1">_xll.IMDP("BND",DR138,EB8,DR3)</f>
        <v>입력오류</v>
      </c>
    </row>
    <row r="139" spans="1:132" ht="13.5" customHeight="1" x14ac:dyDescent="0.3">
      <c r="A139" s="2">
        <v>46198</v>
      </c>
      <c r="B139" s="3" t="s">
        <v>1795</v>
      </c>
      <c r="C139" s="3" t="s">
        <v>154</v>
      </c>
      <c r="D139" s="3" t="s">
        <v>1796</v>
      </c>
      <c r="E139" s="3">
        <v>0</v>
      </c>
      <c r="F139" s="3">
        <v>0.24</v>
      </c>
      <c r="G139" s="3">
        <v>0</v>
      </c>
      <c r="H139" s="3">
        <v>264406</v>
      </c>
      <c r="I139" s="3">
        <v>9957.7099999999991</v>
      </c>
      <c r="J139" s="3">
        <v>1.504</v>
      </c>
      <c r="K139" s="21">
        <f ca="1">_xll.IMDP("BND",B139,K8,B3)</f>
        <v>20280122</v>
      </c>
      <c r="L139" s="23">
        <f ca="1">_xll.IMDP("BND",B139,L8,B3)</f>
        <v>3.9729999999999999</v>
      </c>
      <c r="M139" s="2"/>
      <c r="W139" s="21" t="str">
        <f ca="1">_xll.IMDP("BND",N139,W8,N3)</f>
        <v>입력오류</v>
      </c>
      <c r="X139" s="23" t="str">
        <f ca="1">_xll.IMDP("BND",N139,X8,N3)</f>
        <v>입력오류</v>
      </c>
      <c r="Y139" s="2"/>
      <c r="AI139" s="21" t="str">
        <f ca="1">_xll.IMDP("BND",Z139,AI8,Z3)</f>
        <v>입력오류</v>
      </c>
      <c r="AJ139" s="23" t="str">
        <f ca="1">_xll.IMDP("BND",Z139,AJ8,Z3)</f>
        <v>입력오류</v>
      </c>
      <c r="AK139" s="2"/>
      <c r="AU139" s="21" t="str">
        <f ca="1">_xll.IMDP("BND",AL139,AU8,AL3)</f>
        <v>입력오류</v>
      </c>
      <c r="AV139" s="23" t="str">
        <f ca="1">_xll.IMDP("BND",AL139,AV8,AL3)</f>
        <v>입력오류</v>
      </c>
      <c r="AW139" s="2"/>
      <c r="BG139" s="21" t="str">
        <f ca="1">_xll.IMDP("BND",AX139,BG8,AX3)</f>
        <v>입력오류</v>
      </c>
      <c r="BH139" s="23" t="str">
        <f ca="1">_xll.IMDP("BND",AX139,BH8,AX3)</f>
        <v>입력오류</v>
      </c>
      <c r="BI139" s="2">
        <v>46198</v>
      </c>
      <c r="BJ139" s="3" t="s">
        <v>70</v>
      </c>
      <c r="BK139" s="3" t="s">
        <v>29</v>
      </c>
      <c r="BL139" s="3" t="s">
        <v>71</v>
      </c>
      <c r="BM139" s="3">
        <v>0</v>
      </c>
      <c r="BN139" s="3">
        <v>0.22</v>
      </c>
      <c r="BO139" s="3">
        <v>0</v>
      </c>
      <c r="BP139" s="3">
        <v>271218</v>
      </c>
      <c r="BQ139" s="3">
        <v>6304.62</v>
      </c>
      <c r="BR139" s="3">
        <v>17.744299999999999</v>
      </c>
      <c r="BS139" s="21">
        <f ca="1">_xll.IMDP("BND",BJ139,BS8,BJ3)</f>
        <v>20510310</v>
      </c>
      <c r="BT139" s="23">
        <f ca="1">_xll.IMDP("BND",BJ139,BT8,BJ3)</f>
        <v>4.3710000000000004</v>
      </c>
      <c r="BU139" s="2">
        <v>46198</v>
      </c>
      <c r="BV139" s="3" t="s">
        <v>2302</v>
      </c>
      <c r="BW139" s="3" t="s">
        <v>2300</v>
      </c>
      <c r="BX139" s="3" t="s">
        <v>2301</v>
      </c>
      <c r="BY139" s="3">
        <v>0</v>
      </c>
      <c r="BZ139" s="3">
        <v>0.35</v>
      </c>
      <c r="CA139" s="3">
        <v>0</v>
      </c>
      <c r="CB139" s="3">
        <v>461364</v>
      </c>
      <c r="CE139" s="21" t="str">
        <f ca="1">_xll.IMDP("BND",BV139,CE8,BV3)</f>
        <v/>
      </c>
      <c r="CF139" s="23" t="str">
        <f ca="1">_xll.IMDP("BND",BV139,CF8,BV3)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">
        <v>46198</v>
      </c>
      <c r="CT139" s="3" t="s">
        <v>2405</v>
      </c>
      <c r="CU139" s="3" t="s">
        <v>1437</v>
      </c>
      <c r="CV139" s="3" t="s">
        <v>2406</v>
      </c>
      <c r="CW139" s="3">
        <v>0</v>
      </c>
      <c r="CX139" s="3">
        <v>0.31</v>
      </c>
      <c r="CY139" s="3">
        <v>0</v>
      </c>
      <c r="CZ139" s="3">
        <v>451557</v>
      </c>
      <c r="DA139" s="3">
        <v>9669.76</v>
      </c>
      <c r="DB139" s="3">
        <v>3.113</v>
      </c>
      <c r="DC139" s="21">
        <f ca="1">_xll.IMDP("BND",CT139,DC8,CT3)</f>
        <v>20291023</v>
      </c>
      <c r="DD139" s="23">
        <f ca="1">_xll.IMDP("BND",CT139,DD8,CT3)</f>
        <v>4.17</v>
      </c>
      <c r="DE139" s="2"/>
      <c r="DO139" s="21" t="str">
        <f ca="1">_xll.IMDP("BND",DF139,DO8,DF3)</f>
        <v>입력오류</v>
      </c>
      <c r="DP139" s="23" t="str">
        <f ca="1">_xll.IMDP("BND",DF139,DP8,DF3)</f>
        <v>입력오류</v>
      </c>
      <c r="DQ139" s="2"/>
      <c r="EA139" s="21" t="str">
        <f ca="1">_xll.IMDP("BND",DR139,EA8,DR3)</f>
        <v>입력오류</v>
      </c>
      <c r="EB139" s="23" t="str">
        <f ca="1">_xll.IMDP("BND",DR139,EB8,DR3)</f>
        <v>입력오류</v>
      </c>
    </row>
    <row r="140" spans="1:132" ht="13.5" customHeight="1" x14ac:dyDescent="0.3">
      <c r="A140" s="2">
        <v>46198</v>
      </c>
      <c r="B140" s="3" t="s">
        <v>1797</v>
      </c>
      <c r="C140" s="3" t="s">
        <v>1798</v>
      </c>
      <c r="D140" s="3" t="s">
        <v>1799</v>
      </c>
      <c r="E140" s="3">
        <v>0</v>
      </c>
      <c r="F140" s="3">
        <v>0.24</v>
      </c>
      <c r="G140" s="3">
        <v>0</v>
      </c>
      <c r="H140" s="3">
        <v>264377</v>
      </c>
      <c r="I140" s="3">
        <v>9956.9500000000007</v>
      </c>
      <c r="J140" s="3">
        <v>0.82450000000000001</v>
      </c>
      <c r="K140" s="21">
        <f ca="1">_xll.IMDP("BND",B140,K8,B3)</f>
        <v>20270428</v>
      </c>
      <c r="L140" s="23">
        <f ca="1">_xll.IMDP("BND",B140,L8,B3)</f>
        <v>3.63</v>
      </c>
      <c r="M140" s="2"/>
      <c r="W140" s="21" t="str">
        <f ca="1">_xll.IMDP("BND",N140,W8,N3)</f>
        <v>입력오류</v>
      </c>
      <c r="X140" s="23" t="str">
        <f ca="1">_xll.IMDP("BND",N140,X8,N3)</f>
        <v>입력오류</v>
      </c>
      <c r="Y140" s="2"/>
      <c r="AI140" s="21" t="str">
        <f ca="1">_xll.IMDP("BND",Z140,AI8,Z3)</f>
        <v>입력오류</v>
      </c>
      <c r="AJ140" s="23" t="str">
        <f ca="1">_xll.IMDP("BND",Z140,AJ8,Z3)</f>
        <v>입력오류</v>
      </c>
      <c r="AK140" s="2"/>
      <c r="AU140" s="21" t="str">
        <f ca="1">_xll.IMDP("BND",AL140,AU8,AL3)</f>
        <v>입력오류</v>
      </c>
      <c r="AV140" s="23" t="str">
        <f ca="1">_xll.IMDP("BND",AL140,AV8,AL3)</f>
        <v>입력오류</v>
      </c>
      <c r="AW140" s="2"/>
      <c r="BG140" s="21" t="str">
        <f ca="1">_xll.IMDP("BND",AX140,BG8,AX3)</f>
        <v>입력오류</v>
      </c>
      <c r="BH140" s="23" t="str">
        <f ca="1">_xll.IMDP("BND",AX140,BH8,AX3)</f>
        <v>입력오류</v>
      </c>
      <c r="BI140" s="2">
        <v>46198</v>
      </c>
      <c r="BJ140" s="3" t="s">
        <v>1442</v>
      </c>
      <c r="BK140" s="3" t="s">
        <v>1443</v>
      </c>
      <c r="BL140" s="3" t="s">
        <v>1444</v>
      </c>
      <c r="BM140" s="3">
        <v>0</v>
      </c>
      <c r="BN140" s="3">
        <v>0.22</v>
      </c>
      <c r="BO140" s="3">
        <v>0</v>
      </c>
      <c r="BP140" s="3">
        <v>269246</v>
      </c>
      <c r="BQ140" s="3">
        <v>10031.86</v>
      </c>
      <c r="BR140" s="3">
        <v>0.70930000000000004</v>
      </c>
      <c r="BS140" s="21">
        <f ca="1">_xll.IMDP("BND",BJ140,BS8,BJ3)</f>
        <v>20270315</v>
      </c>
      <c r="BT140" s="23">
        <f ca="1">_xll.IMDP("BND",BJ140,BT8,BJ3)</f>
        <v>3.617</v>
      </c>
      <c r="BU140" s="2">
        <v>46198</v>
      </c>
      <c r="BV140" s="3" t="s">
        <v>2305</v>
      </c>
      <c r="BW140" s="3" t="s">
        <v>1157</v>
      </c>
      <c r="BX140" s="3" t="s">
        <v>1158</v>
      </c>
      <c r="BY140" s="3">
        <v>0</v>
      </c>
      <c r="BZ140" s="3">
        <v>0.34</v>
      </c>
      <c r="CA140" s="3">
        <v>0</v>
      </c>
      <c r="CB140" s="3">
        <v>460739</v>
      </c>
      <c r="CE140" s="21" t="str">
        <f ca="1">_xll.IMDP("BND",BV140,CE8,BV3)</f>
        <v/>
      </c>
      <c r="CF140" s="23" t="str">
        <f ca="1">_xll.IMDP("BND",BV140,CF8,BV3)</f>
        <v/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">
        <v>46198</v>
      </c>
      <c r="CT140" s="3" t="s">
        <v>124</v>
      </c>
      <c r="CU140" s="3" t="s">
        <v>29</v>
      </c>
      <c r="CV140" s="3" t="s">
        <v>2407</v>
      </c>
      <c r="CW140" s="3">
        <v>0</v>
      </c>
      <c r="CX140" s="3">
        <v>0.31</v>
      </c>
      <c r="CY140" s="3">
        <v>0</v>
      </c>
      <c r="CZ140" s="3">
        <v>449934</v>
      </c>
      <c r="DA140" s="3">
        <v>9185.3799999999992</v>
      </c>
      <c r="DB140" s="3">
        <v>5.0297999999999998</v>
      </c>
      <c r="DC140" s="21">
        <f ca="1">_xll.IMDP("BND",CT140,DC8,CT3)</f>
        <v>20311210</v>
      </c>
      <c r="DD140" s="23">
        <f ca="1">_xll.IMDP("BND",CT140,DD8,CT3)</f>
        <v>4.0739999999999998</v>
      </c>
      <c r="DE140" s="2"/>
      <c r="DO140" s="21" t="str">
        <f ca="1">_xll.IMDP("BND",DF140,DO8,DF3)</f>
        <v>입력오류</v>
      </c>
      <c r="DP140" s="23" t="str">
        <f ca="1">_xll.IMDP("BND",DF140,DP8,DF3)</f>
        <v>입력오류</v>
      </c>
      <c r="DQ140" s="2"/>
      <c r="EA140" s="21" t="str">
        <f ca="1">_xll.IMDP("BND",DR140,EA8,DR3)</f>
        <v>입력오류</v>
      </c>
      <c r="EB140" s="23" t="str">
        <f ca="1">_xll.IMDP("BND",DR140,EB8,DR3)</f>
        <v>입력오류</v>
      </c>
    </row>
    <row r="141" spans="1:132" ht="13.5" customHeight="1" x14ac:dyDescent="0.3">
      <c r="A141" s="2">
        <v>46198</v>
      </c>
      <c r="B141" s="3" t="s">
        <v>1800</v>
      </c>
      <c r="C141" s="3" t="s">
        <v>894</v>
      </c>
      <c r="D141" s="3" t="s">
        <v>1801</v>
      </c>
      <c r="E141" s="3">
        <v>0</v>
      </c>
      <c r="F141" s="3">
        <v>0.24</v>
      </c>
      <c r="G141" s="3">
        <v>0</v>
      </c>
      <c r="H141" s="3">
        <v>264248</v>
      </c>
      <c r="I141" s="3">
        <v>9950.7099999999991</v>
      </c>
      <c r="J141" s="3">
        <v>2.6113</v>
      </c>
      <c r="K141" s="21">
        <f ca="1">_xll.IMDP("BND",B141,K8,B3)</f>
        <v>20290408</v>
      </c>
      <c r="L141" s="23">
        <f ca="1">_xll.IMDP("BND",B141,L8,B3)</f>
        <v>4.2160000000000002</v>
      </c>
      <c r="M141" s="2"/>
      <c r="W141" s="21" t="str">
        <f ca="1">_xll.IMDP("BND",N141,W8,N3)</f>
        <v>입력오류</v>
      </c>
      <c r="X141" s="23" t="str">
        <f ca="1">_xll.IMDP("BND",N141,X8,N3)</f>
        <v>입력오류</v>
      </c>
      <c r="Y141" s="2"/>
      <c r="AI141" s="21" t="str">
        <f ca="1">_xll.IMDP("BND",Z141,AI8,Z3)</f>
        <v>입력오류</v>
      </c>
      <c r="AJ141" s="23" t="str">
        <f ca="1">_xll.IMDP("BND",Z141,AJ8,Z3)</f>
        <v>입력오류</v>
      </c>
      <c r="AK141" s="2"/>
      <c r="AU141" s="21" t="str">
        <f ca="1">_xll.IMDP("BND",AL141,AU8,AL3)</f>
        <v>입력오류</v>
      </c>
      <c r="AV141" s="23" t="str">
        <f ca="1">_xll.IMDP("BND",AL141,AV8,AL3)</f>
        <v>입력오류</v>
      </c>
      <c r="AW141" s="2"/>
      <c r="BG141" s="21" t="str">
        <f ca="1">_xll.IMDP("BND",AX141,BG8,AX3)</f>
        <v>입력오류</v>
      </c>
      <c r="BH141" s="23" t="str">
        <f ca="1">_xll.IMDP("BND",AX141,BH8,AX3)</f>
        <v>입력오류</v>
      </c>
      <c r="BI141" s="2">
        <v>46198</v>
      </c>
      <c r="BJ141" s="3" t="s">
        <v>1445</v>
      </c>
      <c r="BK141" s="3" t="s">
        <v>50</v>
      </c>
      <c r="BL141" s="3" t="s">
        <v>1446</v>
      </c>
      <c r="BM141" s="3">
        <v>0</v>
      </c>
      <c r="BN141" s="3">
        <v>0.21</v>
      </c>
      <c r="BO141" s="3">
        <v>0</v>
      </c>
      <c r="BP141" s="3">
        <v>257361</v>
      </c>
      <c r="BQ141" s="3">
        <v>10047.9</v>
      </c>
      <c r="BR141" s="3">
        <v>1.1673</v>
      </c>
      <c r="BS141" s="21">
        <f ca="1">_xll.IMDP("BND",BJ141,BS8,BJ3)</f>
        <v>20270910</v>
      </c>
      <c r="BT141" s="23">
        <f ca="1">_xll.IMDP("BND",BJ141,BT8,BJ3)</f>
        <v>3.4849999999999999</v>
      </c>
      <c r="BU141" s="2">
        <v>46198</v>
      </c>
      <c r="BV141" s="3" t="s">
        <v>2304</v>
      </c>
      <c r="BW141" s="3" t="s">
        <v>1157</v>
      </c>
      <c r="BX141" s="3" t="s">
        <v>1158</v>
      </c>
      <c r="BY141" s="3">
        <v>0</v>
      </c>
      <c r="BZ141" s="3">
        <v>0.34</v>
      </c>
      <c r="CA141" s="3">
        <v>0</v>
      </c>
      <c r="CB141" s="3">
        <v>460739</v>
      </c>
      <c r="CE141" s="21" t="str">
        <f ca="1">_xll.IMDP("BND",BV141,CE8,BV3)</f>
        <v/>
      </c>
      <c r="CF141" s="23" t="str">
        <f ca="1">_xll.IMDP("BND",BV141,CF8,BV3)</f>
        <v/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">
        <v>46198</v>
      </c>
      <c r="CT141" s="3" t="s">
        <v>1447</v>
      </c>
      <c r="CU141" s="3" t="s">
        <v>29</v>
      </c>
      <c r="CV141" s="3" t="s">
        <v>1448</v>
      </c>
      <c r="CW141" s="3">
        <v>0</v>
      </c>
      <c r="CX141" s="3">
        <v>0.31</v>
      </c>
      <c r="CY141" s="3">
        <v>0</v>
      </c>
      <c r="CZ141" s="3">
        <v>442782</v>
      </c>
      <c r="DA141" s="3">
        <v>9190.9699999999993</v>
      </c>
      <c r="DB141" s="3">
        <v>3.3214000000000001</v>
      </c>
      <c r="DC141" s="21">
        <f ca="1">_xll.IMDP("BND",CT141,DC8,CT3)</f>
        <v>20291210</v>
      </c>
      <c r="DD141" s="23">
        <f ca="1">_xll.IMDP("BND",CT141,DD8,CT3)</f>
        <v>3.915</v>
      </c>
      <c r="DE141" s="2"/>
      <c r="DO141" s="21" t="str">
        <f ca="1">_xll.IMDP("BND",DF141,DO8,DF3)</f>
        <v>입력오류</v>
      </c>
      <c r="DP141" s="23" t="str">
        <f ca="1">_xll.IMDP("BND",DF141,DP8,DF3)</f>
        <v>입력오류</v>
      </c>
      <c r="DQ141" s="2"/>
      <c r="EA141" s="21" t="str">
        <f ca="1">_xll.IMDP("BND",DR141,EA8,DR3)</f>
        <v>입력오류</v>
      </c>
      <c r="EB141" s="23" t="str">
        <f ca="1">_xll.IMDP("BND",DR141,EB8,DR3)</f>
        <v>입력오류</v>
      </c>
    </row>
    <row r="142" spans="1:132" ht="13.5" customHeight="1" x14ac:dyDescent="0.3">
      <c r="A142" s="2">
        <v>46198</v>
      </c>
      <c r="B142" s="3" t="s">
        <v>1805</v>
      </c>
      <c r="C142" s="3" t="s">
        <v>558</v>
      </c>
      <c r="D142" s="3" t="s">
        <v>1806</v>
      </c>
      <c r="E142" s="3">
        <v>0</v>
      </c>
      <c r="F142" s="3">
        <v>0.24</v>
      </c>
      <c r="G142" s="3">
        <v>0</v>
      </c>
      <c r="H142" s="3">
        <v>264216</v>
      </c>
      <c r="I142" s="3">
        <v>9950.2800000000007</v>
      </c>
      <c r="J142" s="3">
        <v>0.72799999999999998</v>
      </c>
      <c r="K142" s="21">
        <f ca="1">_xll.IMDP("BND",B142,K8,B3)</f>
        <v>20270321</v>
      </c>
      <c r="L142" s="23">
        <f ca="1">_xll.IMDP("BND",B142,L8,B3)</f>
        <v>3.4409999999999998</v>
      </c>
      <c r="M142" s="2"/>
      <c r="W142" s="21" t="str">
        <f ca="1">_xll.IMDP("BND",N142,W8,N3)</f>
        <v>입력오류</v>
      </c>
      <c r="X142" s="23" t="str">
        <f ca="1">_xll.IMDP("BND",N142,X8,N3)</f>
        <v>입력오류</v>
      </c>
      <c r="Y142" s="2"/>
      <c r="AI142" s="21" t="str">
        <f ca="1">_xll.IMDP("BND",Z142,AI8,Z3)</f>
        <v>입력오류</v>
      </c>
      <c r="AJ142" s="23" t="str">
        <f ca="1">_xll.IMDP("BND",Z142,AJ8,Z3)</f>
        <v>입력오류</v>
      </c>
      <c r="AK142" s="2"/>
      <c r="AU142" s="21" t="str">
        <f ca="1">_xll.IMDP("BND",AL142,AU8,AL3)</f>
        <v>입력오류</v>
      </c>
      <c r="AV142" s="23" t="str">
        <f ca="1">_xll.IMDP("BND",AL142,AV8,AL3)</f>
        <v>입력오류</v>
      </c>
      <c r="AW142" s="2"/>
      <c r="BG142" s="21" t="str">
        <f ca="1">_xll.IMDP("BND",AX142,BG8,AX3)</f>
        <v>입력오류</v>
      </c>
      <c r="BH142" s="23" t="str">
        <f ca="1">_xll.IMDP("BND",AX142,BH8,AX3)</f>
        <v>입력오류</v>
      </c>
      <c r="BI142" s="2">
        <v>46198</v>
      </c>
      <c r="BJ142" s="3" t="s">
        <v>44</v>
      </c>
      <c r="BK142" s="3" t="s">
        <v>29</v>
      </c>
      <c r="BL142" s="3" t="s">
        <v>45</v>
      </c>
      <c r="BM142" s="3">
        <v>0</v>
      </c>
      <c r="BN142" s="3">
        <v>0.2</v>
      </c>
      <c r="BO142" s="3">
        <v>0</v>
      </c>
      <c r="BP142" s="3">
        <v>251686</v>
      </c>
      <c r="BQ142" s="3">
        <v>9646.5</v>
      </c>
      <c r="BR142" s="3">
        <v>5.3224999999999998</v>
      </c>
      <c r="BS142" s="21">
        <f ca="1">_xll.IMDP("BND",BJ142,BS8,BJ3)</f>
        <v>20320610</v>
      </c>
      <c r="BT142" s="23">
        <f ca="1">_xll.IMDP("BND",BJ142,BT8,BJ3)</f>
        <v>4.0750000000000002</v>
      </c>
      <c r="BU142" s="2">
        <v>46198</v>
      </c>
      <c r="BV142" s="3" t="s">
        <v>2306</v>
      </c>
      <c r="BW142" s="3" t="s">
        <v>2307</v>
      </c>
      <c r="BX142" s="3" t="s">
        <v>2308</v>
      </c>
      <c r="BY142" s="3">
        <v>0</v>
      </c>
      <c r="BZ142" s="3">
        <v>0.34</v>
      </c>
      <c r="CA142" s="3">
        <v>0</v>
      </c>
      <c r="CB142" s="3">
        <v>459998</v>
      </c>
      <c r="CE142" s="21" t="str">
        <f ca="1">_xll.IMDP("BND",BV142,CE8,BV3)</f>
        <v/>
      </c>
      <c r="CF142" s="23" t="str">
        <f ca="1">_xll.IMDP("BND",BV142,CF8,BV3)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">
        <v>46198</v>
      </c>
      <c r="CT142" s="3" t="s">
        <v>2408</v>
      </c>
      <c r="CU142" s="3" t="s">
        <v>113</v>
      </c>
      <c r="CV142" s="3" t="s">
        <v>2409</v>
      </c>
      <c r="CW142" s="3">
        <v>0</v>
      </c>
      <c r="CX142" s="3">
        <v>0.31</v>
      </c>
      <c r="CY142" s="3">
        <v>0</v>
      </c>
      <c r="CZ142" s="3">
        <v>442433</v>
      </c>
      <c r="DA142" s="3">
        <v>9476.2900000000009</v>
      </c>
      <c r="DB142" s="3">
        <v>5.0114000000000001</v>
      </c>
      <c r="DC142" s="21">
        <f ca="1">_xll.IMDP("BND",CT142,DC8,CT3)</f>
        <v>20320204</v>
      </c>
      <c r="DD142" s="23">
        <f ca="1">_xll.IMDP("BND",CT142,DD8,CT3)</f>
        <v>4.351</v>
      </c>
      <c r="DE142" s="2"/>
      <c r="DO142" s="21" t="str">
        <f ca="1">_xll.IMDP("BND",DF142,DO8,DF3)</f>
        <v>입력오류</v>
      </c>
      <c r="DP142" s="23" t="str">
        <f ca="1">_xll.IMDP("BND",DF142,DP8,DF3)</f>
        <v>입력오류</v>
      </c>
      <c r="DQ142" s="2"/>
      <c r="EA142" s="21" t="str">
        <f ca="1">_xll.IMDP("BND",DR142,EA8,DR3)</f>
        <v>입력오류</v>
      </c>
      <c r="EB142" s="23" t="str">
        <f ca="1">_xll.IMDP("BND",DR142,EB8,DR3)</f>
        <v>입력오류</v>
      </c>
    </row>
    <row r="143" spans="1:132" ht="13.5" customHeight="1" x14ac:dyDescent="0.3">
      <c r="A143" s="2">
        <v>46198</v>
      </c>
      <c r="B143" s="3" t="s">
        <v>1802</v>
      </c>
      <c r="C143" s="3" t="s">
        <v>1803</v>
      </c>
      <c r="D143" s="3" t="s">
        <v>1804</v>
      </c>
      <c r="E143" s="3">
        <v>0</v>
      </c>
      <c r="F143" s="3">
        <v>0.24</v>
      </c>
      <c r="G143" s="3">
        <v>0</v>
      </c>
      <c r="H143" s="3">
        <v>264172</v>
      </c>
      <c r="I143" s="3">
        <v>9948.8799999999992</v>
      </c>
      <c r="J143" s="3">
        <v>1.1031</v>
      </c>
      <c r="K143" s="21">
        <f ca="1">_xll.IMDP("BND",B143,K8,B3)</f>
        <v>20270813</v>
      </c>
      <c r="L143" s="23">
        <f ca="1">_xll.IMDP("BND",B143,L8,B3)</f>
        <v>3.9460000000000002</v>
      </c>
      <c r="M143" s="2"/>
      <c r="W143" s="21" t="str">
        <f ca="1">_xll.IMDP("BND",N143,W8,N3)</f>
        <v>입력오류</v>
      </c>
      <c r="X143" s="23" t="str">
        <f ca="1">_xll.IMDP("BND",N143,X8,N3)</f>
        <v>입력오류</v>
      </c>
      <c r="Y143" s="2"/>
      <c r="AI143" s="21" t="str">
        <f ca="1">_xll.IMDP("BND",Z143,AI8,Z3)</f>
        <v>입력오류</v>
      </c>
      <c r="AJ143" s="23" t="str">
        <f ca="1">_xll.IMDP("BND",Z143,AJ8,Z3)</f>
        <v>입력오류</v>
      </c>
      <c r="AK143" s="2"/>
      <c r="AU143" s="21" t="str">
        <f ca="1">_xll.IMDP("BND",AL143,AU8,AL3)</f>
        <v>입력오류</v>
      </c>
      <c r="AV143" s="23" t="str">
        <f ca="1">_xll.IMDP("BND",AL143,AV8,AL3)</f>
        <v>입력오류</v>
      </c>
      <c r="AW143" s="2"/>
      <c r="BG143" s="21" t="str">
        <f ca="1">_xll.IMDP("BND",AX143,BG8,AX3)</f>
        <v>입력오류</v>
      </c>
      <c r="BH143" s="23" t="str">
        <f ca="1">_xll.IMDP("BND",AX143,BH8,AX3)</f>
        <v>입력오류</v>
      </c>
      <c r="BI143" s="2">
        <v>46198</v>
      </c>
      <c r="BJ143" s="3" t="s">
        <v>1447</v>
      </c>
      <c r="BK143" s="3" t="s">
        <v>29</v>
      </c>
      <c r="BL143" s="3" t="s">
        <v>1448</v>
      </c>
      <c r="BM143" s="3">
        <v>0</v>
      </c>
      <c r="BN143" s="3">
        <v>0.2</v>
      </c>
      <c r="BO143" s="3">
        <v>0</v>
      </c>
      <c r="BP143" s="3">
        <v>248812</v>
      </c>
      <c r="BQ143" s="3">
        <v>9190.9699999999993</v>
      </c>
      <c r="BR143" s="3">
        <v>3.3214000000000001</v>
      </c>
      <c r="BS143" s="21">
        <f ca="1">_xll.IMDP("BND",BJ143,BS8,BJ3)</f>
        <v>20291210</v>
      </c>
      <c r="BT143" s="23">
        <f ca="1">_xll.IMDP("BND",BJ143,BT8,BJ3)</f>
        <v>3.915</v>
      </c>
      <c r="BU143" s="2">
        <v>46198</v>
      </c>
      <c r="BV143" s="3" t="s">
        <v>2309</v>
      </c>
      <c r="BW143" s="3" t="s">
        <v>2307</v>
      </c>
      <c r="BX143" s="3" t="s">
        <v>2308</v>
      </c>
      <c r="BY143" s="3">
        <v>0</v>
      </c>
      <c r="BZ143" s="3">
        <v>0.34</v>
      </c>
      <c r="CA143" s="3">
        <v>0</v>
      </c>
      <c r="CB143" s="3">
        <v>459998</v>
      </c>
      <c r="CE143" s="21" t="str">
        <f ca="1">_xll.IMDP("BND",BV143,CE8,BV3)</f>
        <v/>
      </c>
      <c r="CF143" s="23" t="str">
        <f ca="1">_xll.IMDP("BND",BV143,CF8,BV3)</f>
        <v/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">
        <v>46198</v>
      </c>
      <c r="CT143" s="3" t="s">
        <v>2410</v>
      </c>
      <c r="CU143" s="3" t="s">
        <v>796</v>
      </c>
      <c r="CV143" s="3" t="s">
        <v>2411</v>
      </c>
      <c r="CW143" s="3">
        <v>0</v>
      </c>
      <c r="CX143" s="3">
        <v>0.3</v>
      </c>
      <c r="CY143" s="3">
        <v>0</v>
      </c>
      <c r="CZ143" s="3">
        <v>435702</v>
      </c>
      <c r="DA143" s="3">
        <v>9331.4699999999993</v>
      </c>
      <c r="DB143" s="3">
        <v>5.5621999999999998</v>
      </c>
      <c r="DC143" s="21">
        <f ca="1">_xll.IMDP("BND",CT143,DC8,CT3)</f>
        <v>20320910</v>
      </c>
      <c r="DD143" s="23">
        <f ca="1">_xll.IMDP("BND",CT143,DD8,CT3)</f>
        <v>4.4720000000000004</v>
      </c>
      <c r="DE143" s="2"/>
      <c r="DO143" s="21" t="str">
        <f ca="1">_xll.IMDP("BND",DF143,DO8,DF3)</f>
        <v>입력오류</v>
      </c>
      <c r="DP143" s="23" t="str">
        <f ca="1">_xll.IMDP("BND",DF143,DP8,DF3)</f>
        <v>입력오류</v>
      </c>
      <c r="DQ143" s="2"/>
      <c r="EA143" s="21" t="str">
        <f ca="1">_xll.IMDP("BND",DR143,EA8,DR3)</f>
        <v>입력오류</v>
      </c>
      <c r="EB143" s="23" t="str">
        <f ca="1">_xll.IMDP("BND",DR143,EB8,DR3)</f>
        <v>입력오류</v>
      </c>
    </row>
    <row r="144" spans="1:132" ht="13.5" customHeight="1" x14ac:dyDescent="0.3">
      <c r="A144" s="2">
        <v>46198</v>
      </c>
      <c r="B144" s="3" t="s">
        <v>1807</v>
      </c>
      <c r="C144" s="3" t="s">
        <v>1808</v>
      </c>
      <c r="D144" s="3" t="s">
        <v>1809</v>
      </c>
      <c r="E144" s="3">
        <v>0</v>
      </c>
      <c r="F144" s="3">
        <v>0.24</v>
      </c>
      <c r="G144" s="3">
        <v>0</v>
      </c>
      <c r="H144" s="3">
        <v>264109</v>
      </c>
      <c r="I144" s="3">
        <v>9946.27</v>
      </c>
      <c r="J144" s="3">
        <v>1.1788000000000001</v>
      </c>
      <c r="K144" s="21">
        <f ca="1">_xll.IMDP("BND",B144,K8,B3)</f>
        <v>20270910</v>
      </c>
      <c r="L144" s="23">
        <f ca="1">_xll.IMDP("BND",B144,L8,B3)</f>
        <v>3.88</v>
      </c>
      <c r="M144" s="2"/>
      <c r="W144" s="21" t="str">
        <f ca="1">_xll.IMDP("BND",N144,W8,N3)</f>
        <v>입력오류</v>
      </c>
      <c r="X144" s="23" t="str">
        <f ca="1">_xll.IMDP("BND",N144,X8,N3)</f>
        <v>입력오류</v>
      </c>
      <c r="Y144" s="2"/>
      <c r="AI144" s="21" t="str">
        <f ca="1">_xll.IMDP("BND",Z144,AI8,Z3)</f>
        <v>입력오류</v>
      </c>
      <c r="AJ144" s="23" t="str">
        <f ca="1">_xll.IMDP("BND",Z144,AJ8,Z3)</f>
        <v>입력오류</v>
      </c>
      <c r="AK144" s="2"/>
      <c r="AU144" s="21" t="str">
        <f ca="1">_xll.IMDP("BND",AL144,AU8,AL3)</f>
        <v>입력오류</v>
      </c>
      <c r="AV144" s="23" t="str">
        <f ca="1">_xll.IMDP("BND",AL144,AV8,AL3)</f>
        <v>입력오류</v>
      </c>
      <c r="AW144" s="2"/>
      <c r="BG144" s="21" t="str">
        <f ca="1">_xll.IMDP("BND",AX144,BG8,AX3)</f>
        <v>입력오류</v>
      </c>
      <c r="BH144" s="23" t="str">
        <f ca="1">_xll.IMDP("BND",AX144,BH8,AX3)</f>
        <v>입력오류</v>
      </c>
      <c r="BI144" s="2">
        <v>46198</v>
      </c>
      <c r="BJ144" s="3" t="s">
        <v>79</v>
      </c>
      <c r="BK144" s="3" t="s">
        <v>29</v>
      </c>
      <c r="BL144" s="3" t="s">
        <v>80</v>
      </c>
      <c r="BM144" s="3">
        <v>0</v>
      </c>
      <c r="BN144" s="3">
        <v>0.2</v>
      </c>
      <c r="BO144" s="3">
        <v>0</v>
      </c>
      <c r="BP144" s="3">
        <v>246720</v>
      </c>
      <c r="BQ144" s="3">
        <v>8936.58</v>
      </c>
      <c r="BR144" s="3">
        <v>16.289400000000001</v>
      </c>
      <c r="BS144" s="21">
        <f ca="1">_xll.IMDP("BND",BJ144,BS8,BJ3)</f>
        <v>20530910</v>
      </c>
      <c r="BT144" s="23">
        <f ca="1">_xll.IMDP("BND",BJ144,BT8,BJ3)</f>
        <v>4.3620000000000001</v>
      </c>
      <c r="BU144" s="2">
        <v>46198</v>
      </c>
      <c r="BV144" s="3" t="s">
        <v>2310</v>
      </c>
      <c r="BW144" s="3" t="s">
        <v>992</v>
      </c>
      <c r="BX144" s="3" t="s">
        <v>2311</v>
      </c>
      <c r="BY144" s="3">
        <v>0</v>
      </c>
      <c r="BZ144" s="3">
        <v>0.3</v>
      </c>
      <c r="CA144" s="3">
        <v>0</v>
      </c>
      <c r="CB144" s="3">
        <v>398271</v>
      </c>
      <c r="CE144" s="21" t="str">
        <f ca="1">_xll.IMDP("BND",BV144,CE8,BV3)</f>
        <v/>
      </c>
      <c r="CF144" s="23" t="str">
        <f ca="1">_xll.IMDP("BND",BV144,CF8,BV3)</f>
        <v/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">
        <v>46198</v>
      </c>
      <c r="CT144" s="3" t="s">
        <v>2412</v>
      </c>
      <c r="CU144" s="3" t="s">
        <v>542</v>
      </c>
      <c r="CV144" s="3" t="s">
        <v>2413</v>
      </c>
      <c r="CW144" s="3">
        <v>0</v>
      </c>
      <c r="CX144" s="3">
        <v>0.28999999999999998</v>
      </c>
      <c r="CY144" s="3">
        <v>0</v>
      </c>
      <c r="CZ144" s="3">
        <v>423714</v>
      </c>
      <c r="DA144" s="3">
        <v>9074.4699999999993</v>
      </c>
      <c r="DB144" s="3">
        <v>4.7968999999999999</v>
      </c>
      <c r="DC144" s="21">
        <f ca="1">_xll.IMDP("BND",CT144,DC8,CT3)</f>
        <v>20310910</v>
      </c>
      <c r="DD144" s="23">
        <f ca="1">_xll.IMDP("BND",CT144,DD8,CT3)</f>
        <v>4.343</v>
      </c>
      <c r="DE144" s="2"/>
      <c r="DO144" s="21" t="str">
        <f ca="1">_xll.IMDP("BND",DF144,DO8,DF3)</f>
        <v>입력오류</v>
      </c>
      <c r="DP144" s="23" t="str">
        <f ca="1">_xll.IMDP("BND",DF144,DP8,DF3)</f>
        <v>입력오류</v>
      </c>
      <c r="DQ144" s="2"/>
      <c r="EA144" s="21" t="str">
        <f ca="1">_xll.IMDP("BND",DR144,EA8,DR3)</f>
        <v>입력오류</v>
      </c>
      <c r="EB144" s="23" t="str">
        <f ca="1">_xll.IMDP("BND",DR144,EB8,DR3)</f>
        <v>입력오류</v>
      </c>
    </row>
    <row r="145" spans="1:132" ht="13.5" customHeight="1" x14ac:dyDescent="0.3">
      <c r="A145" s="2">
        <v>46198</v>
      </c>
      <c r="B145" s="3" t="s">
        <v>1810</v>
      </c>
      <c r="C145" s="3" t="s">
        <v>1811</v>
      </c>
      <c r="D145" s="3" t="s">
        <v>1812</v>
      </c>
      <c r="E145" s="3">
        <v>0</v>
      </c>
      <c r="F145" s="3">
        <v>0.24</v>
      </c>
      <c r="G145" s="3">
        <v>0</v>
      </c>
      <c r="H145" s="3">
        <v>263964</v>
      </c>
      <c r="I145" s="3">
        <v>9941.41</v>
      </c>
      <c r="J145" s="3">
        <v>0.82499999999999996</v>
      </c>
      <c r="K145" s="21">
        <f ca="1">_xll.IMDP("BND",B145,K8,B3)</f>
        <v>20270428</v>
      </c>
      <c r="L145" s="23">
        <f ca="1">_xll.IMDP("BND",B145,L8,B3)</f>
        <v>3.63</v>
      </c>
      <c r="M145" s="2"/>
      <c r="W145" s="21" t="str">
        <f ca="1">_xll.IMDP("BND",N145,W8,N3)</f>
        <v>입력오류</v>
      </c>
      <c r="X145" s="23" t="str">
        <f ca="1">_xll.IMDP("BND",N145,X8,N3)</f>
        <v>입력오류</v>
      </c>
      <c r="Y145" s="2"/>
      <c r="AI145" s="21" t="str">
        <f ca="1">_xll.IMDP("BND",Z145,AI8,Z3)</f>
        <v>입력오류</v>
      </c>
      <c r="AJ145" s="23" t="str">
        <f ca="1">_xll.IMDP("BND",Z145,AJ8,Z3)</f>
        <v>입력오류</v>
      </c>
      <c r="AK145" s="2"/>
      <c r="AU145" s="21" t="str">
        <f ca="1">_xll.IMDP("BND",AL145,AU8,AL3)</f>
        <v>입력오류</v>
      </c>
      <c r="AV145" s="23" t="str">
        <f ca="1">_xll.IMDP("BND",AL145,AV8,AL3)</f>
        <v>입력오류</v>
      </c>
      <c r="AW145" s="2"/>
      <c r="BG145" s="21" t="str">
        <f ca="1">_xll.IMDP("BND",AX145,BG8,AX3)</f>
        <v>입력오류</v>
      </c>
      <c r="BH145" s="23" t="str">
        <f ca="1">_xll.IMDP("BND",AX145,BH8,AX3)</f>
        <v>입력오류</v>
      </c>
      <c r="BI145" s="2">
        <v>46198</v>
      </c>
      <c r="BJ145" s="3" t="s">
        <v>75</v>
      </c>
      <c r="BK145" s="3" t="s">
        <v>29</v>
      </c>
      <c r="BL145" s="3" t="s">
        <v>76</v>
      </c>
      <c r="BM145" s="3">
        <v>0</v>
      </c>
      <c r="BN145" s="3">
        <v>0.2</v>
      </c>
      <c r="BO145" s="3">
        <v>0</v>
      </c>
      <c r="BP145" s="3">
        <v>245445</v>
      </c>
      <c r="BQ145" s="3">
        <v>9583.4</v>
      </c>
      <c r="BR145" s="3">
        <v>6.8400999999999996</v>
      </c>
      <c r="BS145" s="21">
        <f ca="1">_xll.IMDP("BND",BJ145,BS8,BJ3)</f>
        <v>20340610</v>
      </c>
      <c r="BT145" s="23">
        <f ca="1">_xll.IMDP("BND",BJ145,BT8,BJ3)</f>
        <v>4.1399999999999997</v>
      </c>
      <c r="BU145" s="2">
        <v>46198</v>
      </c>
      <c r="BV145" s="3" t="s">
        <v>2312</v>
      </c>
      <c r="BW145" s="3" t="s">
        <v>182</v>
      </c>
      <c r="BX145" s="3" t="s">
        <v>2313</v>
      </c>
      <c r="BY145" s="3">
        <v>0</v>
      </c>
      <c r="BZ145" s="3">
        <v>0.28000000000000003</v>
      </c>
      <c r="CA145" s="3">
        <v>0</v>
      </c>
      <c r="CB145" s="3">
        <v>375973</v>
      </c>
      <c r="CC145" s="3">
        <v>10075.08</v>
      </c>
      <c r="CD145" s="3">
        <v>0.20080000000000001</v>
      </c>
      <c r="CE145" s="21">
        <f ca="1">_xll.IMDP("BND",BV145,CE8,BV3)</f>
        <v>20260907</v>
      </c>
      <c r="CF145" s="23">
        <f ca="1">_xll.IMDP("BND",BV145,CF8,BV3)</f>
        <v>3.2789999999999999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">
        <v>46198</v>
      </c>
      <c r="CT145" s="3" t="s">
        <v>2134</v>
      </c>
      <c r="CU145" s="3" t="s">
        <v>558</v>
      </c>
      <c r="CV145" s="3" t="s">
        <v>2414</v>
      </c>
      <c r="CW145" s="3">
        <v>0</v>
      </c>
      <c r="CX145" s="3">
        <v>0.28000000000000003</v>
      </c>
      <c r="CY145" s="3">
        <v>0</v>
      </c>
      <c r="CZ145" s="3">
        <v>410305</v>
      </c>
      <c r="DA145" s="3">
        <v>8790.41</v>
      </c>
      <c r="DB145" s="3">
        <v>7.5712999999999999</v>
      </c>
      <c r="DC145" s="21">
        <f ca="1">_xll.IMDP("BND",CT145,DC8,CT3)</f>
        <v>20350206</v>
      </c>
      <c r="DD145" s="23">
        <f ca="1">_xll.IMDP("BND",CT145,DD8,CT3)</f>
        <v>4.306</v>
      </c>
      <c r="DE145" s="2"/>
      <c r="DO145" s="21" t="str">
        <f ca="1">_xll.IMDP("BND",DF145,DO8,DF3)</f>
        <v>입력오류</v>
      </c>
      <c r="DP145" s="23" t="str">
        <f ca="1">_xll.IMDP("BND",DF145,DP8,DF3)</f>
        <v>입력오류</v>
      </c>
      <c r="DQ145" s="2"/>
      <c r="EA145" s="21" t="str">
        <f ca="1">_xll.IMDP("BND",DR145,EA8,DR3)</f>
        <v>입력오류</v>
      </c>
      <c r="EB145" s="23" t="str">
        <f ca="1">_xll.IMDP("BND",DR145,EB8,DR3)</f>
        <v>입력오류</v>
      </c>
    </row>
    <row r="146" spans="1:132" ht="13.5" customHeight="1" x14ac:dyDescent="0.3">
      <c r="A146" s="2">
        <v>46198</v>
      </c>
      <c r="B146" s="3" t="s">
        <v>555</v>
      </c>
      <c r="C146" s="3" t="s">
        <v>50</v>
      </c>
      <c r="D146" s="3" t="s">
        <v>556</v>
      </c>
      <c r="E146" s="3">
        <v>0</v>
      </c>
      <c r="F146" s="3">
        <v>0.24</v>
      </c>
      <c r="G146" s="3">
        <v>0</v>
      </c>
      <c r="H146" s="3">
        <v>263880</v>
      </c>
      <c r="I146" s="3">
        <v>9937.77</v>
      </c>
      <c r="J146" s="3">
        <v>2.7816000000000001</v>
      </c>
      <c r="K146" s="21">
        <f ca="1">_xll.IMDP("BND",B146,K8,B3)</f>
        <v>20290610</v>
      </c>
      <c r="L146" s="23">
        <f ca="1">_xll.IMDP("BND",B146,L8,B3)</f>
        <v>3.7749999999999999</v>
      </c>
      <c r="M146" s="2"/>
      <c r="W146" s="21" t="str">
        <f ca="1">_xll.IMDP("BND",N146,W8,N3)</f>
        <v>입력오류</v>
      </c>
      <c r="X146" s="23" t="str">
        <f ca="1">_xll.IMDP("BND",N146,X8,N3)</f>
        <v>입력오류</v>
      </c>
      <c r="Y146" s="2"/>
      <c r="AI146" s="21" t="str">
        <f ca="1">_xll.IMDP("BND",Z146,AI8,Z3)</f>
        <v>입력오류</v>
      </c>
      <c r="AJ146" s="23" t="str">
        <f ca="1">_xll.IMDP("BND",Z146,AJ8,Z3)</f>
        <v>입력오류</v>
      </c>
      <c r="AK146" s="2"/>
      <c r="AU146" s="21" t="str">
        <f ca="1">_xll.IMDP("BND",AL146,AU8,AL3)</f>
        <v>입력오류</v>
      </c>
      <c r="AV146" s="23" t="str">
        <f ca="1">_xll.IMDP("BND",AL146,AV8,AL3)</f>
        <v>입력오류</v>
      </c>
      <c r="AW146" s="2"/>
      <c r="BG146" s="21" t="str">
        <f ca="1">_xll.IMDP("BND",AX146,BG8,AX3)</f>
        <v>입력오류</v>
      </c>
      <c r="BH146" s="23" t="str">
        <f ca="1">_xll.IMDP("BND",AX146,BH8,AX3)</f>
        <v>입력오류</v>
      </c>
      <c r="BI146" s="2">
        <v>46198</v>
      </c>
      <c r="BJ146" s="3" t="s">
        <v>1449</v>
      </c>
      <c r="BK146" s="3" t="s">
        <v>1450</v>
      </c>
      <c r="BL146" s="3" t="s">
        <v>1451</v>
      </c>
      <c r="BM146" s="3">
        <v>0</v>
      </c>
      <c r="BN146" s="3">
        <v>0.18</v>
      </c>
      <c r="BO146" s="3">
        <v>0</v>
      </c>
      <c r="BP146" s="3">
        <v>231549</v>
      </c>
      <c r="BQ146" s="3">
        <v>10064.58</v>
      </c>
      <c r="BR146" s="3">
        <v>1.9782</v>
      </c>
      <c r="BS146" s="21">
        <f ca="1">_xll.IMDP("BND",BJ146,BS8,BJ3)</f>
        <v>20280725</v>
      </c>
      <c r="BT146" s="23">
        <f ca="1">_xll.IMDP("BND",BJ146,BT8,BJ3)</f>
        <v>3.97</v>
      </c>
      <c r="BU146" s="2">
        <v>46198</v>
      </c>
      <c r="BV146" s="3" t="s">
        <v>2314</v>
      </c>
      <c r="BW146" s="3" t="s">
        <v>2300</v>
      </c>
      <c r="BX146" s="3" t="s">
        <v>2301</v>
      </c>
      <c r="BY146" s="3">
        <v>0</v>
      </c>
      <c r="BZ146" s="3">
        <v>0.24</v>
      </c>
      <c r="CA146" s="3">
        <v>0</v>
      </c>
      <c r="CB146" s="3">
        <v>322955</v>
      </c>
      <c r="CE146" s="21" t="str">
        <f ca="1">_xll.IMDP("BND",BV146,CE8,BV3)</f>
        <v/>
      </c>
      <c r="CF146" s="23" t="str">
        <f ca="1">_xll.IMDP("BND",BV146,CF8,BV3)</f>
        <v/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">
        <v>46198</v>
      </c>
      <c r="CT146" s="3" t="s">
        <v>2415</v>
      </c>
      <c r="CU146" s="3" t="s">
        <v>518</v>
      </c>
      <c r="CV146" s="3" t="s">
        <v>2416</v>
      </c>
      <c r="CW146" s="3">
        <v>0</v>
      </c>
      <c r="CX146" s="3">
        <v>0.28000000000000003</v>
      </c>
      <c r="CY146" s="3">
        <v>0</v>
      </c>
      <c r="CZ146" s="3">
        <v>406078</v>
      </c>
      <c r="DA146" s="3">
        <v>8692.25</v>
      </c>
      <c r="DB146" s="3">
        <v>16.428999999999998</v>
      </c>
      <c r="DC146" s="21">
        <f ca="1">_xll.IMDP("BND",CT146,DC8,CT3)</f>
        <v>20540430</v>
      </c>
      <c r="DD146" s="23">
        <f ca="1">_xll.IMDP("BND",CT146,DD8,CT3)</f>
        <v>4.4989999999999997</v>
      </c>
      <c r="DE146" s="2"/>
      <c r="DO146" s="21" t="str">
        <f ca="1">_xll.IMDP("BND",DF146,DO8,DF3)</f>
        <v>입력오류</v>
      </c>
      <c r="DP146" s="23" t="str">
        <f ca="1">_xll.IMDP("BND",DF146,DP8,DF3)</f>
        <v>입력오류</v>
      </c>
      <c r="DQ146" s="2"/>
      <c r="EA146" s="21" t="str">
        <f ca="1">_xll.IMDP("BND",DR146,EA8,DR3)</f>
        <v>입력오류</v>
      </c>
      <c r="EB146" s="23" t="str">
        <f ca="1">_xll.IMDP("BND",DR146,EB8,DR3)</f>
        <v>입력오류</v>
      </c>
    </row>
    <row r="147" spans="1:132" ht="13.5" customHeight="1" x14ac:dyDescent="0.3">
      <c r="A147" s="2">
        <v>46198</v>
      </c>
      <c r="B147" s="3" t="s">
        <v>1813</v>
      </c>
      <c r="C147" s="3" t="s">
        <v>1814</v>
      </c>
      <c r="D147" s="3" t="s">
        <v>1815</v>
      </c>
      <c r="E147" s="3">
        <v>0</v>
      </c>
      <c r="F147" s="3">
        <v>0.24</v>
      </c>
      <c r="G147" s="3">
        <v>0</v>
      </c>
      <c r="H147" s="3">
        <v>263768</v>
      </c>
      <c r="I147" s="3">
        <v>9933.66</v>
      </c>
      <c r="J147" s="3">
        <v>0.89590000000000003</v>
      </c>
      <c r="K147" s="21">
        <f ca="1">_xll.IMDP("BND",B147,K8,B3)</f>
        <v>20270524</v>
      </c>
      <c r="L147" s="23">
        <f ca="1">_xll.IMDP("BND",B147,L8,B3)</f>
        <v>3.6120000000000001</v>
      </c>
      <c r="M147" s="2"/>
      <c r="W147" s="21" t="str">
        <f ca="1">_xll.IMDP("BND",N147,W8,N3)</f>
        <v>입력오류</v>
      </c>
      <c r="X147" s="23" t="str">
        <f ca="1">_xll.IMDP("BND",N147,X8,N3)</f>
        <v>입력오류</v>
      </c>
      <c r="Y147" s="2"/>
      <c r="AI147" s="21" t="str">
        <f ca="1">_xll.IMDP("BND",Z147,AI8,Z3)</f>
        <v>입력오류</v>
      </c>
      <c r="AJ147" s="23" t="str">
        <f ca="1">_xll.IMDP("BND",Z147,AJ8,Z3)</f>
        <v>입력오류</v>
      </c>
      <c r="AK147" s="2"/>
      <c r="AU147" s="21" t="str">
        <f ca="1">_xll.IMDP("BND",AL147,AU8,AL3)</f>
        <v>입력오류</v>
      </c>
      <c r="AV147" s="23" t="str">
        <f ca="1">_xll.IMDP("BND",AL147,AV8,AL3)</f>
        <v>입력오류</v>
      </c>
      <c r="AW147" s="2"/>
      <c r="BG147" s="21" t="str">
        <f ca="1">_xll.IMDP("BND",AX147,BG8,AX3)</f>
        <v>입력오류</v>
      </c>
      <c r="BH147" s="23" t="str">
        <f ca="1">_xll.IMDP("BND",AX147,BH8,AX3)</f>
        <v>입력오류</v>
      </c>
      <c r="BI147" s="2">
        <v>46198</v>
      </c>
      <c r="BJ147" s="3" t="s">
        <v>1452</v>
      </c>
      <c r="BK147" s="3" t="s">
        <v>1453</v>
      </c>
      <c r="BL147" s="3" t="s">
        <v>1454</v>
      </c>
      <c r="BM147" s="3">
        <v>0</v>
      </c>
      <c r="BN147" s="3">
        <v>0.18</v>
      </c>
      <c r="BO147" s="3">
        <v>0</v>
      </c>
      <c r="BP147" s="3">
        <v>231545</v>
      </c>
      <c r="BQ147" s="3">
        <v>10064.4</v>
      </c>
      <c r="BR147" s="3">
        <v>0.4229</v>
      </c>
      <c r="BS147" s="21">
        <f ca="1">_xll.IMDP("BND",BJ147,BS8,BJ3)</f>
        <v>20261129</v>
      </c>
      <c r="BT147" s="23">
        <f ca="1">_xll.IMDP("BND",BJ147,BT8,BJ3)</f>
        <v>3.1429999999999998</v>
      </c>
      <c r="BU147" s="2">
        <v>46198</v>
      </c>
      <c r="BV147" s="3" t="s">
        <v>2315</v>
      </c>
      <c r="BW147" s="3" t="s">
        <v>191</v>
      </c>
      <c r="BX147" s="3" t="s">
        <v>2316</v>
      </c>
      <c r="BY147" s="3">
        <v>0</v>
      </c>
      <c r="BZ147" s="3">
        <v>0.03</v>
      </c>
      <c r="CA147" s="3">
        <v>0</v>
      </c>
      <c r="CB147" s="3">
        <v>38111</v>
      </c>
      <c r="CC147" s="3">
        <v>10094.450000000001</v>
      </c>
      <c r="CD147" s="3">
        <v>0.12790000000000001</v>
      </c>
      <c r="CE147" s="21">
        <f ca="1">_xll.IMDP("BND",BV147,CE8,BV3)</f>
        <v>20260811</v>
      </c>
      <c r="CF147" s="23">
        <f ca="1">_xll.IMDP("BND",BV147,CF8,BV3)</f>
        <v>3.2450000000000001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">
        <v>46198</v>
      </c>
      <c r="CT147" s="3" t="s">
        <v>2417</v>
      </c>
      <c r="CU147" s="3" t="s">
        <v>276</v>
      </c>
      <c r="CV147" s="3" t="s">
        <v>2418</v>
      </c>
      <c r="CW147" s="3">
        <v>0</v>
      </c>
      <c r="CX147" s="3">
        <v>0.28000000000000003</v>
      </c>
      <c r="CY147" s="3">
        <v>0</v>
      </c>
      <c r="CZ147" s="3">
        <v>404546</v>
      </c>
      <c r="DA147" s="3">
        <v>8667.61</v>
      </c>
      <c r="DB147" s="3">
        <v>8.1537000000000006</v>
      </c>
      <c r="DC147" s="21">
        <f ca="1">_xll.IMDP("BND",CT147,DC8,CT3)</f>
        <v>20351203</v>
      </c>
      <c r="DD147" s="23">
        <f ca="1">_xll.IMDP("BND",CT147,DD8,CT3)</f>
        <v>4.3390000000000004</v>
      </c>
      <c r="DE147" s="2"/>
      <c r="DO147" s="21" t="str">
        <f ca="1">_xll.IMDP("BND",DF147,DO8,DF3)</f>
        <v>입력오류</v>
      </c>
      <c r="DP147" s="23" t="str">
        <f ca="1">_xll.IMDP("BND",DF147,DP8,DF3)</f>
        <v>입력오류</v>
      </c>
      <c r="DQ147" s="2"/>
      <c r="EA147" s="21" t="str">
        <f ca="1">_xll.IMDP("BND",DR147,EA8,DR3)</f>
        <v>입력오류</v>
      </c>
      <c r="EB147" s="23" t="str">
        <f ca="1">_xll.IMDP("BND",DR147,EB8,DR3)</f>
        <v>입력오류</v>
      </c>
    </row>
    <row r="148" spans="1:132" ht="13.5" customHeight="1" x14ac:dyDescent="0.3">
      <c r="A148" s="2">
        <v>46198</v>
      </c>
      <c r="B148" s="3" t="s">
        <v>1816</v>
      </c>
      <c r="C148" s="3" t="s">
        <v>1817</v>
      </c>
      <c r="D148" s="3" t="s">
        <v>1818</v>
      </c>
      <c r="E148" s="3">
        <v>0</v>
      </c>
      <c r="F148" s="3">
        <v>0.24</v>
      </c>
      <c r="G148" s="3">
        <v>0</v>
      </c>
      <c r="H148" s="3">
        <v>263501</v>
      </c>
      <c r="I148" s="3">
        <v>9923.09</v>
      </c>
      <c r="J148" s="3">
        <v>1.5286999999999999</v>
      </c>
      <c r="K148" s="21">
        <f ca="1">_xll.IMDP("BND",B148,K8,B3)</f>
        <v>20280125</v>
      </c>
      <c r="L148" s="23">
        <f ca="1">_xll.IMDP("BND",B148,L8,B3)</f>
        <v>4.0860000000000003</v>
      </c>
      <c r="M148" s="2"/>
      <c r="W148" s="21" t="str">
        <f ca="1">_xll.IMDP("BND",N148,W8,N3)</f>
        <v>입력오류</v>
      </c>
      <c r="X148" s="23" t="str">
        <f ca="1">_xll.IMDP("BND",N148,X8,N3)</f>
        <v>입력오류</v>
      </c>
      <c r="Y148" s="2"/>
      <c r="AI148" s="21" t="str">
        <f ca="1">_xll.IMDP("BND",Z148,AI8,Z3)</f>
        <v>입력오류</v>
      </c>
      <c r="AJ148" s="23" t="str">
        <f ca="1">_xll.IMDP("BND",Z148,AJ8,Z3)</f>
        <v>입력오류</v>
      </c>
      <c r="AK148" s="2"/>
      <c r="AU148" s="21" t="str">
        <f ca="1">_xll.IMDP("BND",AL148,AU8,AL3)</f>
        <v>입력오류</v>
      </c>
      <c r="AV148" s="23" t="str">
        <f ca="1">_xll.IMDP("BND",AL148,AV8,AL3)</f>
        <v>입력오류</v>
      </c>
      <c r="AW148" s="2"/>
      <c r="BG148" s="21" t="str">
        <f ca="1">_xll.IMDP("BND",AX148,BG8,AX3)</f>
        <v>입력오류</v>
      </c>
      <c r="BH148" s="23" t="str">
        <f ca="1">_xll.IMDP("BND",AX148,BH8,AX3)</f>
        <v>입력오류</v>
      </c>
      <c r="BI148" s="2">
        <v>46198</v>
      </c>
      <c r="BJ148" s="3" t="s">
        <v>1455</v>
      </c>
      <c r="BK148" s="3" t="s">
        <v>429</v>
      </c>
      <c r="BL148" s="3" t="s">
        <v>1456</v>
      </c>
      <c r="BM148" s="3">
        <v>0</v>
      </c>
      <c r="BN148" s="3">
        <v>0.18</v>
      </c>
      <c r="BO148" s="3">
        <v>0</v>
      </c>
      <c r="BP148" s="3">
        <v>231455</v>
      </c>
      <c r="BQ148" s="3">
        <v>10061.08</v>
      </c>
      <c r="BR148" s="3">
        <v>0.76219999999999999</v>
      </c>
      <c r="BS148" s="21">
        <f ca="1">_xll.IMDP("BND",BJ148,BS8,BJ3)</f>
        <v>20270406</v>
      </c>
      <c r="BT148" s="23">
        <f ca="1">_xll.IMDP("BND",BJ148,BT8,BJ3)</f>
        <v>3.52</v>
      </c>
      <c r="BU148" s="2">
        <v>46198</v>
      </c>
      <c r="BV148" s="3" t="s">
        <v>2317</v>
      </c>
      <c r="BW148" s="3" t="s">
        <v>642</v>
      </c>
      <c r="BX148" s="3" t="s">
        <v>2318</v>
      </c>
      <c r="BY148" s="3">
        <v>0</v>
      </c>
      <c r="BZ148" s="3">
        <v>0.03</v>
      </c>
      <c r="CA148" s="3">
        <v>0</v>
      </c>
      <c r="CB148" s="3">
        <v>38078</v>
      </c>
      <c r="CC148" s="3">
        <v>10085.6</v>
      </c>
      <c r="CD148" s="3">
        <v>3.3500000000000002E-2</v>
      </c>
      <c r="CE148" s="21">
        <f ca="1">_xll.IMDP("BND",BV148,CE8,BV3)</f>
        <v>20260707</v>
      </c>
      <c r="CF148" s="23">
        <f ca="1">_xll.IMDP("BND",BV148,CF8,BV3)</f>
        <v>3.516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">
        <v>46198</v>
      </c>
      <c r="CT148" s="3" t="s">
        <v>2419</v>
      </c>
      <c r="CU148" s="3" t="s">
        <v>108</v>
      </c>
      <c r="CV148" s="3" t="s">
        <v>2420</v>
      </c>
      <c r="CW148" s="3">
        <v>0</v>
      </c>
      <c r="CX148" s="3">
        <v>0.27</v>
      </c>
      <c r="CY148" s="3">
        <v>0</v>
      </c>
      <c r="CZ148" s="3">
        <v>394677</v>
      </c>
      <c r="DA148" s="3">
        <v>9392.6299999999992</v>
      </c>
      <c r="DB148" s="3">
        <v>4.9625000000000004</v>
      </c>
      <c r="DC148" s="21">
        <f ca="1">_xll.IMDP("BND",CT148,DC8,CT3)</f>
        <v>20320106</v>
      </c>
      <c r="DD148" s="23">
        <f ca="1">_xll.IMDP("BND",CT148,DD8,CT3)</f>
        <v>4.3499999999999996</v>
      </c>
      <c r="DE148" s="2"/>
      <c r="DO148" s="21" t="str">
        <f ca="1">_xll.IMDP("BND",DF148,DO8,DF3)</f>
        <v>입력오류</v>
      </c>
      <c r="DP148" s="23" t="str">
        <f ca="1">_xll.IMDP("BND",DF148,DP8,DF3)</f>
        <v>입력오류</v>
      </c>
      <c r="DQ148" s="2"/>
      <c r="EA148" s="21" t="str">
        <f ca="1">_xll.IMDP("BND",DR148,EA8,DR3)</f>
        <v>입력오류</v>
      </c>
      <c r="EB148" s="23" t="str">
        <f ca="1">_xll.IMDP("BND",DR148,EB8,DR3)</f>
        <v>입력오류</v>
      </c>
    </row>
    <row r="149" spans="1:132" ht="13.5" customHeight="1" x14ac:dyDescent="0.3">
      <c r="A149" s="2">
        <v>46198</v>
      </c>
      <c r="B149" s="3" t="s">
        <v>1819</v>
      </c>
      <c r="C149" s="3" t="s">
        <v>1820</v>
      </c>
      <c r="D149" s="3" t="s">
        <v>1821</v>
      </c>
      <c r="E149" s="3">
        <v>0</v>
      </c>
      <c r="F149" s="3">
        <v>0.24</v>
      </c>
      <c r="G149" s="3">
        <v>0</v>
      </c>
      <c r="H149" s="3">
        <v>263465</v>
      </c>
      <c r="I149" s="3">
        <v>9921.7999999999993</v>
      </c>
      <c r="J149" s="3">
        <v>1.4994000000000001</v>
      </c>
      <c r="K149" s="21">
        <f ca="1">_xll.IMDP("BND",B149,K8,B3)</f>
        <v>20280114</v>
      </c>
      <c r="L149" s="23">
        <f ca="1">_xll.IMDP("BND",B149,L8,B3)</f>
        <v>4.0049999999999999</v>
      </c>
      <c r="M149" s="2"/>
      <c r="W149" s="21" t="str">
        <f ca="1">_xll.IMDP("BND",N149,W8,N3)</f>
        <v>입력오류</v>
      </c>
      <c r="X149" s="23" t="str">
        <f ca="1">_xll.IMDP("BND",N149,X8,N3)</f>
        <v>입력오류</v>
      </c>
      <c r="Y149" s="2"/>
      <c r="AI149" s="21" t="str">
        <f ca="1">_xll.IMDP("BND",Z149,AI8,Z3)</f>
        <v>입력오류</v>
      </c>
      <c r="AJ149" s="23" t="str">
        <f ca="1">_xll.IMDP("BND",Z149,AJ8,Z3)</f>
        <v>입력오류</v>
      </c>
      <c r="AK149" s="2"/>
      <c r="AU149" s="21" t="str">
        <f ca="1">_xll.IMDP("BND",AL149,AU8,AL3)</f>
        <v>입력오류</v>
      </c>
      <c r="AV149" s="23" t="str">
        <f ca="1">_xll.IMDP("BND",AL149,AV8,AL3)</f>
        <v>입력오류</v>
      </c>
      <c r="AW149" s="2"/>
      <c r="BG149" s="21" t="str">
        <f ca="1">_xll.IMDP("BND",AX149,BG8,AX3)</f>
        <v>입력오류</v>
      </c>
      <c r="BH149" s="23" t="str">
        <f ca="1">_xll.IMDP("BND",AX149,BH8,AX3)</f>
        <v>입력오류</v>
      </c>
      <c r="BI149" s="2">
        <v>46198</v>
      </c>
      <c r="BJ149" s="3" t="s">
        <v>1457</v>
      </c>
      <c r="BK149" s="3" t="s">
        <v>1458</v>
      </c>
      <c r="BL149" s="3" t="s">
        <v>1459</v>
      </c>
      <c r="BM149" s="3">
        <v>0</v>
      </c>
      <c r="BN149" s="3">
        <v>0.18</v>
      </c>
      <c r="BO149" s="3">
        <v>0</v>
      </c>
      <c r="BP149" s="3">
        <v>231174</v>
      </c>
      <c r="BQ149" s="3">
        <v>10048.370000000001</v>
      </c>
      <c r="BR149" s="3">
        <v>0.1903</v>
      </c>
      <c r="BS149" s="21">
        <f ca="1">_xll.IMDP("BND",BJ149,BS8,BJ3)</f>
        <v>20260903</v>
      </c>
      <c r="BT149" s="23">
        <f ca="1">_xll.IMDP("BND",BJ149,BT8,BJ3)</f>
        <v>2.7</v>
      </c>
      <c r="BU149" s="2">
        <v>46198</v>
      </c>
      <c r="BV149" s="3" t="s">
        <v>2319</v>
      </c>
      <c r="BW149" s="3" t="s">
        <v>1227</v>
      </c>
      <c r="BX149" s="3" t="s">
        <v>2320</v>
      </c>
      <c r="BY149" s="3">
        <v>0</v>
      </c>
      <c r="BZ149" s="3">
        <v>0.03</v>
      </c>
      <c r="CA149" s="3">
        <v>0</v>
      </c>
      <c r="CB149" s="3">
        <v>38035</v>
      </c>
      <c r="CC149" s="3">
        <v>9998.56</v>
      </c>
      <c r="CD149" s="3">
        <v>7.9299999999999995E-2</v>
      </c>
      <c r="CE149" s="21">
        <f ca="1">_xll.IMDP("BND",BV149,CE8,BV3)</f>
        <v>20260724</v>
      </c>
      <c r="CF149" s="23">
        <f ca="1">_xll.IMDP("BND",BV149,CF8,BV3)</f>
        <v>3.2090000000000001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">
        <v>46198</v>
      </c>
      <c r="CT149" s="3" t="s">
        <v>557</v>
      </c>
      <c r="CU149" s="3" t="s">
        <v>558</v>
      </c>
      <c r="CV149" s="3" t="s">
        <v>559</v>
      </c>
      <c r="CW149" s="3">
        <v>0</v>
      </c>
      <c r="CX149" s="3">
        <v>0.27</v>
      </c>
      <c r="CY149" s="3">
        <v>0</v>
      </c>
      <c r="CZ149" s="3">
        <v>390785</v>
      </c>
      <c r="DA149" s="3">
        <v>8370.69</v>
      </c>
      <c r="DB149" s="3">
        <v>16.895800000000001</v>
      </c>
      <c r="DC149" s="21">
        <f ca="1">_xll.IMDP("BND",CT149,DC8,CT3)</f>
        <v>20560113</v>
      </c>
      <c r="DD149" s="23">
        <f ca="1">_xll.IMDP("BND",CT149,DD8,CT3)</f>
        <v>4.5259999999999998</v>
      </c>
      <c r="DE149" s="2"/>
      <c r="DO149" s="21" t="str">
        <f ca="1">_xll.IMDP("BND",DF149,DO8,DF3)</f>
        <v>입력오류</v>
      </c>
      <c r="DP149" s="23" t="str">
        <f ca="1">_xll.IMDP("BND",DF149,DP8,DF3)</f>
        <v>입력오류</v>
      </c>
      <c r="DQ149" s="2"/>
      <c r="EA149" s="21" t="str">
        <f ca="1">_xll.IMDP("BND",DR149,EA8,DR3)</f>
        <v>입력오류</v>
      </c>
      <c r="EB149" s="23" t="str">
        <f ca="1">_xll.IMDP("BND",DR149,EB8,DR3)</f>
        <v>입력오류</v>
      </c>
    </row>
    <row r="150" spans="1:132" ht="13.5" customHeight="1" x14ac:dyDescent="0.3">
      <c r="A150" s="2">
        <v>46198</v>
      </c>
      <c r="B150" s="3" t="s">
        <v>1822</v>
      </c>
      <c r="C150" s="3" t="s">
        <v>1498</v>
      </c>
      <c r="D150" s="3" t="s">
        <v>1823</v>
      </c>
      <c r="E150" s="3">
        <v>0</v>
      </c>
      <c r="F150" s="3">
        <v>0.24</v>
      </c>
      <c r="G150" s="3">
        <v>0</v>
      </c>
      <c r="H150" s="3">
        <v>262826</v>
      </c>
      <c r="I150" s="3">
        <v>9898.5</v>
      </c>
      <c r="J150" s="3">
        <v>1.4952000000000001</v>
      </c>
      <c r="K150" s="21">
        <f ca="1">_xll.IMDP("BND",B150,K8,B3)</f>
        <v>20280113</v>
      </c>
      <c r="L150" s="23">
        <f ca="1">_xll.IMDP("BND",B150,L8,B3)</f>
        <v>4.22</v>
      </c>
      <c r="M150" s="2"/>
      <c r="W150" s="21" t="str">
        <f ca="1">_xll.IMDP("BND",N150,W8,N3)</f>
        <v>입력오류</v>
      </c>
      <c r="X150" s="23" t="str">
        <f ca="1">_xll.IMDP("BND",N150,X8,N3)</f>
        <v>입력오류</v>
      </c>
      <c r="Y150" s="2"/>
      <c r="AI150" s="21" t="str">
        <f ca="1">_xll.IMDP("BND",Z150,AI8,Z3)</f>
        <v>입력오류</v>
      </c>
      <c r="AJ150" s="23" t="str">
        <f ca="1">_xll.IMDP("BND",Z150,AJ8,Z3)</f>
        <v>입력오류</v>
      </c>
      <c r="AK150" s="2"/>
      <c r="AU150" s="21" t="str">
        <f ca="1">_xll.IMDP("BND",AL150,AU8,AL3)</f>
        <v>입력오류</v>
      </c>
      <c r="AV150" s="23" t="str">
        <f ca="1">_xll.IMDP("BND",AL150,AV8,AL3)</f>
        <v>입력오류</v>
      </c>
      <c r="AW150" s="2"/>
      <c r="BG150" s="21" t="str">
        <f ca="1">_xll.IMDP("BND",AX150,BG8,AX3)</f>
        <v>입력오류</v>
      </c>
      <c r="BH150" s="23" t="str">
        <f ca="1">_xll.IMDP("BND",AX150,BH8,AX3)</f>
        <v>입력오류</v>
      </c>
      <c r="BI150" s="2">
        <v>46198</v>
      </c>
      <c r="BJ150" s="3" t="s">
        <v>1460</v>
      </c>
      <c r="BK150" s="3" t="s">
        <v>50</v>
      </c>
      <c r="BL150" s="3" t="s">
        <v>1461</v>
      </c>
      <c r="BM150" s="3">
        <v>0</v>
      </c>
      <c r="BN150" s="3">
        <v>0.18</v>
      </c>
      <c r="BO150" s="3">
        <v>0</v>
      </c>
      <c r="BP150" s="3">
        <v>226244</v>
      </c>
      <c r="BQ150" s="3">
        <v>9833.89</v>
      </c>
      <c r="BR150" s="3">
        <v>2.9998999999999998</v>
      </c>
      <c r="BS150" s="21">
        <f ca="1">_xll.IMDP("BND",BJ150,BS8,BJ3)</f>
        <v>20290910</v>
      </c>
      <c r="BT150" s="23">
        <f ca="1">_xll.IMDP("BND",BJ150,BT8,BJ3)</f>
        <v>3.8439999999999999</v>
      </c>
      <c r="BU150" s="2">
        <v>46198</v>
      </c>
      <c r="BV150" s="3" t="s">
        <v>2321</v>
      </c>
      <c r="BW150" s="3" t="s">
        <v>2322</v>
      </c>
      <c r="BX150" s="3" t="s">
        <v>2323</v>
      </c>
      <c r="BY150" s="3">
        <v>0</v>
      </c>
      <c r="BZ150" s="3">
        <v>0.03</v>
      </c>
      <c r="CA150" s="3">
        <v>0</v>
      </c>
      <c r="CB150" s="3">
        <v>38000</v>
      </c>
      <c r="CC150" s="3">
        <v>10064.86</v>
      </c>
      <c r="CD150" s="3">
        <v>0.32469999999999999</v>
      </c>
      <c r="CE150" s="21">
        <f ca="1">_xll.IMDP("BND",BV150,CE8,BV3)</f>
        <v>20261023</v>
      </c>
      <c r="CF150" s="23">
        <f ca="1">_xll.IMDP("BND",BV150,CF8,BV3)</f>
        <v>3.4750000000000001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">
        <v>46198</v>
      </c>
      <c r="CT150" s="3" t="s">
        <v>2422</v>
      </c>
      <c r="CU150" s="3" t="s">
        <v>170</v>
      </c>
      <c r="CV150" s="3" t="s">
        <v>2423</v>
      </c>
      <c r="CW150" s="3">
        <v>0</v>
      </c>
      <c r="CX150" s="3">
        <v>0.24</v>
      </c>
      <c r="CY150" s="3">
        <v>0</v>
      </c>
      <c r="CZ150" s="3">
        <v>350038</v>
      </c>
      <c r="DA150" s="3">
        <v>9995.17</v>
      </c>
      <c r="DB150" s="3">
        <v>0.96530000000000005</v>
      </c>
      <c r="DC150" s="21">
        <f ca="1">_xll.IMDP("BND",CT150,DC8,CT3)</f>
        <v>20270621</v>
      </c>
      <c r="DD150" s="23">
        <f ca="1">_xll.IMDP("BND",CT150,DD8,CT3)</f>
        <v>4.0960000000000001</v>
      </c>
      <c r="DE150" s="2"/>
      <c r="DO150" s="21" t="str">
        <f ca="1">_xll.IMDP("BND",DF150,DO8,DF3)</f>
        <v>입력오류</v>
      </c>
      <c r="DP150" s="23" t="str">
        <f ca="1">_xll.IMDP("BND",DF150,DP8,DF3)</f>
        <v>입력오류</v>
      </c>
      <c r="DQ150" s="2"/>
      <c r="EA150" s="21" t="str">
        <f ca="1">_xll.IMDP("BND",DR150,EA8,DR3)</f>
        <v>입력오류</v>
      </c>
      <c r="EB150" s="23" t="str">
        <f ca="1">_xll.IMDP("BND",DR150,EB8,DR3)</f>
        <v>입력오류</v>
      </c>
    </row>
    <row r="151" spans="1:132" ht="13.5" customHeight="1" x14ac:dyDescent="0.3">
      <c r="A151" s="2">
        <v>46198</v>
      </c>
      <c r="B151" s="3" t="s">
        <v>1824</v>
      </c>
      <c r="C151" s="3" t="s">
        <v>1825</v>
      </c>
      <c r="D151" s="3" t="s">
        <v>1826</v>
      </c>
      <c r="E151" s="3">
        <v>0</v>
      </c>
      <c r="F151" s="3">
        <v>0.24</v>
      </c>
      <c r="G151" s="3">
        <v>0</v>
      </c>
      <c r="H151" s="3">
        <v>262547</v>
      </c>
      <c r="I151" s="3">
        <v>9886</v>
      </c>
      <c r="J151" s="3">
        <v>5.1992000000000003</v>
      </c>
      <c r="K151" s="21">
        <f ca="1">_xll.IMDP("BND",B151,K8,B3)</f>
        <v>20320518</v>
      </c>
      <c r="L151" s="23">
        <f ca="1">_xll.IMDP("BND",B151,L8,B3)</f>
        <v>4.3090000000000002</v>
      </c>
      <c r="M151" s="2"/>
      <c r="W151" s="21" t="str">
        <f ca="1">_xll.IMDP("BND",N151,W8,N3)</f>
        <v>입력오류</v>
      </c>
      <c r="X151" s="23" t="str">
        <f ca="1">_xll.IMDP("BND",N151,X8,N3)</f>
        <v>입력오류</v>
      </c>
      <c r="Y151" s="2"/>
      <c r="AI151" s="21" t="str">
        <f ca="1">_xll.IMDP("BND",Z151,AI8,Z3)</f>
        <v>입력오류</v>
      </c>
      <c r="AJ151" s="23" t="str">
        <f ca="1">_xll.IMDP("BND",Z151,AJ8,Z3)</f>
        <v>입력오류</v>
      </c>
      <c r="AK151" s="2"/>
      <c r="AU151" s="21" t="str">
        <f ca="1">_xll.IMDP("BND",AL151,AU8,AL3)</f>
        <v>입력오류</v>
      </c>
      <c r="AV151" s="23" t="str">
        <f ca="1">_xll.IMDP("BND",AL151,AV8,AL3)</f>
        <v>입력오류</v>
      </c>
      <c r="AW151" s="2"/>
      <c r="BG151" s="21" t="str">
        <f ca="1">_xll.IMDP("BND",AX151,BG8,AX3)</f>
        <v>입력오류</v>
      </c>
      <c r="BH151" s="23" t="str">
        <f ca="1">_xll.IMDP("BND",AX151,BH8,AX3)</f>
        <v>입력오류</v>
      </c>
      <c r="BI151" s="2">
        <v>46198</v>
      </c>
      <c r="BJ151" s="3" t="s">
        <v>1462</v>
      </c>
      <c r="BK151" s="3" t="s">
        <v>542</v>
      </c>
      <c r="BL151" s="3" t="s">
        <v>1463</v>
      </c>
      <c r="BM151" s="3">
        <v>0</v>
      </c>
      <c r="BN151" s="3">
        <v>0.18</v>
      </c>
      <c r="BO151" s="3">
        <v>0</v>
      </c>
      <c r="BP151" s="3">
        <v>223994</v>
      </c>
      <c r="BQ151" s="3">
        <v>9736.15</v>
      </c>
      <c r="BR151" s="3">
        <v>2.1509</v>
      </c>
      <c r="BS151" s="21">
        <f ca="1">_xll.IMDP("BND",BJ151,BS8,BJ3)</f>
        <v>20280927</v>
      </c>
      <c r="BT151" s="23">
        <f ca="1">_xll.IMDP("BND",BJ151,BT8,BJ3)</f>
        <v>4.0609999999999999</v>
      </c>
      <c r="BU151" s="2">
        <v>46198</v>
      </c>
      <c r="BV151" s="3" t="s">
        <v>2324</v>
      </c>
      <c r="BW151" s="3" t="s">
        <v>417</v>
      </c>
      <c r="BX151" s="3" t="s">
        <v>2325</v>
      </c>
      <c r="BY151" s="3">
        <v>0</v>
      </c>
      <c r="BZ151" s="3">
        <v>0.03</v>
      </c>
      <c r="CA151" s="3">
        <v>0</v>
      </c>
      <c r="CB151" s="3">
        <v>37967</v>
      </c>
      <c r="CC151" s="3">
        <v>10056.4</v>
      </c>
      <c r="CD151" s="3">
        <v>0.15579999999999999</v>
      </c>
      <c r="CE151" s="21">
        <f ca="1">_xll.IMDP("BND",BV151,CE8,BV3)</f>
        <v>20260821</v>
      </c>
      <c r="CF151" s="23">
        <f ca="1">_xll.IMDP("BND",BV151,CF8,BV3)</f>
        <v>3.22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">
        <v>46198</v>
      </c>
      <c r="CT151" s="3" t="s">
        <v>732</v>
      </c>
      <c r="CU151" s="3" t="s">
        <v>29</v>
      </c>
      <c r="CV151" s="3" t="s">
        <v>2421</v>
      </c>
      <c r="CW151" s="3">
        <v>0</v>
      </c>
      <c r="CX151" s="3">
        <v>0.24</v>
      </c>
      <c r="CY151" s="3">
        <v>0</v>
      </c>
      <c r="CZ151" s="3">
        <v>349425</v>
      </c>
      <c r="DA151" s="3">
        <v>5848.96</v>
      </c>
      <c r="DB151" s="3">
        <v>18.0258</v>
      </c>
      <c r="DC151" s="21">
        <f ca="1">_xll.IMDP("BND",CT151,DC8,CT3)</f>
        <v>20500310</v>
      </c>
      <c r="DD151" s="23">
        <f ca="1">_xll.IMDP("BND",CT151,DD8,CT3)</f>
        <v>4.3540000000000001</v>
      </c>
      <c r="DE151" s="2"/>
      <c r="DO151" s="21" t="str">
        <f ca="1">_xll.IMDP("BND",DF151,DO8,DF3)</f>
        <v>입력오류</v>
      </c>
      <c r="DP151" s="23" t="str">
        <f ca="1">_xll.IMDP("BND",DF151,DP8,DF3)</f>
        <v>입력오류</v>
      </c>
      <c r="DQ151" s="2"/>
      <c r="EA151" s="21" t="str">
        <f ca="1">_xll.IMDP("BND",DR151,EA8,DR3)</f>
        <v>입력오류</v>
      </c>
      <c r="EB151" s="23" t="str">
        <f ca="1">_xll.IMDP("BND",DR151,EB8,DR3)</f>
        <v>입력오류</v>
      </c>
    </row>
    <row r="152" spans="1:132" ht="13.5" customHeight="1" x14ac:dyDescent="0.3">
      <c r="A152" s="2">
        <v>46198</v>
      </c>
      <c r="B152" s="3" t="s">
        <v>1827</v>
      </c>
      <c r="C152" s="3" t="s">
        <v>1281</v>
      </c>
      <c r="D152" s="3" t="s">
        <v>1828</v>
      </c>
      <c r="E152" s="3">
        <v>0</v>
      </c>
      <c r="F152" s="3">
        <v>0.24</v>
      </c>
      <c r="G152" s="3">
        <v>0</v>
      </c>
      <c r="H152" s="3">
        <v>262426</v>
      </c>
      <c r="I152" s="3">
        <v>9883.0400000000009</v>
      </c>
      <c r="J152" s="3">
        <v>2.0253999999999999</v>
      </c>
      <c r="K152" s="21">
        <f ca="1">_xll.IMDP("BND",B152,K8,B3)</f>
        <v>20280731</v>
      </c>
      <c r="L152" s="23">
        <f ca="1">_xll.IMDP("BND",B152,L8,B3)</f>
        <v>3.7010000000000001</v>
      </c>
      <c r="M152" s="2"/>
      <c r="W152" s="21" t="str">
        <f ca="1">_xll.IMDP("BND",N152,W8,N3)</f>
        <v>입력오류</v>
      </c>
      <c r="X152" s="23" t="str">
        <f ca="1">_xll.IMDP("BND",N152,X8,N3)</f>
        <v>입력오류</v>
      </c>
      <c r="Y152" s="2"/>
      <c r="AI152" s="21" t="str">
        <f ca="1">_xll.IMDP("BND",Z152,AI8,Z3)</f>
        <v>입력오류</v>
      </c>
      <c r="AJ152" s="23" t="str">
        <f ca="1">_xll.IMDP("BND",Z152,AJ8,Z3)</f>
        <v>입력오류</v>
      </c>
      <c r="AK152" s="2"/>
      <c r="AU152" s="21" t="str">
        <f ca="1">_xll.IMDP("BND",AL152,AU8,AL3)</f>
        <v>입력오류</v>
      </c>
      <c r="AV152" s="23" t="str">
        <f ca="1">_xll.IMDP("BND",AL152,AV8,AL3)</f>
        <v>입력오류</v>
      </c>
      <c r="AW152" s="2"/>
      <c r="BG152" s="21" t="str">
        <f ca="1">_xll.IMDP("BND",AX152,BG8,AX3)</f>
        <v>입력오류</v>
      </c>
      <c r="BH152" s="23" t="str">
        <f ca="1">_xll.IMDP("BND",AX152,BH8,AX3)</f>
        <v>입력오류</v>
      </c>
      <c r="BI152" s="2">
        <v>46198</v>
      </c>
      <c r="BJ152" s="3" t="s">
        <v>1464</v>
      </c>
      <c r="BK152" s="3" t="s">
        <v>98</v>
      </c>
      <c r="BL152" s="3" t="s">
        <v>1465</v>
      </c>
      <c r="BM152" s="3">
        <v>0</v>
      </c>
      <c r="BN152" s="3">
        <v>0.18</v>
      </c>
      <c r="BO152" s="3">
        <v>0</v>
      </c>
      <c r="BP152" s="3">
        <v>223308</v>
      </c>
      <c r="BQ152" s="3">
        <v>7281.3</v>
      </c>
      <c r="BR152" s="3">
        <v>7.3987999999999996</v>
      </c>
      <c r="BS152" s="21">
        <f ca="1">_xll.IMDP("BND",BJ152,BS8,BJ3)</f>
        <v>20340310</v>
      </c>
      <c r="BT152" s="23">
        <f ca="1">_xll.IMDP("BND",BJ152,BT8,BJ3)</f>
        <v>4.2</v>
      </c>
      <c r="BU152" s="2">
        <v>46198</v>
      </c>
      <c r="BV152" s="3" t="s">
        <v>2326</v>
      </c>
      <c r="BW152" s="3" t="s">
        <v>170</v>
      </c>
      <c r="BX152" s="3" t="s">
        <v>2327</v>
      </c>
      <c r="BY152" s="3">
        <v>0</v>
      </c>
      <c r="BZ152" s="3">
        <v>0.03</v>
      </c>
      <c r="CA152" s="3">
        <v>0</v>
      </c>
      <c r="CB152" s="3">
        <v>37959</v>
      </c>
      <c r="CC152" s="3">
        <v>10054.16</v>
      </c>
      <c r="CD152" s="3">
        <v>5.2600000000000001E-2</v>
      </c>
      <c r="CE152" s="21">
        <f ca="1">_xll.IMDP("BND",BV152,CE8,BV3)</f>
        <v>20260714</v>
      </c>
      <c r="CF152" s="23">
        <f ca="1">_xll.IMDP("BND",BV152,CF8,BV3)</f>
        <v>3.302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">
        <v>46198</v>
      </c>
      <c r="CT152" s="3" t="s">
        <v>33</v>
      </c>
      <c r="CU152" s="3" t="s">
        <v>29</v>
      </c>
      <c r="CV152" s="3" t="s">
        <v>2424</v>
      </c>
      <c r="CW152" s="3">
        <v>0</v>
      </c>
      <c r="CX152" s="3">
        <v>0.24</v>
      </c>
      <c r="CY152" s="3">
        <v>0</v>
      </c>
      <c r="CZ152" s="3">
        <v>346542</v>
      </c>
      <c r="DA152" s="3">
        <v>9218.9</v>
      </c>
      <c r="DB152" s="3">
        <v>7.3273000000000001</v>
      </c>
      <c r="DC152" s="21">
        <f ca="1">_xll.IMDP("BND",CT152,DC8,CT3)</f>
        <v>20341210</v>
      </c>
      <c r="DD152" s="23">
        <f ca="1">_xll.IMDP("BND",CT152,DD8,CT3)</f>
        <v>4.12</v>
      </c>
      <c r="DE152" s="2"/>
      <c r="DO152" s="21" t="str">
        <f ca="1">_xll.IMDP("BND",DF152,DO8,DF3)</f>
        <v>입력오류</v>
      </c>
      <c r="DP152" s="23" t="str">
        <f ca="1">_xll.IMDP("BND",DF152,DP8,DF3)</f>
        <v>입력오류</v>
      </c>
      <c r="DQ152" s="2"/>
      <c r="EA152" s="21" t="str">
        <f ca="1">_xll.IMDP("BND",DR152,EA8,DR3)</f>
        <v>입력오류</v>
      </c>
      <c r="EB152" s="23" t="str">
        <f ca="1">_xll.IMDP("BND",DR152,EB8,DR3)</f>
        <v>입력오류</v>
      </c>
    </row>
    <row r="153" spans="1:132" ht="13.5" customHeight="1" x14ac:dyDescent="0.3">
      <c r="A153" s="2">
        <v>46198</v>
      </c>
      <c r="B153" s="3" t="s">
        <v>1829</v>
      </c>
      <c r="C153" s="3" t="s">
        <v>1830</v>
      </c>
      <c r="D153" s="3" t="s">
        <v>1831</v>
      </c>
      <c r="E153" s="3">
        <v>0</v>
      </c>
      <c r="F153" s="3">
        <v>0.24</v>
      </c>
      <c r="G153" s="3">
        <v>0</v>
      </c>
      <c r="H153" s="3">
        <v>262285</v>
      </c>
      <c r="I153" s="3">
        <v>9877.4599999999991</v>
      </c>
      <c r="J153" s="3">
        <v>1.3745000000000001</v>
      </c>
      <c r="K153" s="21">
        <f ca="1">_xll.IMDP("BND",B153,K8,B3)</f>
        <v>20271126</v>
      </c>
      <c r="L153" s="23">
        <f ca="1">_xll.IMDP("BND",B153,L8,B3)</f>
        <v>4.1529999999999996</v>
      </c>
      <c r="M153" s="2"/>
      <c r="W153" s="21" t="str">
        <f ca="1">_xll.IMDP("BND",N153,W8,N3)</f>
        <v>입력오류</v>
      </c>
      <c r="X153" s="23" t="str">
        <f ca="1">_xll.IMDP("BND",N153,X8,N3)</f>
        <v>입력오류</v>
      </c>
      <c r="Y153" s="2"/>
      <c r="AI153" s="21" t="str">
        <f ca="1">_xll.IMDP("BND",Z153,AI8,Z3)</f>
        <v>입력오류</v>
      </c>
      <c r="AJ153" s="23" t="str">
        <f ca="1">_xll.IMDP("BND",Z153,AJ8,Z3)</f>
        <v>입력오류</v>
      </c>
      <c r="AK153" s="2"/>
      <c r="AU153" s="21" t="str">
        <f ca="1">_xll.IMDP("BND",AL153,AU8,AL3)</f>
        <v>입력오류</v>
      </c>
      <c r="AV153" s="23" t="str">
        <f ca="1">_xll.IMDP("BND",AL153,AV8,AL3)</f>
        <v>입력오류</v>
      </c>
      <c r="AW153" s="2"/>
      <c r="BG153" s="21" t="str">
        <f ca="1">_xll.IMDP("BND",AX153,BG8,AX3)</f>
        <v>입력오류</v>
      </c>
      <c r="BH153" s="23" t="str">
        <f ca="1">_xll.IMDP("BND",AX153,BH8,AX3)</f>
        <v>입력오류</v>
      </c>
      <c r="BI153" s="2">
        <v>46198</v>
      </c>
      <c r="BJ153" s="3" t="s">
        <v>730</v>
      </c>
      <c r="BK153" s="3" t="s">
        <v>29</v>
      </c>
      <c r="BL153" s="3" t="s">
        <v>731</v>
      </c>
      <c r="BM153" s="3">
        <v>0</v>
      </c>
      <c r="BN153" s="3">
        <v>0.18</v>
      </c>
      <c r="BO153" s="3">
        <v>0</v>
      </c>
      <c r="BP153" s="3">
        <v>221875</v>
      </c>
      <c r="BQ153" s="3">
        <v>8349</v>
      </c>
      <c r="BR153" s="3">
        <v>16.5213</v>
      </c>
      <c r="BS153" s="21">
        <f ca="1">_xll.IMDP("BND",BJ153,BS8,BJ3)</f>
        <v>20530310</v>
      </c>
      <c r="BT153" s="23">
        <f ca="1">_xll.IMDP("BND",BJ153,BT8,BJ3)</f>
        <v>4.3620000000000001</v>
      </c>
      <c r="BU153" s="2">
        <v>46198</v>
      </c>
      <c r="BV153" s="3" t="s">
        <v>2328</v>
      </c>
      <c r="BW153" s="3" t="s">
        <v>2329</v>
      </c>
      <c r="BX153" s="3" t="s">
        <v>2330</v>
      </c>
      <c r="BY153" s="3">
        <v>0</v>
      </c>
      <c r="BZ153" s="3">
        <v>0.03</v>
      </c>
      <c r="CA153" s="3">
        <v>0</v>
      </c>
      <c r="CB153" s="3">
        <v>37909</v>
      </c>
      <c r="CC153" s="3">
        <v>10040.780000000001</v>
      </c>
      <c r="CD153" s="3">
        <v>0.2319</v>
      </c>
      <c r="CE153" s="21">
        <f ca="1">_xll.IMDP("BND",BV153,CE8,BV3)</f>
        <v>20260918</v>
      </c>
      <c r="CF153" s="23">
        <f ca="1">_xll.IMDP("BND",BV153,CF8,BV3)</f>
        <v>3.226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">
        <v>46198</v>
      </c>
      <c r="CT153" s="3" t="s">
        <v>2031</v>
      </c>
      <c r="CU153" s="3" t="s">
        <v>200</v>
      </c>
      <c r="CV153" s="3" t="s">
        <v>2032</v>
      </c>
      <c r="CW153" s="3">
        <v>0</v>
      </c>
      <c r="CX153" s="3">
        <v>0.23</v>
      </c>
      <c r="CY153" s="3">
        <v>0</v>
      </c>
      <c r="CZ153" s="3">
        <v>338801</v>
      </c>
      <c r="DA153" s="3">
        <v>9069.1</v>
      </c>
      <c r="DB153" s="3">
        <v>4.6517999999999997</v>
      </c>
      <c r="DC153" s="21">
        <f ca="1">_xll.IMDP("BND",CT153,DC8,CT3)</f>
        <v>20310616</v>
      </c>
      <c r="DD153" s="23">
        <f ca="1">_xll.IMDP("BND",CT153,DD8,CT3)</f>
        <v>4.3609999999999998</v>
      </c>
      <c r="DE153" s="2"/>
      <c r="DO153" s="21" t="str">
        <f ca="1">_xll.IMDP("BND",DF153,DO8,DF3)</f>
        <v>입력오류</v>
      </c>
      <c r="DP153" s="23" t="str">
        <f ca="1">_xll.IMDP("BND",DF153,DP8,DF3)</f>
        <v>입력오류</v>
      </c>
      <c r="DQ153" s="2"/>
      <c r="EA153" s="21" t="str">
        <f ca="1">_xll.IMDP("BND",DR153,EA8,DR3)</f>
        <v>입력오류</v>
      </c>
      <c r="EB153" s="23" t="str">
        <f ca="1">_xll.IMDP("BND",DR153,EB8,DR3)</f>
        <v>입력오류</v>
      </c>
    </row>
    <row r="154" spans="1:132" ht="13.5" customHeight="1" x14ac:dyDescent="0.3">
      <c r="A154" s="2">
        <v>46198</v>
      </c>
      <c r="B154" s="3" t="s">
        <v>1832</v>
      </c>
      <c r="C154" s="3" t="s">
        <v>1833</v>
      </c>
      <c r="D154" s="3" t="s">
        <v>1834</v>
      </c>
      <c r="E154" s="3">
        <v>0</v>
      </c>
      <c r="F154" s="3">
        <v>0.24</v>
      </c>
      <c r="G154" s="3">
        <v>0</v>
      </c>
      <c r="H154" s="3">
        <v>262104</v>
      </c>
      <c r="I154" s="3">
        <v>9870.19</v>
      </c>
      <c r="J154" s="3">
        <v>4.3483999999999998</v>
      </c>
      <c r="K154" s="21">
        <f ca="1">_xll.IMDP("BND",B154,K8,B3)</f>
        <v>20310421</v>
      </c>
      <c r="L154" s="23">
        <f ca="1">_xll.IMDP("BND",B154,L8,B3)</f>
        <v>4.2590000000000003</v>
      </c>
      <c r="M154" s="2"/>
      <c r="W154" s="21" t="str">
        <f ca="1">_xll.IMDP("BND",N154,W8,N3)</f>
        <v>입력오류</v>
      </c>
      <c r="X154" s="23" t="str">
        <f ca="1">_xll.IMDP("BND",N154,X8,N3)</f>
        <v>입력오류</v>
      </c>
      <c r="Y154" s="2"/>
      <c r="AI154" s="21" t="str">
        <f ca="1">_xll.IMDP("BND",Z154,AI8,Z3)</f>
        <v>입력오류</v>
      </c>
      <c r="AJ154" s="23" t="str">
        <f ca="1">_xll.IMDP("BND",Z154,AJ8,Z3)</f>
        <v>입력오류</v>
      </c>
      <c r="AK154" s="2"/>
      <c r="AU154" s="21" t="str">
        <f ca="1">_xll.IMDP("BND",AL154,AU8,AL3)</f>
        <v>입력오류</v>
      </c>
      <c r="AV154" s="23" t="str">
        <f ca="1">_xll.IMDP("BND",AL154,AV8,AL3)</f>
        <v>입력오류</v>
      </c>
      <c r="AW154" s="2"/>
      <c r="BG154" s="21" t="str">
        <f ca="1">_xll.IMDP("BND",AX154,BG8,AX3)</f>
        <v>입력오류</v>
      </c>
      <c r="BH154" s="23" t="str">
        <f ca="1">_xll.IMDP("BND",AX154,BH8,AX3)</f>
        <v>입력오류</v>
      </c>
      <c r="BI154" s="2">
        <v>46198</v>
      </c>
      <c r="BJ154" s="3" t="s">
        <v>60</v>
      </c>
      <c r="BK154" s="3" t="s">
        <v>56</v>
      </c>
      <c r="BL154" s="3" t="s">
        <v>61</v>
      </c>
      <c r="BM154" s="3">
        <v>0</v>
      </c>
      <c r="BN154" s="3">
        <v>0.17</v>
      </c>
      <c r="BO154" s="3">
        <v>0</v>
      </c>
      <c r="BP154" s="3">
        <v>210502</v>
      </c>
      <c r="BQ154" s="3">
        <v>9503.5300000000007</v>
      </c>
      <c r="BR154" s="3">
        <v>3.9093</v>
      </c>
      <c r="BS154" s="21">
        <f ca="1">_xll.IMDP("BND",BJ154,BS8,BJ3)</f>
        <v>20300910</v>
      </c>
      <c r="BT154" s="23">
        <f ca="1">_xll.IMDP("BND",BJ154,BT8,BJ3)</f>
        <v>3.98</v>
      </c>
      <c r="BU154" s="2">
        <v>46198</v>
      </c>
      <c r="BV154" s="3" t="s">
        <v>2331</v>
      </c>
      <c r="BW154" s="3" t="s">
        <v>458</v>
      </c>
      <c r="BX154" s="3" t="s">
        <v>459</v>
      </c>
      <c r="BY154" s="3">
        <v>0</v>
      </c>
      <c r="BZ154" s="3">
        <v>0.03</v>
      </c>
      <c r="CA154" s="3">
        <v>0</v>
      </c>
      <c r="CB154" s="3">
        <v>37594</v>
      </c>
      <c r="CE154" s="21" t="str">
        <f ca="1">_xll.IMDP("BND",BV154,CE8,BV3)</f>
        <v/>
      </c>
      <c r="CF154" s="23" t="str">
        <f ca="1">_xll.IMDP("BND",BV154,CF8,BV3)</f>
        <v/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">
        <v>46198</v>
      </c>
      <c r="CT154" s="3" t="s">
        <v>81</v>
      </c>
      <c r="CU154" s="3" t="s">
        <v>29</v>
      </c>
      <c r="CV154" s="3" t="s">
        <v>2425</v>
      </c>
      <c r="CW154" s="3">
        <v>0</v>
      </c>
      <c r="CX154" s="3">
        <v>0.23</v>
      </c>
      <c r="CY154" s="3">
        <v>0</v>
      </c>
      <c r="CZ154" s="3">
        <v>332976</v>
      </c>
      <c r="DA154" s="3">
        <v>7127.31</v>
      </c>
      <c r="DB154" s="3">
        <v>12.185600000000001</v>
      </c>
      <c r="DC154" s="21">
        <f ca="1">_xll.IMDP("BND",CT154,DC8,CT3)</f>
        <v>20400910</v>
      </c>
      <c r="DD154" s="23">
        <f ca="1">_xll.IMDP("BND",CT154,DD8,CT3)</f>
        <v>4.2549999999999999</v>
      </c>
      <c r="DE154" s="2"/>
      <c r="DO154" s="21" t="str">
        <f ca="1">_xll.IMDP("BND",DF154,DO8,DF3)</f>
        <v>입력오류</v>
      </c>
      <c r="DP154" s="23" t="str">
        <f ca="1">_xll.IMDP("BND",DF154,DP8,DF3)</f>
        <v>입력오류</v>
      </c>
      <c r="DQ154" s="2"/>
      <c r="EA154" s="21" t="str">
        <f ca="1">_xll.IMDP("BND",DR154,EA8,DR3)</f>
        <v>입력오류</v>
      </c>
      <c r="EB154" s="23" t="str">
        <f ca="1">_xll.IMDP("BND",DR154,EB8,DR3)</f>
        <v>입력오류</v>
      </c>
    </row>
    <row r="155" spans="1:132" ht="13.5" customHeight="1" x14ac:dyDescent="0.3">
      <c r="A155" s="2">
        <v>46198</v>
      </c>
      <c r="B155" s="3" t="s">
        <v>1835</v>
      </c>
      <c r="C155" s="3" t="s">
        <v>1836</v>
      </c>
      <c r="D155" s="3" t="s">
        <v>1837</v>
      </c>
      <c r="E155" s="3">
        <v>0</v>
      </c>
      <c r="F155" s="3">
        <v>0.24</v>
      </c>
      <c r="G155" s="3">
        <v>0</v>
      </c>
      <c r="H155" s="3">
        <v>262053</v>
      </c>
      <c r="I155" s="3">
        <v>9867.43</v>
      </c>
      <c r="J155" s="3">
        <v>4.3078000000000003</v>
      </c>
      <c r="K155" s="21">
        <f ca="1">_xll.IMDP("BND",B155,K8,B3)</f>
        <v>20310408</v>
      </c>
      <c r="L155" s="23">
        <f ca="1">_xll.IMDP("BND",B155,L8,B3)</f>
        <v>4.34</v>
      </c>
      <c r="M155" s="2"/>
      <c r="W155" s="21" t="str">
        <f ca="1">_xll.IMDP("BND",N155,W8,N3)</f>
        <v>입력오류</v>
      </c>
      <c r="X155" s="23" t="str">
        <f ca="1">_xll.IMDP("BND",N155,X8,N3)</f>
        <v>입력오류</v>
      </c>
      <c r="Y155" s="2"/>
      <c r="AI155" s="21" t="str">
        <f ca="1">_xll.IMDP("BND",Z155,AI8,Z3)</f>
        <v>입력오류</v>
      </c>
      <c r="AJ155" s="23" t="str">
        <f ca="1">_xll.IMDP("BND",Z155,AJ8,Z3)</f>
        <v>입력오류</v>
      </c>
      <c r="AK155" s="2"/>
      <c r="AU155" s="21" t="str">
        <f ca="1">_xll.IMDP("BND",AL155,AU8,AL3)</f>
        <v>입력오류</v>
      </c>
      <c r="AV155" s="23" t="str">
        <f ca="1">_xll.IMDP("BND",AL155,AV8,AL3)</f>
        <v>입력오류</v>
      </c>
      <c r="AW155" s="2"/>
      <c r="BG155" s="21" t="str">
        <f ca="1">_xll.IMDP("BND",AX155,BG8,AX3)</f>
        <v>입력오류</v>
      </c>
      <c r="BH155" s="23" t="str">
        <f ca="1">_xll.IMDP("BND",AX155,BH8,AX3)</f>
        <v>입력오류</v>
      </c>
      <c r="BI155" s="2">
        <v>46198</v>
      </c>
      <c r="BJ155" s="3" t="s">
        <v>1466</v>
      </c>
      <c r="BK155" s="3" t="s">
        <v>98</v>
      </c>
      <c r="BL155" s="3" t="s">
        <v>1467</v>
      </c>
      <c r="BM155" s="3">
        <v>0</v>
      </c>
      <c r="BN155" s="3">
        <v>0.17</v>
      </c>
      <c r="BO155" s="3">
        <v>0</v>
      </c>
      <c r="BP155" s="3">
        <v>208440</v>
      </c>
      <c r="BQ155" s="3">
        <v>7765.24</v>
      </c>
      <c r="BR155" s="3">
        <v>5.9657999999999998</v>
      </c>
      <c r="BS155" s="21">
        <f ca="1">_xll.IMDP("BND",BJ155,BS8,BJ3)</f>
        <v>20320910</v>
      </c>
      <c r="BT155" s="23">
        <f ca="1">_xll.IMDP("BND",BJ155,BT8,BJ3)</f>
        <v>4.1539999999999999</v>
      </c>
      <c r="BU155" s="2">
        <v>46198</v>
      </c>
      <c r="BV155" s="3" t="s">
        <v>2332</v>
      </c>
      <c r="BW155" s="3" t="s">
        <v>567</v>
      </c>
      <c r="BX155" s="3" t="s">
        <v>568</v>
      </c>
      <c r="BY155" s="3">
        <v>0</v>
      </c>
      <c r="BZ155" s="3">
        <v>0.01</v>
      </c>
      <c r="CA155" s="3">
        <v>0</v>
      </c>
      <c r="CB155" s="3">
        <v>18870</v>
      </c>
      <c r="CE155" s="21" t="str">
        <f ca="1">_xll.IMDP("BND",BV155,CE8,BV3)</f>
        <v/>
      </c>
      <c r="CF155" s="23" t="str">
        <f ca="1">_xll.IMDP("BND",BV155,CF8,BV3)</f>
        <v/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">
        <v>46198</v>
      </c>
      <c r="CT155" s="3" t="s">
        <v>2426</v>
      </c>
      <c r="CU155" s="3" t="s">
        <v>790</v>
      </c>
      <c r="CV155" s="3" t="s">
        <v>2427</v>
      </c>
      <c r="CW155" s="3">
        <v>0</v>
      </c>
      <c r="CX155" s="3">
        <v>0.22</v>
      </c>
      <c r="CY155" s="3">
        <v>0</v>
      </c>
      <c r="CZ155" s="3">
        <v>324315</v>
      </c>
      <c r="DA155" s="3">
        <v>9921.98</v>
      </c>
      <c r="DB155" s="3">
        <v>2.4899</v>
      </c>
      <c r="DC155" s="21">
        <f ca="1">_xll.IMDP("BND",CT155,DC8,CT3)</f>
        <v>20290212</v>
      </c>
      <c r="DD155" s="23">
        <f ca="1">_xll.IMDP("BND",CT155,DD8,CT3)</f>
        <v>4.0339999999999998</v>
      </c>
      <c r="DE155" s="2"/>
      <c r="DO155" s="21" t="str">
        <f ca="1">_xll.IMDP("BND",DF155,DO8,DF3)</f>
        <v>입력오류</v>
      </c>
      <c r="DP155" s="23" t="str">
        <f ca="1">_xll.IMDP("BND",DF155,DP8,DF3)</f>
        <v>입력오류</v>
      </c>
      <c r="DQ155" s="2"/>
      <c r="EA155" s="21" t="str">
        <f ca="1">_xll.IMDP("BND",DR155,EA8,DR3)</f>
        <v>입력오류</v>
      </c>
      <c r="EB155" s="23" t="str">
        <f ca="1">_xll.IMDP("BND",DR155,EB8,DR3)</f>
        <v>입력오류</v>
      </c>
    </row>
    <row r="156" spans="1:132" ht="13.5" customHeight="1" x14ac:dyDescent="0.3">
      <c r="A156" s="2">
        <v>46198</v>
      </c>
      <c r="B156" s="3" t="s">
        <v>1838</v>
      </c>
      <c r="C156" s="3" t="s">
        <v>485</v>
      </c>
      <c r="D156" s="3" t="s">
        <v>1839</v>
      </c>
      <c r="E156" s="3">
        <v>0</v>
      </c>
      <c r="F156" s="3">
        <v>0.24</v>
      </c>
      <c r="G156" s="3">
        <v>0</v>
      </c>
      <c r="H156" s="3">
        <v>262051</v>
      </c>
      <c r="I156" s="3">
        <v>9869.0499999999993</v>
      </c>
      <c r="J156" s="3">
        <v>1.4662999999999999</v>
      </c>
      <c r="K156" s="21">
        <f ca="1">_xll.IMDP("BND",B156,K8,B3)</f>
        <v>20271230</v>
      </c>
      <c r="L156" s="23">
        <f ca="1">_xll.IMDP("BND",B156,L8,B3)</f>
        <v>3.9380000000000002</v>
      </c>
      <c r="M156" s="2"/>
      <c r="W156" s="21" t="str">
        <f ca="1">_xll.IMDP("BND",N156,W8,N3)</f>
        <v>입력오류</v>
      </c>
      <c r="X156" s="23" t="str">
        <f ca="1">_xll.IMDP("BND",N156,X8,N3)</f>
        <v>입력오류</v>
      </c>
      <c r="Y156" s="2"/>
      <c r="AI156" s="21" t="str">
        <f ca="1">_xll.IMDP("BND",Z156,AI8,Z3)</f>
        <v>입력오류</v>
      </c>
      <c r="AJ156" s="23" t="str">
        <f ca="1">_xll.IMDP("BND",Z156,AJ8,Z3)</f>
        <v>입력오류</v>
      </c>
      <c r="AK156" s="2"/>
      <c r="AU156" s="21" t="str">
        <f ca="1">_xll.IMDP("BND",AL156,AU8,AL3)</f>
        <v>입력오류</v>
      </c>
      <c r="AV156" s="23" t="str">
        <f ca="1">_xll.IMDP("BND",AL156,AV8,AL3)</f>
        <v>입력오류</v>
      </c>
      <c r="AW156" s="2"/>
      <c r="BG156" s="21" t="str">
        <f ca="1">_xll.IMDP("BND",AX156,BG8,AX3)</f>
        <v>입력오류</v>
      </c>
      <c r="BH156" s="23" t="str">
        <f ca="1">_xll.IMDP("BND",AX156,BH8,AX3)</f>
        <v>입력오류</v>
      </c>
      <c r="BI156" s="2">
        <v>46198</v>
      </c>
      <c r="BJ156" s="3" t="s">
        <v>1468</v>
      </c>
      <c r="BK156" s="3" t="s">
        <v>871</v>
      </c>
      <c r="BL156" s="3" t="s">
        <v>1469</v>
      </c>
      <c r="BM156" s="3">
        <v>0</v>
      </c>
      <c r="BN156" s="3">
        <v>0.15</v>
      </c>
      <c r="BO156" s="3">
        <v>0</v>
      </c>
      <c r="BP156" s="3">
        <v>193087</v>
      </c>
      <c r="BQ156" s="3">
        <v>10070.43</v>
      </c>
      <c r="BR156" s="3">
        <v>2.0602</v>
      </c>
      <c r="BS156" s="21">
        <f ca="1">_xll.IMDP("BND",BJ156,BS8,BJ3)</f>
        <v>20280828</v>
      </c>
      <c r="BT156" s="23">
        <f ca="1">_xll.IMDP("BND",BJ156,BT8,BJ3)</f>
        <v>4.1779999999999999</v>
      </c>
      <c r="BU156" s="2">
        <v>46198</v>
      </c>
      <c r="BV156" s="3" t="s">
        <v>2334</v>
      </c>
      <c r="BW156" s="3" t="s">
        <v>1167</v>
      </c>
      <c r="BX156" s="3" t="s">
        <v>1168</v>
      </c>
      <c r="BY156" s="3">
        <v>0</v>
      </c>
      <c r="BZ156" s="3">
        <v>0.01</v>
      </c>
      <c r="CA156" s="3">
        <v>0</v>
      </c>
      <c r="CB156" s="3">
        <v>18828</v>
      </c>
      <c r="CE156" s="21" t="str">
        <f ca="1">_xll.IMDP("BND",BV156,CE8,BV3)</f>
        <v/>
      </c>
      <c r="CF156" s="23" t="str">
        <f ca="1">_xll.IMDP("BND",BV156,CF8,BV3)</f>
        <v/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">
        <v>46198</v>
      </c>
      <c r="CT156" s="3" t="s">
        <v>2428</v>
      </c>
      <c r="CU156" s="3" t="s">
        <v>911</v>
      </c>
      <c r="CV156" s="3" t="s">
        <v>2429</v>
      </c>
      <c r="CW156" s="3">
        <v>0</v>
      </c>
      <c r="CX156" s="3">
        <v>0.22</v>
      </c>
      <c r="CY156" s="3">
        <v>0</v>
      </c>
      <c r="CZ156" s="3">
        <v>322521</v>
      </c>
      <c r="DA156" s="3">
        <v>9866.6299999999992</v>
      </c>
      <c r="DB156" s="3">
        <v>0.6845</v>
      </c>
      <c r="DC156" s="21">
        <f ca="1">_xll.IMDP("BND",CT156,DC8,CT3)</f>
        <v>20270304</v>
      </c>
      <c r="DD156" s="23">
        <f ca="1">_xll.IMDP("BND",CT156,DD8,CT3)</f>
        <v>3.4279999999999999</v>
      </c>
      <c r="DE156" s="2"/>
      <c r="DO156" s="21" t="str">
        <f ca="1">_xll.IMDP("BND",DF156,DO8,DF3)</f>
        <v>입력오류</v>
      </c>
      <c r="DP156" s="23" t="str">
        <f ca="1">_xll.IMDP("BND",DF156,DP8,DF3)</f>
        <v>입력오류</v>
      </c>
      <c r="DQ156" s="2"/>
      <c r="EA156" s="21" t="str">
        <f ca="1">_xll.IMDP("BND",DR156,EA8,DR3)</f>
        <v>입력오류</v>
      </c>
      <c r="EB156" s="23" t="str">
        <f ca="1">_xll.IMDP("BND",DR156,EB8,DR3)</f>
        <v>입력오류</v>
      </c>
    </row>
    <row r="157" spans="1:132" ht="13.5" customHeight="1" x14ac:dyDescent="0.3">
      <c r="A157" s="2">
        <v>46198</v>
      </c>
      <c r="B157" s="3" t="s">
        <v>1844</v>
      </c>
      <c r="C157" s="3" t="s">
        <v>131</v>
      </c>
      <c r="D157" s="3" t="s">
        <v>1845</v>
      </c>
      <c r="E157" s="3">
        <v>0</v>
      </c>
      <c r="F157" s="3">
        <v>0.24</v>
      </c>
      <c r="G157" s="3">
        <v>0</v>
      </c>
      <c r="H157" s="3">
        <v>262028</v>
      </c>
      <c r="I157" s="3">
        <v>9868.7900000000009</v>
      </c>
      <c r="J157" s="3">
        <v>0.44819999999999999</v>
      </c>
      <c r="K157" s="21">
        <f ca="1">_xll.IMDP("BND",B157,K8,B3)</f>
        <v>20261210</v>
      </c>
      <c r="L157" s="23">
        <f ca="1">_xll.IMDP("BND",B157,L8,B3)</f>
        <v>2.8879999999999999</v>
      </c>
      <c r="M157" s="2"/>
      <c r="W157" s="21" t="str">
        <f ca="1">_xll.IMDP("BND",N157,W8,N3)</f>
        <v>입력오류</v>
      </c>
      <c r="X157" s="23" t="str">
        <f ca="1">_xll.IMDP("BND",N157,X8,N3)</f>
        <v>입력오류</v>
      </c>
      <c r="Y157" s="2"/>
      <c r="AI157" s="21" t="str">
        <f ca="1">_xll.IMDP("BND",Z157,AI8,Z3)</f>
        <v>입력오류</v>
      </c>
      <c r="AJ157" s="23" t="str">
        <f ca="1">_xll.IMDP("BND",Z157,AJ8,Z3)</f>
        <v>입력오류</v>
      </c>
      <c r="AK157" s="2"/>
      <c r="AU157" s="21" t="str">
        <f ca="1">_xll.IMDP("BND",AL157,AU8,AL3)</f>
        <v>입력오류</v>
      </c>
      <c r="AV157" s="23" t="str">
        <f ca="1">_xll.IMDP("BND",AL157,AV8,AL3)</f>
        <v>입력오류</v>
      </c>
      <c r="AW157" s="2"/>
      <c r="BG157" s="21" t="str">
        <f ca="1">_xll.IMDP("BND",AX157,BG8,AX3)</f>
        <v>입력오류</v>
      </c>
      <c r="BH157" s="23" t="str">
        <f ca="1">_xll.IMDP("BND",AX157,BH8,AX3)</f>
        <v>입력오류</v>
      </c>
      <c r="BI157" s="2">
        <v>46198</v>
      </c>
      <c r="BJ157" s="3" t="s">
        <v>1470</v>
      </c>
      <c r="BK157" s="3" t="s">
        <v>553</v>
      </c>
      <c r="BL157" s="3" t="s">
        <v>1471</v>
      </c>
      <c r="BM157" s="3">
        <v>0</v>
      </c>
      <c r="BN157" s="3">
        <v>0.15</v>
      </c>
      <c r="BO157" s="3">
        <v>0</v>
      </c>
      <c r="BP157" s="3">
        <v>184754</v>
      </c>
      <c r="BQ157" s="3">
        <v>10074.86</v>
      </c>
      <c r="BR157" s="3">
        <v>0.02</v>
      </c>
      <c r="BS157" s="21">
        <f ca="1">_xll.IMDP("BND",BJ157,BS8,BJ3)</f>
        <v>20260702</v>
      </c>
      <c r="BT157" s="23">
        <f ca="1">_xll.IMDP("BND",BJ157,BT8,BJ3)</f>
        <v>2.6480000000000001</v>
      </c>
      <c r="BU157" s="2">
        <v>46198</v>
      </c>
      <c r="BV157" s="3" t="s">
        <v>2333</v>
      </c>
      <c r="BW157" s="3" t="s">
        <v>1167</v>
      </c>
      <c r="BX157" s="3" t="s">
        <v>1168</v>
      </c>
      <c r="BY157" s="3">
        <v>0</v>
      </c>
      <c r="BZ157" s="3">
        <v>0.01</v>
      </c>
      <c r="CA157" s="3">
        <v>0</v>
      </c>
      <c r="CB157" s="3">
        <v>18828</v>
      </c>
      <c r="CE157" s="21" t="str">
        <f ca="1">_xll.IMDP("BND",BV157,CE8,BV3)</f>
        <v/>
      </c>
      <c r="CF157" s="23" t="str">
        <f ca="1">_xll.IMDP("BND",BV157,CF8,BV3)</f>
        <v/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">
        <v>46198</v>
      </c>
      <c r="CT157" s="3" t="s">
        <v>2430</v>
      </c>
      <c r="CU157" s="3" t="s">
        <v>176</v>
      </c>
      <c r="CV157" s="3" t="s">
        <v>2431</v>
      </c>
      <c r="CW157" s="3">
        <v>0</v>
      </c>
      <c r="CX157" s="3">
        <v>0.22</v>
      </c>
      <c r="CY157" s="3">
        <v>0</v>
      </c>
      <c r="CZ157" s="3">
        <v>320931</v>
      </c>
      <c r="DA157" s="3">
        <v>9819.31</v>
      </c>
      <c r="DB157" s="3">
        <v>2.3266</v>
      </c>
      <c r="DC157" s="21">
        <f ca="1">_xll.IMDP("BND",CT157,DC8,CT3)</f>
        <v>20281205</v>
      </c>
      <c r="DD157" s="23">
        <f ca="1">_xll.IMDP("BND",CT157,DD8,CT3)</f>
        <v>4.3360000000000003</v>
      </c>
      <c r="DE157" s="2"/>
      <c r="DO157" s="21" t="str">
        <f ca="1">_xll.IMDP("BND",DF157,DO8,DF3)</f>
        <v>입력오류</v>
      </c>
      <c r="DP157" s="23" t="str">
        <f ca="1">_xll.IMDP("BND",DF157,DP8,DF3)</f>
        <v>입력오류</v>
      </c>
      <c r="DQ157" s="2"/>
      <c r="EA157" s="21" t="str">
        <f ca="1">_xll.IMDP("BND",DR157,EA8,DR3)</f>
        <v>입력오류</v>
      </c>
      <c r="EB157" s="23" t="str">
        <f ca="1">_xll.IMDP("BND",DR157,EB8,DR3)</f>
        <v>입력오류</v>
      </c>
    </row>
    <row r="158" spans="1:132" ht="13.5" customHeight="1" x14ac:dyDescent="0.3">
      <c r="A158" s="2">
        <v>46198</v>
      </c>
      <c r="B158" s="3" t="s">
        <v>1840</v>
      </c>
      <c r="C158" s="3" t="s">
        <v>499</v>
      </c>
      <c r="D158" s="3" t="s">
        <v>1841</v>
      </c>
      <c r="E158" s="3">
        <v>0</v>
      </c>
      <c r="F158" s="3">
        <v>0.24</v>
      </c>
      <c r="G158" s="3">
        <v>0</v>
      </c>
      <c r="H158" s="3">
        <v>262001</v>
      </c>
      <c r="I158" s="3">
        <v>9866.8799999999992</v>
      </c>
      <c r="J158" s="3">
        <v>1.5942000000000001</v>
      </c>
      <c r="K158" s="21">
        <f ca="1">_xll.IMDP("BND",B158,K8,B3)</f>
        <v>20280218</v>
      </c>
      <c r="L158" s="23">
        <f ca="1">_xll.IMDP("BND",B158,L8,B3)</f>
        <v>4.117</v>
      </c>
      <c r="M158" s="2"/>
      <c r="W158" s="21" t="str">
        <f ca="1">_xll.IMDP("BND",N158,W8,N3)</f>
        <v>입력오류</v>
      </c>
      <c r="X158" s="23" t="str">
        <f ca="1">_xll.IMDP("BND",N158,X8,N3)</f>
        <v>입력오류</v>
      </c>
      <c r="Y158" s="2"/>
      <c r="AI158" s="21" t="str">
        <f ca="1">_xll.IMDP("BND",Z158,AI8,Z3)</f>
        <v>입력오류</v>
      </c>
      <c r="AJ158" s="23" t="str">
        <f ca="1">_xll.IMDP("BND",Z158,AJ8,Z3)</f>
        <v>입력오류</v>
      </c>
      <c r="AK158" s="2"/>
      <c r="AU158" s="21" t="str">
        <f ca="1">_xll.IMDP("BND",AL158,AU8,AL3)</f>
        <v>입력오류</v>
      </c>
      <c r="AV158" s="23" t="str">
        <f ca="1">_xll.IMDP("BND",AL158,AV8,AL3)</f>
        <v>입력오류</v>
      </c>
      <c r="AW158" s="2"/>
      <c r="BG158" s="21" t="str">
        <f ca="1">_xll.IMDP("BND",AX158,BG8,AX3)</f>
        <v>입력오류</v>
      </c>
      <c r="BH158" s="23" t="str">
        <f ca="1">_xll.IMDP("BND",AX158,BH8,AX3)</f>
        <v>입력오류</v>
      </c>
      <c r="BI158" s="2">
        <v>46198</v>
      </c>
      <c r="BJ158" s="3" t="s">
        <v>902</v>
      </c>
      <c r="BK158" s="3" t="s">
        <v>553</v>
      </c>
      <c r="BL158" s="3" t="s">
        <v>903</v>
      </c>
      <c r="BM158" s="3">
        <v>0</v>
      </c>
      <c r="BN158" s="3">
        <v>0.15</v>
      </c>
      <c r="BO158" s="3">
        <v>0</v>
      </c>
      <c r="BP158" s="3">
        <v>184590</v>
      </c>
      <c r="BQ158" s="3">
        <v>10066</v>
      </c>
      <c r="BR158" s="3">
        <v>0.26719999999999999</v>
      </c>
      <c r="BS158" s="21">
        <f ca="1">_xll.IMDP("BND",BJ158,BS8,BJ3)</f>
        <v>20261002</v>
      </c>
      <c r="BT158" s="23">
        <f ca="1">_xll.IMDP("BND",BJ158,BT8,BJ3)</f>
        <v>2.746</v>
      </c>
      <c r="BU158" s="2">
        <v>46198</v>
      </c>
      <c r="BV158" s="3" t="s">
        <v>2335</v>
      </c>
      <c r="BW158" s="3" t="s">
        <v>1175</v>
      </c>
      <c r="BX158" s="3" t="s">
        <v>1176</v>
      </c>
      <c r="BY158" s="3">
        <v>0</v>
      </c>
      <c r="BZ158" s="3">
        <v>0.01</v>
      </c>
      <c r="CA158" s="3">
        <v>0</v>
      </c>
      <c r="CB158" s="3">
        <v>18808</v>
      </c>
      <c r="CE158" s="21" t="str">
        <f ca="1">_xll.IMDP("BND",BV158,CE8,BV3)</f>
        <v/>
      </c>
      <c r="CF158" s="23" t="str">
        <f ca="1">_xll.IMDP("BND",BV158,CF8,BV3)</f>
        <v/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">
        <v>46198</v>
      </c>
      <c r="CT158" s="3" t="s">
        <v>2432</v>
      </c>
      <c r="CU158" s="3" t="s">
        <v>1753</v>
      </c>
      <c r="CV158" s="3" t="s">
        <v>2433</v>
      </c>
      <c r="CW158" s="3">
        <v>0</v>
      </c>
      <c r="CX158" s="3">
        <v>0.22</v>
      </c>
      <c r="CY158" s="3">
        <v>0</v>
      </c>
      <c r="CZ158" s="3">
        <v>317614</v>
      </c>
      <c r="DA158" s="3">
        <v>9716.66</v>
      </c>
      <c r="DB158" s="3">
        <v>2.2282000000000002</v>
      </c>
      <c r="DC158" s="21">
        <f ca="1">_xll.IMDP("BND",CT158,DC8,CT3)</f>
        <v>20281023</v>
      </c>
      <c r="DD158" s="23">
        <f ca="1">_xll.IMDP("BND",CT158,DD8,CT3)</f>
        <v>4.3029999999999999</v>
      </c>
      <c r="DE158" s="2"/>
      <c r="DO158" s="21" t="str">
        <f ca="1">_xll.IMDP("BND",DF158,DO8,DF3)</f>
        <v>입력오류</v>
      </c>
      <c r="DP158" s="23" t="str">
        <f ca="1">_xll.IMDP("BND",DF158,DP8,DF3)</f>
        <v>입력오류</v>
      </c>
      <c r="DQ158" s="2"/>
      <c r="EA158" s="21" t="str">
        <f ca="1">_xll.IMDP("BND",DR158,EA8,DR3)</f>
        <v>입력오류</v>
      </c>
      <c r="EB158" s="23" t="str">
        <f ca="1">_xll.IMDP("BND",DR158,EB8,DR3)</f>
        <v>입력오류</v>
      </c>
    </row>
    <row r="159" spans="1:132" ht="13.5" customHeight="1" x14ac:dyDescent="0.3">
      <c r="A159" s="2">
        <v>46198</v>
      </c>
      <c r="B159" s="3" t="s">
        <v>1842</v>
      </c>
      <c r="C159" s="3" t="s">
        <v>1730</v>
      </c>
      <c r="D159" s="3" t="s">
        <v>1843</v>
      </c>
      <c r="E159" s="3">
        <v>0</v>
      </c>
      <c r="F159" s="3">
        <v>0.24</v>
      </c>
      <c r="G159" s="3">
        <v>0</v>
      </c>
      <c r="H159" s="3">
        <v>261960</v>
      </c>
      <c r="I159" s="3">
        <v>9865.3700000000008</v>
      </c>
      <c r="J159" s="3">
        <v>2.5785</v>
      </c>
      <c r="K159" s="21">
        <f ca="1">_xll.IMDP("BND",B159,K8,B3)</f>
        <v>20290316</v>
      </c>
      <c r="L159" s="23">
        <f ca="1">_xll.IMDP("BND",B159,L8,B3)</f>
        <v>4.1779999999999999</v>
      </c>
      <c r="M159" s="2"/>
      <c r="W159" s="21" t="str">
        <f ca="1">_xll.IMDP("BND",N159,W8,N3)</f>
        <v>입력오류</v>
      </c>
      <c r="X159" s="23" t="str">
        <f ca="1">_xll.IMDP("BND",N159,X8,N3)</f>
        <v>입력오류</v>
      </c>
      <c r="Y159" s="2"/>
      <c r="AI159" s="21" t="str">
        <f ca="1">_xll.IMDP("BND",Z159,AI8,Z3)</f>
        <v>입력오류</v>
      </c>
      <c r="AJ159" s="23" t="str">
        <f ca="1">_xll.IMDP("BND",Z159,AJ8,Z3)</f>
        <v>입력오류</v>
      </c>
      <c r="AK159" s="2"/>
      <c r="AU159" s="21" t="str">
        <f ca="1">_xll.IMDP("BND",AL159,AU8,AL3)</f>
        <v>입력오류</v>
      </c>
      <c r="AV159" s="23" t="str">
        <f ca="1">_xll.IMDP("BND",AL159,AV8,AL3)</f>
        <v>입력오류</v>
      </c>
      <c r="AW159" s="2"/>
      <c r="BG159" s="21" t="str">
        <f ca="1">_xll.IMDP("BND",AX159,BG8,AX3)</f>
        <v>입력오류</v>
      </c>
      <c r="BH159" s="23" t="str">
        <f ca="1">_xll.IMDP("BND",AX159,BH8,AX3)</f>
        <v>입력오류</v>
      </c>
      <c r="BI159" s="2">
        <v>46198</v>
      </c>
      <c r="BJ159" s="3" t="s">
        <v>1472</v>
      </c>
      <c r="BK159" s="3" t="s">
        <v>499</v>
      </c>
      <c r="BL159" s="3" t="s">
        <v>1473</v>
      </c>
      <c r="BM159" s="3">
        <v>0</v>
      </c>
      <c r="BN159" s="3">
        <v>0.14000000000000001</v>
      </c>
      <c r="BO159" s="3">
        <v>0</v>
      </c>
      <c r="BP159" s="3">
        <v>173904</v>
      </c>
      <c r="BQ159" s="3">
        <v>10109.92</v>
      </c>
      <c r="BR159" s="3">
        <v>3.5999999999999999E-3</v>
      </c>
      <c r="BS159" s="21">
        <f ca="1">_xll.IMDP("BND",BJ159,BS8,BJ3)</f>
        <v>20260626</v>
      </c>
      <c r="BT159" s="23">
        <f ca="1">_xll.IMDP("BND",BJ159,BT8,BJ3)</f>
        <v>3.093</v>
      </c>
      <c r="BU159" s="2">
        <v>46198</v>
      </c>
      <c r="BV159" s="3" t="s">
        <v>2338</v>
      </c>
      <c r="BW159" s="3" t="s">
        <v>1180</v>
      </c>
      <c r="BX159" s="3" t="s">
        <v>1181</v>
      </c>
      <c r="BY159" s="3">
        <v>0</v>
      </c>
      <c r="BZ159" s="3">
        <v>0.01</v>
      </c>
      <c r="CA159" s="3">
        <v>0</v>
      </c>
      <c r="CB159" s="3">
        <v>18784</v>
      </c>
      <c r="CE159" s="21" t="str">
        <f ca="1">_xll.IMDP("BND",BV159,CE8,BV3)</f>
        <v/>
      </c>
      <c r="CF159" s="23" t="str">
        <f ca="1">_xll.IMDP("BND",BV159,CF8,BV3)</f>
        <v/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">
        <v>46198</v>
      </c>
      <c r="CT159" s="3" t="s">
        <v>2434</v>
      </c>
      <c r="CU159" s="3" t="s">
        <v>2435</v>
      </c>
      <c r="CV159" s="3" t="s">
        <v>2436</v>
      </c>
      <c r="CW159" s="3">
        <v>0</v>
      </c>
      <c r="CX159" s="3">
        <v>0.22</v>
      </c>
      <c r="CY159" s="3">
        <v>0</v>
      </c>
      <c r="CZ159" s="3">
        <v>313919</v>
      </c>
      <c r="DA159" s="3">
        <v>10185.700000000001</v>
      </c>
      <c r="DB159" s="3">
        <v>1.3846000000000001</v>
      </c>
      <c r="DC159" s="21">
        <f ca="1">_xll.IMDP("BND",CT159,DC8,CT3)</f>
        <v>20271130</v>
      </c>
      <c r="DD159" s="23">
        <f ca="1">_xll.IMDP("BND",CT159,DD8,CT3)</f>
        <v>3.5539999999999998</v>
      </c>
      <c r="DE159" s="2"/>
      <c r="DO159" s="21" t="str">
        <f ca="1">_xll.IMDP("BND",DF159,DO8,DF3)</f>
        <v>입력오류</v>
      </c>
      <c r="DP159" s="23" t="str">
        <f ca="1">_xll.IMDP("BND",DF159,DP8,DF3)</f>
        <v>입력오류</v>
      </c>
      <c r="DQ159" s="2"/>
      <c r="EA159" s="21" t="str">
        <f ca="1">_xll.IMDP("BND",DR159,EA8,DR3)</f>
        <v>입력오류</v>
      </c>
      <c r="EB159" s="23" t="str">
        <f ca="1">_xll.IMDP("BND",DR159,EB8,DR3)</f>
        <v>입력오류</v>
      </c>
    </row>
    <row r="160" spans="1:132" ht="13.5" customHeight="1" x14ac:dyDescent="0.3">
      <c r="A160" s="2">
        <v>46198</v>
      </c>
      <c r="B160" s="3" t="s">
        <v>1846</v>
      </c>
      <c r="C160" s="3" t="s">
        <v>1847</v>
      </c>
      <c r="D160" s="3" t="s">
        <v>1848</v>
      </c>
      <c r="E160" s="3">
        <v>0</v>
      </c>
      <c r="F160" s="3">
        <v>0.24</v>
      </c>
      <c r="G160" s="3">
        <v>0</v>
      </c>
      <c r="H160" s="3">
        <v>261892</v>
      </c>
      <c r="I160" s="3">
        <v>9862.42</v>
      </c>
      <c r="J160" s="3">
        <v>2.8311000000000002</v>
      </c>
      <c r="K160" s="21">
        <f ca="1">_xll.IMDP("BND",B160,K8,B3)</f>
        <v>20290701</v>
      </c>
      <c r="L160" s="23">
        <f ca="1">_xll.IMDP("BND",B160,L8,B3)</f>
        <v>4.085</v>
      </c>
      <c r="M160" s="2"/>
      <c r="W160" s="21" t="str">
        <f ca="1">_xll.IMDP("BND",N160,W8,N3)</f>
        <v>입력오류</v>
      </c>
      <c r="X160" s="23" t="str">
        <f ca="1">_xll.IMDP("BND",N160,X8,N3)</f>
        <v>입력오류</v>
      </c>
      <c r="Y160" s="2"/>
      <c r="AI160" s="21" t="str">
        <f ca="1">_xll.IMDP("BND",Z160,AI8,Z3)</f>
        <v>입력오류</v>
      </c>
      <c r="AJ160" s="23" t="str">
        <f ca="1">_xll.IMDP("BND",Z160,AJ8,Z3)</f>
        <v>입력오류</v>
      </c>
      <c r="AK160" s="2"/>
      <c r="AU160" s="21" t="str">
        <f ca="1">_xll.IMDP("BND",AL160,AU8,AL3)</f>
        <v>입력오류</v>
      </c>
      <c r="AV160" s="23" t="str">
        <f ca="1">_xll.IMDP("BND",AL160,AV8,AL3)</f>
        <v>입력오류</v>
      </c>
      <c r="AW160" s="2"/>
      <c r="BG160" s="21" t="str">
        <f ca="1">_xll.IMDP("BND",AX160,BG8,AX3)</f>
        <v>입력오류</v>
      </c>
      <c r="BH160" s="23" t="str">
        <f ca="1">_xll.IMDP("BND",AX160,BH8,AX3)</f>
        <v>입력오류</v>
      </c>
      <c r="BI160" s="2">
        <v>46198</v>
      </c>
      <c r="BJ160" s="3" t="s">
        <v>1474</v>
      </c>
      <c r="BK160" s="3" t="s">
        <v>1475</v>
      </c>
      <c r="BL160" s="3" t="s">
        <v>1476</v>
      </c>
      <c r="BM160" s="3">
        <v>0</v>
      </c>
      <c r="BN160" s="3">
        <v>0.14000000000000001</v>
      </c>
      <c r="BO160" s="3">
        <v>0</v>
      </c>
      <c r="BP160" s="3">
        <v>173746</v>
      </c>
      <c r="BQ160" s="3">
        <v>10101.030000000001</v>
      </c>
      <c r="BR160" s="3">
        <v>0.56540000000000001</v>
      </c>
      <c r="BS160" s="21">
        <f ca="1">_xll.IMDP("BND",BJ160,BS8,BJ3)</f>
        <v>20270122</v>
      </c>
      <c r="BT160" s="23">
        <f ca="1">_xll.IMDP("BND",BJ160,BT8,BJ3)</f>
        <v>3.4769999999999999</v>
      </c>
      <c r="BU160" s="2">
        <v>46198</v>
      </c>
      <c r="BV160" s="3" t="s">
        <v>2336</v>
      </c>
      <c r="BW160" s="3" t="s">
        <v>704</v>
      </c>
      <c r="BX160" s="3" t="s">
        <v>705</v>
      </c>
      <c r="BY160" s="3">
        <v>0</v>
      </c>
      <c r="BZ160" s="3">
        <v>0.01</v>
      </c>
      <c r="CA160" s="3">
        <v>0</v>
      </c>
      <c r="CB160" s="3">
        <v>18784</v>
      </c>
      <c r="CE160" s="21" t="str">
        <f ca="1">_xll.IMDP("BND",BV160,CE8,BV3)</f>
        <v/>
      </c>
      <c r="CF160" s="23" t="str">
        <f ca="1">_xll.IMDP("BND",BV160,CF8,BV3)</f>
        <v/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">
        <v>46198</v>
      </c>
      <c r="CT160" s="3" t="s">
        <v>2437</v>
      </c>
      <c r="CU160" s="3" t="s">
        <v>108</v>
      </c>
      <c r="CV160" s="3" t="s">
        <v>2438</v>
      </c>
      <c r="CW160" s="3">
        <v>0</v>
      </c>
      <c r="CX160" s="3">
        <v>0.19</v>
      </c>
      <c r="CY160" s="3">
        <v>0</v>
      </c>
      <c r="CZ160" s="3">
        <v>278969</v>
      </c>
      <c r="DA160" s="3">
        <v>9956.58</v>
      </c>
      <c r="DB160" s="3">
        <v>4.1303999999999998</v>
      </c>
      <c r="DC160" s="21">
        <f ca="1">_xll.IMDP("BND",CT160,DC8,CT3)</f>
        <v>20310210</v>
      </c>
      <c r="DD160" s="23">
        <f ca="1">_xll.IMDP("BND",CT160,DD8,CT3)</f>
        <v>4.3090000000000002</v>
      </c>
      <c r="DE160" s="2"/>
      <c r="DO160" s="21" t="str">
        <f ca="1">_xll.IMDP("BND",DF160,DO8,DF3)</f>
        <v>입력오류</v>
      </c>
      <c r="DP160" s="23" t="str">
        <f ca="1">_xll.IMDP("BND",DF160,DP8,DF3)</f>
        <v>입력오류</v>
      </c>
      <c r="DQ160" s="2"/>
      <c r="EA160" s="21" t="str">
        <f ca="1">_xll.IMDP("BND",DR160,EA8,DR3)</f>
        <v>입력오류</v>
      </c>
      <c r="EB160" s="23" t="str">
        <f ca="1">_xll.IMDP("BND",DR160,EB8,DR3)</f>
        <v>입력오류</v>
      </c>
    </row>
    <row r="161" spans="1:132" ht="13.5" customHeight="1" x14ac:dyDescent="0.3">
      <c r="A161" s="2">
        <v>46198</v>
      </c>
      <c r="B161" s="3" t="s">
        <v>1849</v>
      </c>
      <c r="C161" s="3" t="s">
        <v>1850</v>
      </c>
      <c r="D161" s="3" t="s">
        <v>1851</v>
      </c>
      <c r="E161" s="3">
        <v>0</v>
      </c>
      <c r="F161" s="3">
        <v>0.24</v>
      </c>
      <c r="G161" s="3">
        <v>0</v>
      </c>
      <c r="H161" s="3">
        <v>261855</v>
      </c>
      <c r="I161" s="3">
        <v>9861.64</v>
      </c>
      <c r="J161" s="3">
        <v>1.6011</v>
      </c>
      <c r="K161" s="21">
        <f ca="1">_xll.IMDP("BND",B161,K8,B3)</f>
        <v>20280221</v>
      </c>
      <c r="L161" s="23">
        <f ca="1">_xll.IMDP("BND",B161,L8,B3)</f>
        <v>4.1180000000000003</v>
      </c>
      <c r="M161" s="2"/>
      <c r="W161" s="21" t="str">
        <f ca="1">_xll.IMDP("BND",N161,W8,N3)</f>
        <v>입력오류</v>
      </c>
      <c r="X161" s="23" t="str">
        <f ca="1">_xll.IMDP("BND",N161,X8,N3)</f>
        <v>입력오류</v>
      </c>
      <c r="Y161" s="2"/>
      <c r="AI161" s="21" t="str">
        <f ca="1">_xll.IMDP("BND",Z161,AI8,Z3)</f>
        <v>입력오류</v>
      </c>
      <c r="AJ161" s="23" t="str">
        <f ca="1">_xll.IMDP("BND",Z161,AJ8,Z3)</f>
        <v>입력오류</v>
      </c>
      <c r="AK161" s="2"/>
      <c r="AU161" s="21" t="str">
        <f ca="1">_xll.IMDP("BND",AL161,AU8,AL3)</f>
        <v>입력오류</v>
      </c>
      <c r="AV161" s="23" t="str">
        <f ca="1">_xll.IMDP("BND",AL161,AV8,AL3)</f>
        <v>입력오류</v>
      </c>
      <c r="AW161" s="2"/>
      <c r="BG161" s="21" t="str">
        <f ca="1">_xll.IMDP("BND",AX161,BG8,AX3)</f>
        <v>입력오류</v>
      </c>
      <c r="BH161" s="23" t="str">
        <f ca="1">_xll.IMDP("BND",AX161,BH8,AX3)</f>
        <v>입력오류</v>
      </c>
      <c r="BI161" s="2">
        <v>46198</v>
      </c>
      <c r="BJ161" s="3" t="s">
        <v>1477</v>
      </c>
      <c r="BK161" s="3" t="s">
        <v>1385</v>
      </c>
      <c r="BL161" s="3" t="s">
        <v>1478</v>
      </c>
      <c r="BM161" s="3">
        <v>0</v>
      </c>
      <c r="BN161" s="3">
        <v>0.14000000000000001</v>
      </c>
      <c r="BO161" s="3">
        <v>0</v>
      </c>
      <c r="BP161" s="3">
        <v>173659</v>
      </c>
      <c r="BQ161" s="3">
        <v>10096.01</v>
      </c>
      <c r="BR161" s="3">
        <v>0.5776</v>
      </c>
      <c r="BS161" s="21">
        <f ca="1">_xll.IMDP("BND",BJ161,BS8,BJ3)</f>
        <v>20270127</v>
      </c>
      <c r="BT161" s="23">
        <f ca="1">_xll.IMDP("BND",BJ161,BT8,BJ3)</f>
        <v>3.488</v>
      </c>
      <c r="BU161" s="2">
        <v>46198</v>
      </c>
      <c r="BV161" s="3" t="s">
        <v>2337</v>
      </c>
      <c r="BW161" s="3" t="s">
        <v>1180</v>
      </c>
      <c r="BX161" s="3" t="s">
        <v>1181</v>
      </c>
      <c r="BY161" s="3">
        <v>0</v>
      </c>
      <c r="BZ161" s="3">
        <v>0.01</v>
      </c>
      <c r="CA161" s="3">
        <v>0</v>
      </c>
      <c r="CB161" s="3">
        <v>18784</v>
      </c>
      <c r="CE161" s="21" t="str">
        <f ca="1">_xll.IMDP("BND",BV161,CE8,BV3)</f>
        <v/>
      </c>
      <c r="CF161" s="23" t="str">
        <f ca="1">_xll.IMDP("BND",BV161,CF8,BV3)</f>
        <v/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">
        <v>46198</v>
      </c>
      <c r="CT161" s="3" t="s">
        <v>38</v>
      </c>
      <c r="CU161" s="3" t="s">
        <v>29</v>
      </c>
      <c r="CV161" s="3" t="s">
        <v>2439</v>
      </c>
      <c r="CW161" s="3">
        <v>0</v>
      </c>
      <c r="CX161" s="3">
        <v>0.19</v>
      </c>
      <c r="CY161" s="3">
        <v>0</v>
      </c>
      <c r="CZ161" s="3">
        <v>277628</v>
      </c>
      <c r="DA161" s="3">
        <v>10014.459999999999</v>
      </c>
      <c r="DB161" s="3">
        <v>6.3571</v>
      </c>
      <c r="DC161" s="21">
        <f ca="1">_xll.IMDP("BND",CT161,DC8,CT3)</f>
        <v>20331210</v>
      </c>
      <c r="DD161" s="23">
        <f ca="1">_xll.IMDP("BND",CT161,DD8,CT3)</f>
        <v>4.1280000000000001</v>
      </c>
      <c r="DE161" s="2"/>
      <c r="DO161" s="21" t="str">
        <f ca="1">_xll.IMDP("BND",DF161,DO8,DF3)</f>
        <v>입력오류</v>
      </c>
      <c r="DP161" s="23" t="str">
        <f ca="1">_xll.IMDP("BND",DF161,DP8,DF3)</f>
        <v>입력오류</v>
      </c>
      <c r="DQ161" s="2"/>
      <c r="EA161" s="21" t="str">
        <f ca="1">_xll.IMDP("BND",DR161,EA8,DR3)</f>
        <v>입력오류</v>
      </c>
      <c r="EB161" s="23" t="str">
        <f ca="1">_xll.IMDP("BND",DR161,EB8,DR3)</f>
        <v>입력오류</v>
      </c>
    </row>
    <row r="162" spans="1:132" ht="13.5" customHeight="1" x14ac:dyDescent="0.3">
      <c r="A162" s="2">
        <v>46198</v>
      </c>
      <c r="B162" s="3" t="s">
        <v>1852</v>
      </c>
      <c r="C162" s="3" t="s">
        <v>1825</v>
      </c>
      <c r="D162" s="3" t="s">
        <v>1853</v>
      </c>
      <c r="E162" s="3">
        <v>0</v>
      </c>
      <c r="F162" s="3">
        <v>0.24</v>
      </c>
      <c r="G162" s="3">
        <v>0</v>
      </c>
      <c r="H162" s="3">
        <v>261818</v>
      </c>
      <c r="I162" s="3">
        <v>9858.83</v>
      </c>
      <c r="J162" s="3">
        <v>2.819</v>
      </c>
      <c r="K162" s="21">
        <f ca="1">_xll.IMDP("BND",B162,K8,B3)</f>
        <v>20290628</v>
      </c>
      <c r="L162" s="23">
        <f ca="1">_xll.IMDP("BND",B162,L8,B3)</f>
        <v>4.1840000000000002</v>
      </c>
      <c r="M162" s="2"/>
      <c r="W162" s="21" t="str">
        <f ca="1">_xll.IMDP("BND",N162,W8,N3)</f>
        <v>입력오류</v>
      </c>
      <c r="X162" s="23" t="str">
        <f ca="1">_xll.IMDP("BND",N162,X8,N3)</f>
        <v>입력오류</v>
      </c>
      <c r="Y162" s="2"/>
      <c r="AI162" s="21" t="str">
        <f ca="1">_xll.IMDP("BND",Z162,AI8,Z3)</f>
        <v>입력오류</v>
      </c>
      <c r="AJ162" s="23" t="str">
        <f ca="1">_xll.IMDP("BND",Z162,AJ8,Z3)</f>
        <v>입력오류</v>
      </c>
      <c r="AK162" s="2"/>
      <c r="AU162" s="21" t="str">
        <f ca="1">_xll.IMDP("BND",AL162,AU8,AL3)</f>
        <v>입력오류</v>
      </c>
      <c r="AV162" s="23" t="str">
        <f ca="1">_xll.IMDP("BND",AL162,AV8,AL3)</f>
        <v>입력오류</v>
      </c>
      <c r="AW162" s="2"/>
      <c r="BG162" s="21" t="str">
        <f ca="1">_xll.IMDP("BND",AX162,BG8,AX3)</f>
        <v>입력오류</v>
      </c>
      <c r="BH162" s="23" t="str">
        <f ca="1">_xll.IMDP("BND",AX162,BH8,AX3)</f>
        <v>입력오류</v>
      </c>
      <c r="BI162" s="2">
        <v>46198</v>
      </c>
      <c r="BJ162" s="3" t="s">
        <v>1031</v>
      </c>
      <c r="BK162" s="3" t="s">
        <v>1032</v>
      </c>
      <c r="BL162" s="3" t="s">
        <v>1033</v>
      </c>
      <c r="BM162" s="3">
        <v>0</v>
      </c>
      <c r="BN162" s="3">
        <v>0.14000000000000001</v>
      </c>
      <c r="BO162" s="3">
        <v>0</v>
      </c>
      <c r="BP162" s="3">
        <v>173515</v>
      </c>
      <c r="BQ162" s="3">
        <v>10002.89</v>
      </c>
      <c r="BR162" s="3">
        <v>0.24410000000000001</v>
      </c>
      <c r="BS162" s="21">
        <f ca="1">_xll.IMDP("BND",BJ162,BS8,BJ3)</f>
        <v>20260923</v>
      </c>
      <c r="BT162" s="23">
        <f ca="1">_xll.IMDP("BND",BJ162,BT8,BJ3)</f>
        <v>3.2549999999999999</v>
      </c>
      <c r="BU162" s="2">
        <v>46198</v>
      </c>
      <c r="BV162" s="3" t="s">
        <v>2339</v>
      </c>
      <c r="BW162" s="3" t="s">
        <v>704</v>
      </c>
      <c r="BX162" s="3" t="s">
        <v>705</v>
      </c>
      <c r="BY162" s="3">
        <v>0</v>
      </c>
      <c r="BZ162" s="3">
        <v>0.01</v>
      </c>
      <c r="CA162" s="3">
        <v>0</v>
      </c>
      <c r="CB162" s="3">
        <v>18734</v>
      </c>
      <c r="CE162" s="21" t="str">
        <f ca="1">_xll.IMDP("BND",BV162,CE8,BV3)</f>
        <v/>
      </c>
      <c r="CF162" s="23" t="str">
        <f ca="1">_xll.IMDP("BND",BV162,CF8,BV3)</f>
        <v/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">
        <v>46198</v>
      </c>
      <c r="CT162" s="3" t="s">
        <v>2440</v>
      </c>
      <c r="CU162" s="3" t="s">
        <v>1513</v>
      </c>
      <c r="CV162" s="3" t="s">
        <v>2441</v>
      </c>
      <c r="CW162" s="3">
        <v>0</v>
      </c>
      <c r="CX162" s="3">
        <v>0.19</v>
      </c>
      <c r="CY162" s="3">
        <v>0</v>
      </c>
      <c r="CZ162" s="3">
        <v>275633</v>
      </c>
      <c r="DA162" s="3">
        <v>9837.7199999999993</v>
      </c>
      <c r="DB162" s="3">
        <v>1.5212000000000001</v>
      </c>
      <c r="DC162" s="21">
        <f ca="1">_xll.IMDP("BND",CT162,DC8,CT3)</f>
        <v>20280121</v>
      </c>
      <c r="DD162" s="23">
        <f ca="1">_xll.IMDP("BND",CT162,DD8,CT3)</f>
        <v>4.2839999999999998</v>
      </c>
      <c r="DE162" s="2"/>
      <c r="DO162" s="21" t="str">
        <f ca="1">_xll.IMDP("BND",DF162,DO8,DF3)</f>
        <v>입력오류</v>
      </c>
      <c r="DP162" s="23" t="str">
        <f ca="1">_xll.IMDP("BND",DF162,DP8,DF3)</f>
        <v>입력오류</v>
      </c>
      <c r="DQ162" s="2"/>
      <c r="EA162" s="21" t="str">
        <f ca="1">_xll.IMDP("BND",DR162,EA8,DR3)</f>
        <v>입력오류</v>
      </c>
      <c r="EB162" s="23" t="str">
        <f ca="1">_xll.IMDP("BND",DR162,EB8,DR3)</f>
        <v>입력오류</v>
      </c>
    </row>
    <row r="163" spans="1:132" ht="13.5" customHeight="1" x14ac:dyDescent="0.3">
      <c r="A163" s="2">
        <v>46198</v>
      </c>
      <c r="B163" s="3" t="s">
        <v>1854</v>
      </c>
      <c r="C163" s="3" t="s">
        <v>1855</v>
      </c>
      <c r="D163" s="3" t="s">
        <v>1856</v>
      </c>
      <c r="E163" s="3">
        <v>0</v>
      </c>
      <c r="F163" s="3">
        <v>0.24</v>
      </c>
      <c r="G163" s="3">
        <v>0</v>
      </c>
      <c r="H163" s="3">
        <v>261666</v>
      </c>
      <c r="I163" s="3">
        <v>9854.57</v>
      </c>
      <c r="J163" s="3">
        <v>2.4300000000000002</v>
      </c>
      <c r="K163" s="21">
        <f ca="1">_xll.IMDP("BND",B163,K8,B3)</f>
        <v>20290119</v>
      </c>
      <c r="L163" s="23">
        <f ca="1">_xll.IMDP("BND",B163,L8,B3)</f>
        <v>4.2539999999999996</v>
      </c>
      <c r="M163" s="2"/>
      <c r="W163" s="21" t="str">
        <f ca="1">_xll.IMDP("BND",N163,W8,N3)</f>
        <v>입력오류</v>
      </c>
      <c r="X163" s="23" t="str">
        <f ca="1">_xll.IMDP("BND",N163,X8,N3)</f>
        <v>입력오류</v>
      </c>
      <c r="Y163" s="2"/>
      <c r="AI163" s="21" t="str">
        <f ca="1">_xll.IMDP("BND",Z163,AI8,Z3)</f>
        <v>입력오류</v>
      </c>
      <c r="AJ163" s="23" t="str">
        <f ca="1">_xll.IMDP("BND",Z163,AJ8,Z3)</f>
        <v>입력오류</v>
      </c>
      <c r="AK163" s="2"/>
      <c r="AU163" s="21" t="str">
        <f ca="1">_xll.IMDP("BND",AL163,AU8,AL3)</f>
        <v>입력오류</v>
      </c>
      <c r="AV163" s="23" t="str">
        <f ca="1">_xll.IMDP("BND",AL163,AV8,AL3)</f>
        <v>입력오류</v>
      </c>
      <c r="AW163" s="2"/>
      <c r="BG163" s="21" t="str">
        <f ca="1">_xll.IMDP("BND",AX163,BG8,AX3)</f>
        <v>입력오류</v>
      </c>
      <c r="BH163" s="23" t="str">
        <f ca="1">_xll.IMDP("BND",AX163,BH8,AX3)</f>
        <v>입력오류</v>
      </c>
      <c r="BI163" s="2">
        <v>46198</v>
      </c>
      <c r="BJ163" s="3" t="s">
        <v>1479</v>
      </c>
      <c r="BK163" s="3" t="s">
        <v>1480</v>
      </c>
      <c r="BL163" s="3" t="s">
        <v>1481</v>
      </c>
      <c r="BM163" s="3">
        <v>0</v>
      </c>
      <c r="BN163" s="3">
        <v>0.14000000000000001</v>
      </c>
      <c r="BO163" s="3">
        <v>0</v>
      </c>
      <c r="BP163" s="3">
        <v>173456</v>
      </c>
      <c r="BQ163" s="3">
        <v>10083.94</v>
      </c>
      <c r="BR163" s="3">
        <v>0.40620000000000001</v>
      </c>
      <c r="BS163" s="21">
        <f ca="1">_xll.IMDP("BND",BJ163,BS8,BJ3)</f>
        <v>20261123</v>
      </c>
      <c r="BT163" s="23">
        <f ca="1">_xll.IMDP("BND",BJ163,BT8,BJ3)</f>
        <v>3.3439999999999999</v>
      </c>
      <c r="BU163" s="2">
        <v>46198</v>
      </c>
      <c r="BV163" s="3" t="s">
        <v>2340</v>
      </c>
      <c r="BW163" s="3" t="s">
        <v>1157</v>
      </c>
      <c r="BX163" s="3" t="s">
        <v>1158</v>
      </c>
      <c r="BY163" s="3">
        <v>0</v>
      </c>
      <c r="BZ163" s="3">
        <v>0.01</v>
      </c>
      <c r="CA163" s="3">
        <v>0</v>
      </c>
      <c r="CB163" s="3">
        <v>18706</v>
      </c>
      <c r="CE163" s="21" t="str">
        <f ca="1">_xll.IMDP("BND",BV163,CE8,BV3)</f>
        <v/>
      </c>
      <c r="CF163" s="23" t="str">
        <f ca="1">_xll.IMDP("BND",BV163,CF8,BV3)</f>
        <v/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">
        <v>46198</v>
      </c>
      <c r="CT163" s="3" t="s">
        <v>2442</v>
      </c>
      <c r="CU163" s="3" t="s">
        <v>1763</v>
      </c>
      <c r="CV163" s="3" t="s">
        <v>2443</v>
      </c>
      <c r="CW163" s="3">
        <v>0</v>
      </c>
      <c r="CX163" s="3">
        <v>0.18</v>
      </c>
      <c r="CY163" s="3">
        <v>0</v>
      </c>
      <c r="CZ163" s="3">
        <v>257559</v>
      </c>
      <c r="DA163" s="3">
        <v>10028.379999999999</v>
      </c>
      <c r="DB163" s="3">
        <v>0.3024</v>
      </c>
      <c r="DC163" s="21">
        <f ca="1">_xll.IMDP("BND",CT163,DC8,CT3)</f>
        <v>20261015</v>
      </c>
      <c r="DD163" s="23">
        <f ca="1">_xll.IMDP("BND",CT163,DD8,CT3)</f>
        <v>3.2919999999999998</v>
      </c>
      <c r="DE163" s="2"/>
      <c r="DO163" s="21" t="str">
        <f ca="1">_xll.IMDP("BND",DF163,DO8,DF3)</f>
        <v>입력오류</v>
      </c>
      <c r="DP163" s="23" t="str">
        <f ca="1">_xll.IMDP("BND",DF163,DP8,DF3)</f>
        <v>입력오류</v>
      </c>
      <c r="DQ163" s="2"/>
      <c r="EA163" s="21" t="str">
        <f ca="1">_xll.IMDP("BND",DR163,EA8,DR3)</f>
        <v>입력오류</v>
      </c>
      <c r="EB163" s="23" t="str">
        <f ca="1">_xll.IMDP("BND",DR163,EB8,DR3)</f>
        <v>입력오류</v>
      </c>
    </row>
    <row r="164" spans="1:132" ht="13.5" customHeight="1" x14ac:dyDescent="0.3">
      <c r="A164" s="2">
        <v>46198</v>
      </c>
      <c r="B164" s="3" t="s">
        <v>1857</v>
      </c>
      <c r="C164" s="3" t="s">
        <v>811</v>
      </c>
      <c r="D164" s="3" t="s">
        <v>1858</v>
      </c>
      <c r="E164" s="3">
        <v>0</v>
      </c>
      <c r="F164" s="3">
        <v>0.24</v>
      </c>
      <c r="G164" s="3">
        <v>0</v>
      </c>
      <c r="H164" s="3">
        <v>261539</v>
      </c>
      <c r="I164" s="3">
        <v>9849.1299999999992</v>
      </c>
      <c r="J164" s="3">
        <v>1.5773999999999999</v>
      </c>
      <c r="K164" s="21">
        <f ca="1">_xll.IMDP("BND",B164,K8,B3)</f>
        <v>20280211</v>
      </c>
      <c r="L164" s="23">
        <f ca="1">_xll.IMDP("BND",B164,L8,B3)</f>
        <v>4.109</v>
      </c>
      <c r="M164" s="2"/>
      <c r="W164" s="21" t="str">
        <f ca="1">_xll.IMDP("BND",N164,W8,N3)</f>
        <v>입력오류</v>
      </c>
      <c r="X164" s="23" t="str">
        <f ca="1">_xll.IMDP("BND",N164,X8,N3)</f>
        <v>입력오류</v>
      </c>
      <c r="Y164" s="2"/>
      <c r="AI164" s="21" t="str">
        <f ca="1">_xll.IMDP("BND",Z164,AI8,Z3)</f>
        <v>입력오류</v>
      </c>
      <c r="AJ164" s="23" t="str">
        <f ca="1">_xll.IMDP("BND",Z164,AJ8,Z3)</f>
        <v>입력오류</v>
      </c>
      <c r="AK164" s="2"/>
      <c r="AU164" s="21" t="str">
        <f ca="1">_xll.IMDP("BND",AL164,AU8,AL3)</f>
        <v>입력오류</v>
      </c>
      <c r="AV164" s="23" t="str">
        <f ca="1">_xll.IMDP("BND",AL164,AV8,AL3)</f>
        <v>입력오류</v>
      </c>
      <c r="AW164" s="2"/>
      <c r="BG164" s="21" t="str">
        <f ca="1">_xll.IMDP("BND",AX164,BG8,AX3)</f>
        <v>입력오류</v>
      </c>
      <c r="BH164" s="23" t="str">
        <f ca="1">_xll.IMDP("BND",AX164,BH8,AX3)</f>
        <v>입력오류</v>
      </c>
      <c r="BI164" s="2">
        <v>46198</v>
      </c>
      <c r="BJ164" s="3" t="s">
        <v>1482</v>
      </c>
      <c r="BK164" s="3" t="s">
        <v>1483</v>
      </c>
      <c r="BL164" s="3" t="s">
        <v>1484</v>
      </c>
      <c r="BM164" s="3">
        <v>0</v>
      </c>
      <c r="BN164" s="3">
        <v>0.14000000000000001</v>
      </c>
      <c r="BO164" s="3">
        <v>0</v>
      </c>
      <c r="BP164" s="3">
        <v>173453</v>
      </c>
      <c r="BQ164" s="3">
        <v>10083.74</v>
      </c>
      <c r="BR164" s="3">
        <v>9.8199999999999996E-2</v>
      </c>
      <c r="BS164" s="21">
        <f ca="1">_xll.IMDP("BND",BJ164,BS8,BJ3)</f>
        <v>20260731</v>
      </c>
      <c r="BT164" s="23">
        <f ca="1">_xll.IMDP("BND",BJ164,BT8,BJ3)</f>
        <v>3.1930000000000001</v>
      </c>
      <c r="BU164" s="2">
        <v>46198</v>
      </c>
      <c r="BV164" s="3" t="s">
        <v>7</v>
      </c>
      <c r="BW164" s="3" t="s">
        <v>7</v>
      </c>
      <c r="BX164" s="3" t="s">
        <v>46</v>
      </c>
      <c r="BZ164" s="3">
        <v>9.6</v>
      </c>
      <c r="CB164" s="3">
        <v>-12847894</v>
      </c>
      <c r="CE164" s="21" t="str">
        <f ca="1">_xll.IMDP("BND",BV164,CE8,BV3)</f>
        <v/>
      </c>
      <c r="CF164" s="23" t="str">
        <f ca="1">_xll.IMDP("BND",BV164,CF8,BV3)</f>
        <v/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">
        <v>46198</v>
      </c>
      <c r="CT164" s="3" t="s">
        <v>2444</v>
      </c>
      <c r="CU164" s="3" t="s">
        <v>2000</v>
      </c>
      <c r="CV164" s="3" t="s">
        <v>2445</v>
      </c>
      <c r="CW164" s="3">
        <v>0</v>
      </c>
      <c r="CX164" s="3">
        <v>0.16</v>
      </c>
      <c r="CY164" s="3">
        <v>0</v>
      </c>
      <c r="CZ164" s="3">
        <v>236353</v>
      </c>
      <c r="DA164" s="3">
        <v>10125.51</v>
      </c>
      <c r="DB164" s="3">
        <v>7.9309000000000003</v>
      </c>
      <c r="DC164" s="21">
        <f ca="1">_xll.IMDP("BND",CT164,DC8,CT3)</f>
        <v>20360612</v>
      </c>
      <c r="DD164" s="23">
        <f ca="1">_xll.IMDP("BND",CT164,DD8,CT3)</f>
        <v>4.4580000000000002</v>
      </c>
      <c r="DE164" s="2"/>
      <c r="DO164" s="21" t="str">
        <f ca="1">_xll.IMDP("BND",DF164,DO8,DF3)</f>
        <v>입력오류</v>
      </c>
      <c r="DP164" s="23" t="str">
        <f ca="1">_xll.IMDP("BND",DF164,DP8,DF3)</f>
        <v>입력오류</v>
      </c>
      <c r="DQ164" s="2"/>
      <c r="EA164" s="21" t="str">
        <f ca="1">_xll.IMDP("BND",DR164,EA8,DR3)</f>
        <v>입력오류</v>
      </c>
      <c r="EB164" s="23" t="str">
        <f ca="1">_xll.IMDP("BND",DR164,EB8,DR3)</f>
        <v>입력오류</v>
      </c>
    </row>
    <row r="165" spans="1:132" ht="13.5" customHeight="1" x14ac:dyDescent="0.3">
      <c r="A165" s="2">
        <v>46198</v>
      </c>
      <c r="B165" s="3" t="s">
        <v>1859</v>
      </c>
      <c r="C165" s="3" t="s">
        <v>1606</v>
      </c>
      <c r="D165" s="3" t="s">
        <v>1860</v>
      </c>
      <c r="E165" s="3">
        <v>0</v>
      </c>
      <c r="F165" s="3">
        <v>0.24</v>
      </c>
      <c r="G165" s="3">
        <v>0</v>
      </c>
      <c r="H165" s="3">
        <v>261506</v>
      </c>
      <c r="I165" s="3">
        <v>9848.1</v>
      </c>
      <c r="J165" s="3">
        <v>1.1826000000000001</v>
      </c>
      <c r="K165" s="21">
        <f ca="1">_xll.IMDP("BND",B165,K8,B3)</f>
        <v>20270910</v>
      </c>
      <c r="L165" s="23">
        <f ca="1">_xll.IMDP("BND",B165,L8,B3)</f>
        <v>4.1440000000000001</v>
      </c>
      <c r="M165" s="2"/>
      <c r="W165" s="21" t="str">
        <f ca="1">_xll.IMDP("BND",N165,W8,N3)</f>
        <v>입력오류</v>
      </c>
      <c r="X165" s="23" t="str">
        <f ca="1">_xll.IMDP("BND",N165,X8,N3)</f>
        <v>입력오류</v>
      </c>
      <c r="Y165" s="2"/>
      <c r="AI165" s="21" t="str">
        <f ca="1">_xll.IMDP("BND",Z165,AI8,Z3)</f>
        <v>입력오류</v>
      </c>
      <c r="AJ165" s="23" t="str">
        <f ca="1">_xll.IMDP("BND",Z165,AJ8,Z3)</f>
        <v>입력오류</v>
      </c>
      <c r="AK165" s="2"/>
      <c r="AU165" s="21" t="str">
        <f ca="1">_xll.IMDP("BND",AL165,AU8,AL3)</f>
        <v>입력오류</v>
      </c>
      <c r="AV165" s="23" t="str">
        <f ca="1">_xll.IMDP("BND",AL165,AV8,AL3)</f>
        <v>입력오류</v>
      </c>
      <c r="AW165" s="2"/>
      <c r="BG165" s="21" t="str">
        <f ca="1">_xll.IMDP("BND",AX165,BG8,AX3)</f>
        <v>입력오류</v>
      </c>
      <c r="BH165" s="23" t="str">
        <f ca="1">_xll.IMDP("BND",AX165,BH8,AX3)</f>
        <v>입력오류</v>
      </c>
      <c r="BI165" s="2">
        <v>46198</v>
      </c>
      <c r="BJ165" s="3" t="s">
        <v>1485</v>
      </c>
      <c r="BK165" s="3" t="s">
        <v>1486</v>
      </c>
      <c r="BL165" s="3" t="s">
        <v>1487</v>
      </c>
      <c r="BM165" s="3">
        <v>0</v>
      </c>
      <c r="BN165" s="3">
        <v>0.14000000000000001</v>
      </c>
      <c r="BO165" s="3">
        <v>0</v>
      </c>
      <c r="BP165" s="3">
        <v>173377</v>
      </c>
      <c r="BQ165" s="3">
        <v>10079.08</v>
      </c>
      <c r="BR165" s="3">
        <v>0.32479999999999998</v>
      </c>
      <c r="BS165" s="21">
        <f ca="1">_xll.IMDP("BND",BJ165,BS8,BJ3)</f>
        <v>20261023</v>
      </c>
      <c r="BT165" s="23">
        <f ca="1">_xll.IMDP("BND",BJ165,BT8,BJ3)</f>
        <v>3.3109999999999999</v>
      </c>
      <c r="BU165" s="2"/>
      <c r="CE165" s="21" t="str">
        <f ca="1">_xll.IMDP("BND",BV165,CE8,BV3)</f>
        <v>입력오류</v>
      </c>
      <c r="CF165" s="23" t="str">
        <f ca="1">_xll.IMDP("BND",BV165,CF8,BV3)</f>
        <v>입력오류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">
        <v>46198</v>
      </c>
      <c r="CT165" s="3" t="s">
        <v>2446</v>
      </c>
      <c r="CU165" s="3" t="s">
        <v>2447</v>
      </c>
      <c r="CV165" s="3" t="s">
        <v>2448</v>
      </c>
      <c r="CW165" s="3">
        <v>0</v>
      </c>
      <c r="CX165" s="3">
        <v>0.16</v>
      </c>
      <c r="CY165" s="3">
        <v>0</v>
      </c>
      <c r="CZ165" s="3">
        <v>235090</v>
      </c>
      <c r="DA165" s="3">
        <v>9964.36</v>
      </c>
      <c r="DB165" s="3">
        <v>2.5487000000000002</v>
      </c>
      <c r="DC165" s="21">
        <f ca="1">_xll.IMDP("BND",CT165,DC8,CT3)</f>
        <v>20290323</v>
      </c>
      <c r="DD165" s="23">
        <f ca="1">_xll.IMDP("BND",CT165,DD8,CT3)</f>
        <v>4.38</v>
      </c>
      <c r="DE165" s="2"/>
      <c r="DO165" s="21" t="str">
        <f ca="1">_xll.IMDP("BND",DF165,DO8,DF3)</f>
        <v>입력오류</v>
      </c>
      <c r="DP165" s="23" t="str">
        <f ca="1">_xll.IMDP("BND",DF165,DP8,DF3)</f>
        <v>입력오류</v>
      </c>
      <c r="DQ165" s="2"/>
      <c r="EA165" s="21" t="str">
        <f ca="1">_xll.IMDP("BND",DR165,EA8,DR3)</f>
        <v>입력오류</v>
      </c>
      <c r="EB165" s="23" t="str">
        <f ca="1">_xll.IMDP("BND",DR165,EB8,DR3)</f>
        <v>입력오류</v>
      </c>
    </row>
    <row r="166" spans="1:132" ht="13.5" customHeight="1" x14ac:dyDescent="0.3">
      <c r="A166" s="2">
        <v>46198</v>
      </c>
      <c r="B166" s="3" t="s">
        <v>1861</v>
      </c>
      <c r="C166" s="3" t="s">
        <v>1862</v>
      </c>
      <c r="D166" s="3" t="s">
        <v>1863</v>
      </c>
      <c r="E166" s="3">
        <v>0</v>
      </c>
      <c r="F166" s="3">
        <v>0.23</v>
      </c>
      <c r="G166" s="3">
        <v>0</v>
      </c>
      <c r="H166" s="3">
        <v>261202</v>
      </c>
      <c r="I166" s="3">
        <v>9836.52</v>
      </c>
      <c r="J166" s="3">
        <v>1.8531</v>
      </c>
      <c r="K166" s="21">
        <f ca="1">_xll.IMDP("BND",B166,K8,B3)</f>
        <v>20280601</v>
      </c>
      <c r="L166" s="23">
        <f ca="1">_xll.IMDP("BND",B166,L8,B3)</f>
        <v>4.2919999999999998</v>
      </c>
      <c r="M166" s="2"/>
      <c r="W166" s="21" t="str">
        <f ca="1">_xll.IMDP("BND",N166,W8,N3)</f>
        <v>입력오류</v>
      </c>
      <c r="X166" s="23" t="str">
        <f ca="1">_xll.IMDP("BND",N166,X8,N3)</f>
        <v>입력오류</v>
      </c>
      <c r="Y166" s="2"/>
      <c r="AI166" s="21" t="str">
        <f ca="1">_xll.IMDP("BND",Z166,AI8,Z3)</f>
        <v>입력오류</v>
      </c>
      <c r="AJ166" s="23" t="str">
        <f ca="1">_xll.IMDP("BND",Z166,AJ8,Z3)</f>
        <v>입력오류</v>
      </c>
      <c r="AK166" s="2"/>
      <c r="AU166" s="21" t="str">
        <f ca="1">_xll.IMDP("BND",AL166,AU8,AL3)</f>
        <v>입력오류</v>
      </c>
      <c r="AV166" s="23" t="str">
        <f ca="1">_xll.IMDP("BND",AL166,AV8,AL3)</f>
        <v>입력오류</v>
      </c>
      <c r="AW166" s="2"/>
      <c r="BG166" s="21" t="str">
        <f ca="1">_xll.IMDP("BND",AX166,BG8,AX3)</f>
        <v>입력오류</v>
      </c>
      <c r="BH166" s="23" t="str">
        <f ca="1">_xll.IMDP("BND",AX166,BH8,AX3)</f>
        <v>입력오류</v>
      </c>
      <c r="BI166" s="2">
        <v>46198</v>
      </c>
      <c r="BJ166" s="3" t="s">
        <v>1488</v>
      </c>
      <c r="BK166" s="3" t="s">
        <v>1083</v>
      </c>
      <c r="BL166" s="3" t="s">
        <v>1489</v>
      </c>
      <c r="BM166" s="3">
        <v>0</v>
      </c>
      <c r="BN166" s="3">
        <v>0.14000000000000001</v>
      </c>
      <c r="BO166" s="3">
        <v>0</v>
      </c>
      <c r="BP166" s="3">
        <v>173319</v>
      </c>
      <c r="BQ166" s="3">
        <v>10075.709999999999</v>
      </c>
      <c r="BR166" s="3">
        <v>0.28420000000000001</v>
      </c>
      <c r="BS166" s="21">
        <f ca="1">_xll.IMDP("BND",BJ166,BS8,BJ3)</f>
        <v>20261008</v>
      </c>
      <c r="BT166" s="23">
        <f ca="1">_xll.IMDP("BND",BJ166,BT8,BJ3)</f>
        <v>3.298</v>
      </c>
      <c r="BU166" s="2"/>
      <c r="CE166" s="21" t="str">
        <f ca="1">_xll.IMDP("BND",BV166,CE8,BV3)</f>
        <v>입력오류</v>
      </c>
      <c r="CF166" s="23" t="str">
        <f ca="1">_xll.IMDP("BND",BV166,CF8,BV3)</f>
        <v>입력오류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">
        <v>46198</v>
      </c>
      <c r="CT166" s="3" t="s">
        <v>2449</v>
      </c>
      <c r="CU166" s="3" t="s">
        <v>2450</v>
      </c>
      <c r="CV166" s="3" t="s">
        <v>2451</v>
      </c>
      <c r="CW166" s="3">
        <v>0</v>
      </c>
      <c r="CX166" s="3">
        <v>0.16</v>
      </c>
      <c r="CY166" s="3">
        <v>0</v>
      </c>
      <c r="CZ166" s="3">
        <v>234936</v>
      </c>
      <c r="DA166" s="3">
        <v>10062.379999999999</v>
      </c>
      <c r="DB166" s="3">
        <v>0.17480000000000001</v>
      </c>
      <c r="DC166" s="21">
        <f ca="1">_xll.IMDP("BND",CT166,DC8,CT3)</f>
        <v>20260828</v>
      </c>
      <c r="DD166" s="23">
        <f ca="1">_xll.IMDP("BND",CT166,DD8,CT3)</f>
        <v>3.2240000000000002</v>
      </c>
      <c r="DE166" s="2"/>
      <c r="DO166" s="21" t="str">
        <f ca="1">_xll.IMDP("BND",DF166,DO8,DF3)</f>
        <v>입력오류</v>
      </c>
      <c r="DP166" s="23" t="str">
        <f ca="1">_xll.IMDP("BND",DF166,DP8,DF3)</f>
        <v>입력오류</v>
      </c>
      <c r="DQ166" s="2"/>
      <c r="EA166" s="21" t="str">
        <f ca="1">_xll.IMDP("BND",DR166,EA8,DR3)</f>
        <v>입력오류</v>
      </c>
      <c r="EB166" s="23" t="str">
        <f ca="1">_xll.IMDP("BND",DR166,EB8,DR3)</f>
        <v>입력오류</v>
      </c>
    </row>
    <row r="167" spans="1:132" ht="13.5" customHeight="1" x14ac:dyDescent="0.3">
      <c r="A167" s="2">
        <v>46198</v>
      </c>
      <c r="B167" s="3" t="s">
        <v>1864</v>
      </c>
      <c r="C167" s="3" t="s">
        <v>1865</v>
      </c>
      <c r="D167" s="3" t="s">
        <v>1866</v>
      </c>
      <c r="E167" s="3">
        <v>0</v>
      </c>
      <c r="F167" s="3">
        <v>0.23</v>
      </c>
      <c r="G167" s="3">
        <v>0</v>
      </c>
      <c r="H167" s="3">
        <v>261082</v>
      </c>
      <c r="I167" s="3">
        <v>9830.68</v>
      </c>
      <c r="J167" s="3">
        <v>4.1661999999999999</v>
      </c>
      <c r="K167" s="21">
        <f ca="1">_xll.IMDP("BND",B167,K8,B3)</f>
        <v>20310204</v>
      </c>
      <c r="L167" s="23">
        <f ca="1">_xll.IMDP("BND",B167,L8,B3)</f>
        <v>4.4660000000000002</v>
      </c>
      <c r="M167" s="2"/>
      <c r="W167" s="21" t="str">
        <f ca="1">_xll.IMDP("BND",N167,W8,N3)</f>
        <v>입력오류</v>
      </c>
      <c r="X167" s="23" t="str">
        <f ca="1">_xll.IMDP("BND",N167,X8,N3)</f>
        <v>입력오류</v>
      </c>
      <c r="Y167" s="2"/>
      <c r="AI167" s="21" t="str">
        <f ca="1">_xll.IMDP("BND",Z167,AI8,Z3)</f>
        <v>입력오류</v>
      </c>
      <c r="AJ167" s="23" t="str">
        <f ca="1">_xll.IMDP("BND",Z167,AJ8,Z3)</f>
        <v>입력오류</v>
      </c>
      <c r="AK167" s="2"/>
      <c r="AU167" s="21" t="str">
        <f ca="1">_xll.IMDP("BND",AL167,AU8,AL3)</f>
        <v>입력오류</v>
      </c>
      <c r="AV167" s="23" t="str">
        <f ca="1">_xll.IMDP("BND",AL167,AV8,AL3)</f>
        <v>입력오류</v>
      </c>
      <c r="AW167" s="2"/>
      <c r="BG167" s="21" t="str">
        <f ca="1">_xll.IMDP("BND",AX167,BG8,AX3)</f>
        <v>입력오류</v>
      </c>
      <c r="BH167" s="23" t="str">
        <f ca="1">_xll.IMDP("BND",AX167,BH8,AX3)</f>
        <v>입력오류</v>
      </c>
      <c r="BI167" s="2">
        <v>46198</v>
      </c>
      <c r="BJ167" s="3" t="s">
        <v>1490</v>
      </c>
      <c r="BK167" s="3" t="s">
        <v>1056</v>
      </c>
      <c r="BL167" s="3" t="s">
        <v>1491</v>
      </c>
      <c r="BM167" s="3">
        <v>0</v>
      </c>
      <c r="BN167" s="3">
        <v>0.14000000000000001</v>
      </c>
      <c r="BO167" s="3">
        <v>0</v>
      </c>
      <c r="BP167" s="3">
        <v>173311</v>
      </c>
      <c r="BQ167" s="3">
        <v>10075.25</v>
      </c>
      <c r="BR167" s="3">
        <v>0.28010000000000002</v>
      </c>
      <c r="BS167" s="21">
        <f ca="1">_xll.IMDP("BND",BJ167,BS8,BJ3)</f>
        <v>20261007</v>
      </c>
      <c r="BT167" s="23">
        <f ca="1">_xll.IMDP("BND",BJ167,BT8,BJ3)</f>
        <v>3.3359999999999999</v>
      </c>
      <c r="BU167" s="2"/>
      <c r="CE167" s="21" t="str">
        <f ca="1">_xll.IMDP("BND",BV167,CE8,BV3)</f>
        <v>입력오류</v>
      </c>
      <c r="CF167" s="23" t="str">
        <f ca="1">_xll.IMDP("BND",BV167,CF8,BV3)</f>
        <v>입력오류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">
        <v>46198</v>
      </c>
      <c r="CT167" s="3" t="s">
        <v>2452</v>
      </c>
      <c r="CU167" s="3" t="s">
        <v>2453</v>
      </c>
      <c r="CV167" s="3" t="s">
        <v>2454</v>
      </c>
      <c r="CW167" s="3">
        <v>0</v>
      </c>
      <c r="CX167" s="3">
        <v>0.16</v>
      </c>
      <c r="CY167" s="3">
        <v>0</v>
      </c>
      <c r="CZ167" s="3">
        <v>234199</v>
      </c>
      <c r="DA167" s="3">
        <v>10031.709999999999</v>
      </c>
      <c r="DB167" s="3">
        <v>2.7296</v>
      </c>
      <c r="DC167" s="21">
        <f ca="1">_xll.IMDP("BND",CT167,DC8,CT3)</f>
        <v>20290601</v>
      </c>
      <c r="DD167" s="23">
        <f ca="1">_xll.IMDP("BND",CT167,DD8,CT3)</f>
        <v>4.1559999999999997</v>
      </c>
      <c r="DE167" s="2"/>
      <c r="DO167" s="21" t="str">
        <f ca="1">_xll.IMDP("BND",DF167,DO8,DF3)</f>
        <v>입력오류</v>
      </c>
      <c r="DP167" s="23" t="str">
        <f ca="1">_xll.IMDP("BND",DF167,DP8,DF3)</f>
        <v>입력오류</v>
      </c>
      <c r="DQ167" s="2"/>
      <c r="EA167" s="21" t="str">
        <f ca="1">_xll.IMDP("BND",DR167,EA8,DR3)</f>
        <v>입력오류</v>
      </c>
      <c r="EB167" s="23" t="str">
        <f ca="1">_xll.IMDP("BND",DR167,EB8,DR3)</f>
        <v>입력오류</v>
      </c>
    </row>
    <row r="168" spans="1:132" ht="13.5" customHeight="1" x14ac:dyDescent="0.3">
      <c r="A168" s="2">
        <v>46198</v>
      </c>
      <c r="B168" s="3" t="s">
        <v>1867</v>
      </c>
      <c r="C168" s="3" t="s">
        <v>1868</v>
      </c>
      <c r="D168" s="3" t="s">
        <v>1869</v>
      </c>
      <c r="E168" s="3">
        <v>0</v>
      </c>
      <c r="F168" s="3">
        <v>0.23</v>
      </c>
      <c r="G168" s="3">
        <v>0</v>
      </c>
      <c r="H168" s="3">
        <v>261058</v>
      </c>
      <c r="I168" s="3">
        <v>9830.93</v>
      </c>
      <c r="J168" s="3">
        <v>1.5315000000000001</v>
      </c>
      <c r="K168" s="21">
        <f ca="1">_xll.IMDP("BND",B168,K8,B3)</f>
        <v>20280124</v>
      </c>
      <c r="L168" s="23">
        <f ca="1">_xll.IMDP("BND",B168,L8,B3)</f>
        <v>4.0650000000000004</v>
      </c>
      <c r="M168" s="2"/>
      <c r="W168" s="21" t="str">
        <f ca="1">_xll.IMDP("BND",N168,W8,N3)</f>
        <v>입력오류</v>
      </c>
      <c r="X168" s="23" t="str">
        <f ca="1">_xll.IMDP("BND",N168,X8,N3)</f>
        <v>입력오류</v>
      </c>
      <c r="Y168" s="2"/>
      <c r="AI168" s="21" t="str">
        <f ca="1">_xll.IMDP("BND",Z168,AI8,Z3)</f>
        <v>입력오류</v>
      </c>
      <c r="AJ168" s="23" t="str">
        <f ca="1">_xll.IMDP("BND",Z168,AJ8,Z3)</f>
        <v>입력오류</v>
      </c>
      <c r="AK168" s="2"/>
      <c r="AU168" s="21" t="str">
        <f ca="1">_xll.IMDP("BND",AL168,AU8,AL3)</f>
        <v>입력오류</v>
      </c>
      <c r="AV168" s="23" t="str">
        <f ca="1">_xll.IMDP("BND",AL168,AV8,AL3)</f>
        <v>입력오류</v>
      </c>
      <c r="AW168" s="2"/>
      <c r="BG168" s="21" t="str">
        <f ca="1">_xll.IMDP("BND",AX168,BG8,AX3)</f>
        <v>입력오류</v>
      </c>
      <c r="BH168" s="23" t="str">
        <f ca="1">_xll.IMDP("BND",AX168,BH8,AX3)</f>
        <v>입력오류</v>
      </c>
      <c r="BI168" s="2">
        <v>46198</v>
      </c>
      <c r="BJ168" s="3" t="s">
        <v>1492</v>
      </c>
      <c r="BK168" s="3" t="s">
        <v>1493</v>
      </c>
      <c r="BL168" s="3" t="s">
        <v>1494</v>
      </c>
      <c r="BM168" s="3">
        <v>0</v>
      </c>
      <c r="BN168" s="3">
        <v>0.14000000000000001</v>
      </c>
      <c r="BO168" s="3">
        <v>0</v>
      </c>
      <c r="BP168" s="3">
        <v>173277</v>
      </c>
      <c r="BQ168" s="3">
        <v>10073.280000000001</v>
      </c>
      <c r="BR168" s="3">
        <v>0.29499999999999998</v>
      </c>
      <c r="BS168" s="21">
        <f ca="1">_xll.IMDP("BND",BJ168,BS8,BJ3)</f>
        <v>20261012</v>
      </c>
      <c r="BT168" s="23">
        <f ca="1">_xll.IMDP("BND",BJ168,BT8,BJ3)</f>
        <v>3.286</v>
      </c>
      <c r="BU168" s="2"/>
      <c r="CE168" s="21" t="str">
        <f ca="1">_xll.IMDP("BND",BV168,CE8,BV3)</f>
        <v>입력오류</v>
      </c>
      <c r="CF168" s="23" t="str">
        <f ca="1">_xll.IMDP("BND",BV168,CF8,BV3)</f>
        <v>입력오류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">
        <v>46198</v>
      </c>
      <c r="CT168" s="3" t="s">
        <v>2457</v>
      </c>
      <c r="CU168" s="3" t="s">
        <v>1235</v>
      </c>
      <c r="CV168" s="3" t="s">
        <v>2458</v>
      </c>
      <c r="CW168" s="3">
        <v>0</v>
      </c>
      <c r="CX168" s="3">
        <v>0.16</v>
      </c>
      <c r="CY168" s="3">
        <v>0</v>
      </c>
      <c r="CZ168" s="3">
        <v>233028</v>
      </c>
      <c r="DC168" s="21" t="str">
        <f ca="1">_xll.IMDP("BND",CT168,DC8,CT3)</f>
        <v/>
      </c>
      <c r="DD168" s="23" t="str">
        <f ca="1">_xll.IMDP("BND",CT168,DD8,CT3)</f>
        <v/>
      </c>
      <c r="DE168" s="2"/>
      <c r="DO168" s="21" t="str">
        <f ca="1">_xll.IMDP("BND",DF168,DO8,DF3)</f>
        <v>입력오류</v>
      </c>
      <c r="DP168" s="23" t="str">
        <f ca="1">_xll.IMDP("BND",DF168,DP8,DF3)</f>
        <v>입력오류</v>
      </c>
      <c r="DQ168" s="2"/>
      <c r="EA168" s="21" t="str">
        <f ca="1">_xll.IMDP("BND",DR168,EA8,DR3)</f>
        <v>입력오류</v>
      </c>
      <c r="EB168" s="23" t="str">
        <f ca="1">_xll.IMDP("BND",DR168,EB8,DR3)</f>
        <v>입력오류</v>
      </c>
    </row>
    <row r="169" spans="1:132" ht="13.5" customHeight="1" x14ac:dyDescent="0.3">
      <c r="A169" s="2">
        <v>46198</v>
      </c>
      <c r="B169" s="3" t="s">
        <v>1870</v>
      </c>
      <c r="C169" s="3" t="s">
        <v>1871</v>
      </c>
      <c r="D169" s="3" t="s">
        <v>1872</v>
      </c>
      <c r="E169" s="3">
        <v>0</v>
      </c>
      <c r="F169" s="3">
        <v>0.23</v>
      </c>
      <c r="G169" s="3">
        <v>0</v>
      </c>
      <c r="H169" s="3">
        <v>261025</v>
      </c>
      <c r="I169" s="3">
        <v>9829.85</v>
      </c>
      <c r="J169" s="3">
        <v>1.6176999999999999</v>
      </c>
      <c r="K169" s="21">
        <f ca="1">_xll.IMDP("BND",B169,K8,B3)</f>
        <v>20280226</v>
      </c>
      <c r="L169" s="23">
        <f ca="1">_xll.IMDP("BND",B169,L8,B3)</f>
        <v>4.048</v>
      </c>
      <c r="M169" s="2"/>
      <c r="W169" s="21" t="str">
        <f ca="1">_xll.IMDP("BND",N169,W8,N3)</f>
        <v>입력오류</v>
      </c>
      <c r="X169" s="23" t="str">
        <f ca="1">_xll.IMDP("BND",N169,X8,N3)</f>
        <v>입력오류</v>
      </c>
      <c r="Y169" s="2"/>
      <c r="AI169" s="21" t="str">
        <f ca="1">_xll.IMDP("BND",Z169,AI8,Z3)</f>
        <v>입력오류</v>
      </c>
      <c r="AJ169" s="23" t="str">
        <f ca="1">_xll.IMDP("BND",Z169,AJ8,Z3)</f>
        <v>입력오류</v>
      </c>
      <c r="AK169" s="2"/>
      <c r="AU169" s="21" t="str">
        <f ca="1">_xll.IMDP("BND",AL169,AU8,AL3)</f>
        <v>입력오류</v>
      </c>
      <c r="AV169" s="23" t="str">
        <f ca="1">_xll.IMDP("BND",AL169,AV8,AL3)</f>
        <v>입력오류</v>
      </c>
      <c r="AW169" s="2"/>
      <c r="BG169" s="21" t="str">
        <f ca="1">_xll.IMDP("BND",AX169,BG8,AX3)</f>
        <v>입력오류</v>
      </c>
      <c r="BH169" s="23" t="str">
        <f ca="1">_xll.IMDP("BND",AX169,BH8,AX3)</f>
        <v>입력오류</v>
      </c>
      <c r="BI169" s="2">
        <v>46198</v>
      </c>
      <c r="BJ169" s="3" t="s">
        <v>1495</v>
      </c>
      <c r="BK169" s="3" t="s">
        <v>185</v>
      </c>
      <c r="BL169" s="3" t="s">
        <v>1496</v>
      </c>
      <c r="BM169" s="3">
        <v>0</v>
      </c>
      <c r="BN169" s="3">
        <v>0.14000000000000001</v>
      </c>
      <c r="BO169" s="3">
        <v>0</v>
      </c>
      <c r="BP169" s="3">
        <v>173162</v>
      </c>
      <c r="BQ169" s="3">
        <v>10066.6</v>
      </c>
      <c r="BR169" s="3">
        <v>0.32090000000000002</v>
      </c>
      <c r="BS169" s="21">
        <f ca="1">_xll.IMDP("BND",BJ169,BS8,BJ3)</f>
        <v>20261022</v>
      </c>
      <c r="BT169" s="23">
        <f ca="1">_xll.IMDP("BND",BJ169,BT8,BJ3)</f>
        <v>3.3029999999999999</v>
      </c>
      <c r="BU169" s="2"/>
      <c r="CE169" s="21" t="str">
        <f ca="1">_xll.IMDP("BND",BV169,CE8,BV3)</f>
        <v>입력오류</v>
      </c>
      <c r="CF169" s="23" t="str">
        <f ca="1">_xll.IMDP("BND",BV169,CF8,BV3)</f>
        <v>입력오류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">
        <v>46198</v>
      </c>
      <c r="CT169" s="3" t="s">
        <v>2455</v>
      </c>
      <c r="CU169" s="3" t="s">
        <v>92</v>
      </c>
      <c r="CV169" s="3" t="s">
        <v>2456</v>
      </c>
      <c r="CW169" s="3">
        <v>0</v>
      </c>
      <c r="CX169" s="3">
        <v>0.16</v>
      </c>
      <c r="CY169" s="3">
        <v>0</v>
      </c>
      <c r="CZ169" s="3">
        <v>232978</v>
      </c>
      <c r="DA169" s="3">
        <v>9978.48</v>
      </c>
      <c r="DB169" s="3">
        <v>4.3810000000000002</v>
      </c>
      <c r="DC169" s="21">
        <f ca="1">_xll.IMDP("BND",CT169,DC8,CT3)</f>
        <v>20310514</v>
      </c>
      <c r="DD169" s="23">
        <f ca="1">_xll.IMDP("BND",CT169,DD8,CT3)</f>
        <v>4.2910000000000004</v>
      </c>
      <c r="DE169" s="2"/>
      <c r="DO169" s="21" t="str">
        <f ca="1">_xll.IMDP("BND",DF169,DO8,DF3)</f>
        <v>입력오류</v>
      </c>
      <c r="DP169" s="23" t="str">
        <f ca="1">_xll.IMDP("BND",DF169,DP8,DF3)</f>
        <v>입력오류</v>
      </c>
      <c r="DQ169" s="2"/>
      <c r="EA169" s="21" t="str">
        <f ca="1">_xll.IMDP("BND",DR169,EA8,DR3)</f>
        <v>입력오류</v>
      </c>
      <c r="EB169" s="23" t="str">
        <f ca="1">_xll.IMDP("BND",DR169,EB8,DR3)</f>
        <v>입력오류</v>
      </c>
    </row>
    <row r="170" spans="1:132" ht="13.5" customHeight="1" x14ac:dyDescent="0.3">
      <c r="A170" s="2">
        <v>46198</v>
      </c>
      <c r="B170" s="3" t="s">
        <v>1873</v>
      </c>
      <c r="C170" s="3" t="s">
        <v>1668</v>
      </c>
      <c r="D170" s="3" t="s">
        <v>1874</v>
      </c>
      <c r="E170" s="3">
        <v>0</v>
      </c>
      <c r="F170" s="3">
        <v>0.23</v>
      </c>
      <c r="G170" s="3">
        <v>0</v>
      </c>
      <c r="H170" s="3">
        <v>260937</v>
      </c>
      <c r="I170" s="3">
        <v>9826.08</v>
      </c>
      <c r="J170" s="3">
        <v>2.3471000000000002</v>
      </c>
      <c r="K170" s="21">
        <f ca="1">_xll.IMDP("BND",B170,K8,B3)</f>
        <v>20281209</v>
      </c>
      <c r="L170" s="23">
        <f ca="1">_xll.IMDP("BND",B170,L8,B3)</f>
        <v>3.9889999999999999</v>
      </c>
      <c r="M170" s="2"/>
      <c r="W170" s="21" t="str">
        <f ca="1">_xll.IMDP("BND",N170,W8,N3)</f>
        <v>입력오류</v>
      </c>
      <c r="X170" s="23" t="str">
        <f ca="1">_xll.IMDP("BND",N170,X8,N3)</f>
        <v>입력오류</v>
      </c>
      <c r="Y170" s="2"/>
      <c r="AI170" s="21" t="str">
        <f ca="1">_xll.IMDP("BND",Z170,AI8,Z3)</f>
        <v>입력오류</v>
      </c>
      <c r="AJ170" s="23" t="str">
        <f ca="1">_xll.IMDP("BND",Z170,AJ8,Z3)</f>
        <v>입력오류</v>
      </c>
      <c r="AK170" s="2"/>
      <c r="AU170" s="21" t="str">
        <f ca="1">_xll.IMDP("BND",AL170,AU8,AL3)</f>
        <v>입력오류</v>
      </c>
      <c r="AV170" s="23" t="str">
        <f ca="1">_xll.IMDP("BND",AL170,AV8,AL3)</f>
        <v>입력오류</v>
      </c>
      <c r="AW170" s="2"/>
      <c r="BG170" s="21" t="str">
        <f ca="1">_xll.IMDP("BND",AX170,BG8,AX3)</f>
        <v>입력오류</v>
      </c>
      <c r="BH170" s="23" t="str">
        <f ca="1">_xll.IMDP("BND",AX170,BH8,AX3)</f>
        <v>입력오류</v>
      </c>
      <c r="BI170" s="2">
        <v>46198</v>
      </c>
      <c r="BJ170" s="3" t="s">
        <v>1497</v>
      </c>
      <c r="BK170" s="3" t="s">
        <v>1498</v>
      </c>
      <c r="BL170" s="3" t="s">
        <v>1499</v>
      </c>
      <c r="BM170" s="3">
        <v>0</v>
      </c>
      <c r="BN170" s="3">
        <v>0.14000000000000001</v>
      </c>
      <c r="BO170" s="3">
        <v>0</v>
      </c>
      <c r="BP170" s="3">
        <v>173162</v>
      </c>
      <c r="BQ170" s="3">
        <v>10066.780000000001</v>
      </c>
      <c r="BR170" s="3">
        <v>6.08E-2</v>
      </c>
      <c r="BS170" s="21">
        <f ca="1">_xll.IMDP("BND",BJ170,BS8,BJ3)</f>
        <v>20260717</v>
      </c>
      <c r="BT170" s="23">
        <f ca="1">_xll.IMDP("BND",BJ170,BT8,BJ3)</f>
        <v>3.1819999999999999</v>
      </c>
      <c r="BU170" s="2"/>
      <c r="CE170" s="21" t="str">
        <f ca="1">_xll.IMDP("BND",BV170,CE8,BV3)</f>
        <v>입력오류</v>
      </c>
      <c r="CF170" s="23" t="str">
        <f ca="1">_xll.IMDP("BND",BV170,CF8,BV3)</f>
        <v>입력오류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">
        <v>46198</v>
      </c>
      <c r="CT170" s="3" t="s">
        <v>126</v>
      </c>
      <c r="CU170" s="3" t="s">
        <v>29</v>
      </c>
      <c r="CV170" s="3" t="s">
        <v>127</v>
      </c>
      <c r="CW170" s="3">
        <v>0</v>
      </c>
      <c r="CX170" s="3">
        <v>0.16</v>
      </c>
      <c r="CY170" s="3">
        <v>0</v>
      </c>
      <c r="CZ170" s="3">
        <v>232960</v>
      </c>
      <c r="DA170" s="3">
        <v>9070.2099999999991</v>
      </c>
      <c r="DB170" s="3">
        <v>3.7856999999999998</v>
      </c>
      <c r="DC170" s="21">
        <f ca="1">_xll.IMDP("BND",CT170,DC8,CT3)</f>
        <v>20300610</v>
      </c>
      <c r="DD170" s="23">
        <f ca="1">_xll.IMDP("BND",CT170,DD8,CT3)</f>
        <v>3.95</v>
      </c>
      <c r="DE170" s="2"/>
      <c r="DO170" s="21" t="str">
        <f ca="1">_xll.IMDP("BND",DF170,DO8,DF3)</f>
        <v>입력오류</v>
      </c>
      <c r="DP170" s="23" t="str">
        <f ca="1">_xll.IMDP("BND",DF170,DP8,DF3)</f>
        <v>입력오류</v>
      </c>
      <c r="DQ170" s="2"/>
      <c r="EA170" s="21" t="str">
        <f ca="1">_xll.IMDP("BND",DR170,EA8,DR3)</f>
        <v>입력오류</v>
      </c>
      <c r="EB170" s="23" t="str">
        <f ca="1">_xll.IMDP("BND",DR170,EB8,DR3)</f>
        <v>입력오류</v>
      </c>
    </row>
    <row r="171" spans="1:132" ht="13.5" customHeight="1" x14ac:dyDescent="0.3">
      <c r="A171" s="2">
        <v>46198</v>
      </c>
      <c r="B171" s="3" t="s">
        <v>1875</v>
      </c>
      <c r="C171" s="3" t="s">
        <v>1876</v>
      </c>
      <c r="D171" s="3" t="s">
        <v>1877</v>
      </c>
      <c r="E171" s="3">
        <v>0</v>
      </c>
      <c r="F171" s="3">
        <v>0.23</v>
      </c>
      <c r="G171" s="3">
        <v>0</v>
      </c>
      <c r="H171" s="3">
        <v>260580</v>
      </c>
      <c r="I171" s="3">
        <v>9813.19</v>
      </c>
      <c r="J171" s="3">
        <v>1.7254</v>
      </c>
      <c r="K171" s="21">
        <f ca="1">_xll.IMDP("BND",B171,K8,B3)</f>
        <v>20280410</v>
      </c>
      <c r="L171" s="23">
        <f ca="1">_xll.IMDP("BND",B171,L8,B3)</f>
        <v>4.2640000000000002</v>
      </c>
      <c r="M171" s="2"/>
      <c r="W171" s="21" t="str">
        <f ca="1">_xll.IMDP("BND",N171,W8,N3)</f>
        <v>입력오류</v>
      </c>
      <c r="X171" s="23" t="str">
        <f ca="1">_xll.IMDP("BND",N171,X8,N3)</f>
        <v>입력오류</v>
      </c>
      <c r="Y171" s="2"/>
      <c r="AI171" s="21" t="str">
        <f ca="1">_xll.IMDP("BND",Z171,AI8,Z3)</f>
        <v>입력오류</v>
      </c>
      <c r="AJ171" s="23" t="str">
        <f ca="1">_xll.IMDP("BND",Z171,AJ8,Z3)</f>
        <v>입력오류</v>
      </c>
      <c r="AK171" s="2"/>
      <c r="AU171" s="21" t="str">
        <f ca="1">_xll.IMDP("BND",AL171,AU8,AL3)</f>
        <v>입력오류</v>
      </c>
      <c r="AV171" s="23" t="str">
        <f ca="1">_xll.IMDP("BND",AL171,AV8,AL3)</f>
        <v>입력오류</v>
      </c>
      <c r="AW171" s="2"/>
      <c r="BG171" s="21" t="str">
        <f ca="1">_xll.IMDP("BND",AX171,BG8,AX3)</f>
        <v>입력오류</v>
      </c>
      <c r="BH171" s="23" t="str">
        <f ca="1">_xll.IMDP("BND",AX171,BH8,AX3)</f>
        <v>입력오류</v>
      </c>
      <c r="BI171" s="2">
        <v>46198</v>
      </c>
      <c r="BJ171" s="3" t="s">
        <v>1500</v>
      </c>
      <c r="BK171" s="3" t="s">
        <v>1501</v>
      </c>
      <c r="BL171" s="3" t="s">
        <v>1502</v>
      </c>
      <c r="BM171" s="3">
        <v>0</v>
      </c>
      <c r="BN171" s="3">
        <v>0.14000000000000001</v>
      </c>
      <c r="BO171" s="3">
        <v>0</v>
      </c>
      <c r="BP171" s="3">
        <v>173147</v>
      </c>
      <c r="BQ171" s="3">
        <v>10065.77</v>
      </c>
      <c r="BR171" s="3">
        <v>0.3795</v>
      </c>
      <c r="BS171" s="21">
        <f ca="1">_xll.IMDP("BND",BJ171,BS8,BJ3)</f>
        <v>20261113</v>
      </c>
      <c r="BT171" s="23">
        <f ca="1">_xll.IMDP("BND",BJ171,BT8,BJ3)</f>
        <v>3.36</v>
      </c>
      <c r="BU171" s="2"/>
      <c r="CE171" s="21" t="str">
        <f ca="1">_xll.IMDP("BND",BV171,CE8,BV3)</f>
        <v>입력오류</v>
      </c>
      <c r="CF171" s="23" t="str">
        <f ca="1">_xll.IMDP("BND",BV171,CF8,BV3)</f>
        <v>입력오류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">
        <v>46198</v>
      </c>
      <c r="CT171" s="3" t="s">
        <v>2459</v>
      </c>
      <c r="CU171" s="3" t="s">
        <v>811</v>
      </c>
      <c r="CV171" s="3" t="s">
        <v>2460</v>
      </c>
      <c r="CW171" s="3">
        <v>0</v>
      </c>
      <c r="CX171" s="3">
        <v>0.16</v>
      </c>
      <c r="CY171" s="3">
        <v>0</v>
      </c>
      <c r="CZ171" s="3">
        <v>232504</v>
      </c>
      <c r="DA171" s="3">
        <v>9959.43</v>
      </c>
      <c r="DB171" s="3">
        <v>7.9147999999999996</v>
      </c>
      <c r="DC171" s="21">
        <f ca="1">_xll.IMDP("BND",CT171,DC8,CT3)</f>
        <v>20360528</v>
      </c>
      <c r="DD171" s="23">
        <f ca="1">_xll.IMDP("BND",CT171,DD8,CT3)</f>
        <v>4.6459999999999999</v>
      </c>
      <c r="DE171" s="2"/>
      <c r="DO171" s="21" t="str">
        <f ca="1">_xll.IMDP("BND",DF171,DO8,DF3)</f>
        <v>입력오류</v>
      </c>
      <c r="DP171" s="23" t="str">
        <f ca="1">_xll.IMDP("BND",DF171,DP8,DF3)</f>
        <v>입력오류</v>
      </c>
      <c r="DQ171" s="2"/>
      <c r="EA171" s="21" t="str">
        <f ca="1">_xll.IMDP("BND",DR171,EA8,DR3)</f>
        <v>입력오류</v>
      </c>
      <c r="EB171" s="23" t="str">
        <f ca="1">_xll.IMDP("BND",DR171,EB8,DR3)</f>
        <v>입력오류</v>
      </c>
    </row>
    <row r="172" spans="1:132" ht="13.5" customHeight="1" x14ac:dyDescent="0.3">
      <c r="A172" s="2">
        <v>46198</v>
      </c>
      <c r="B172" s="3" t="s">
        <v>1878</v>
      </c>
      <c r="C172" s="3" t="s">
        <v>1879</v>
      </c>
      <c r="D172" s="3" t="s">
        <v>1880</v>
      </c>
      <c r="E172" s="3">
        <v>0</v>
      </c>
      <c r="F172" s="3">
        <v>0.23</v>
      </c>
      <c r="G172" s="3">
        <v>0</v>
      </c>
      <c r="H172" s="3">
        <v>260218</v>
      </c>
      <c r="I172" s="3">
        <v>9799.2800000000007</v>
      </c>
      <c r="J172" s="3">
        <v>2.8833000000000002</v>
      </c>
      <c r="K172" s="21">
        <f ca="1">_xll.IMDP("BND",B172,K8,B3)</f>
        <v>20290718</v>
      </c>
      <c r="L172" s="23">
        <f ca="1">_xll.IMDP("BND",B172,L8,B3)</f>
        <v>4.0890000000000004</v>
      </c>
      <c r="M172" s="2"/>
      <c r="W172" s="21" t="str">
        <f ca="1">_xll.IMDP("BND",N172,W8,N3)</f>
        <v>입력오류</v>
      </c>
      <c r="X172" s="23" t="str">
        <f ca="1">_xll.IMDP("BND",N172,X8,N3)</f>
        <v>입력오류</v>
      </c>
      <c r="Y172" s="2"/>
      <c r="AI172" s="21" t="str">
        <f ca="1">_xll.IMDP("BND",Z172,AI8,Z3)</f>
        <v>입력오류</v>
      </c>
      <c r="AJ172" s="23" t="str">
        <f ca="1">_xll.IMDP("BND",Z172,AJ8,Z3)</f>
        <v>입력오류</v>
      </c>
      <c r="AK172" s="2"/>
      <c r="AU172" s="21" t="str">
        <f ca="1">_xll.IMDP("BND",AL172,AU8,AL3)</f>
        <v>입력오류</v>
      </c>
      <c r="AV172" s="23" t="str">
        <f ca="1">_xll.IMDP("BND",AL172,AV8,AL3)</f>
        <v>입력오류</v>
      </c>
      <c r="AW172" s="2"/>
      <c r="BG172" s="21" t="str">
        <f ca="1">_xll.IMDP("BND",AX172,BG8,AX3)</f>
        <v>입력오류</v>
      </c>
      <c r="BH172" s="23" t="str">
        <f ca="1">_xll.IMDP("BND",AX172,BH8,AX3)</f>
        <v>입력오류</v>
      </c>
      <c r="BI172" s="2">
        <v>46198</v>
      </c>
      <c r="BJ172" s="3" t="s">
        <v>1503</v>
      </c>
      <c r="BK172" s="3" t="s">
        <v>1062</v>
      </c>
      <c r="BL172" s="3" t="s">
        <v>1504</v>
      </c>
      <c r="BM172" s="3">
        <v>0</v>
      </c>
      <c r="BN172" s="3">
        <v>0.14000000000000001</v>
      </c>
      <c r="BO172" s="3">
        <v>0</v>
      </c>
      <c r="BP172" s="3">
        <v>172929</v>
      </c>
      <c r="BQ172" s="3">
        <v>10053.209999999999</v>
      </c>
      <c r="BR172" s="3">
        <v>1.17E-2</v>
      </c>
      <c r="BS172" s="21">
        <f ca="1">_xll.IMDP("BND",BJ172,BS8,BJ3)</f>
        <v>20260629</v>
      </c>
      <c r="BT172" s="23">
        <f ca="1">_xll.IMDP("BND",BJ172,BT8,BJ3)</f>
        <v>3.2290000000000001</v>
      </c>
      <c r="BU172" s="2"/>
      <c r="CE172" s="21" t="str">
        <f ca="1">_xll.IMDP("BND",BV172,CE8,BV3)</f>
        <v>입력오류</v>
      </c>
      <c r="CF172" s="23" t="str">
        <f ca="1">_xll.IMDP("BND",BV172,CF8,BV3)</f>
        <v>입력오류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">
        <v>46198</v>
      </c>
      <c r="CT172" s="3" t="s">
        <v>2464</v>
      </c>
      <c r="CU172" s="3" t="s">
        <v>2462</v>
      </c>
      <c r="CV172" s="3" t="s">
        <v>2465</v>
      </c>
      <c r="CW172" s="3">
        <v>0</v>
      </c>
      <c r="CX172" s="3">
        <v>0.16</v>
      </c>
      <c r="CY172" s="3">
        <v>0</v>
      </c>
      <c r="CZ172" s="3">
        <v>232263</v>
      </c>
      <c r="DC172" s="21" t="str">
        <f ca="1">_xll.IMDP("BND",CT172,DC8,CT3)</f>
        <v/>
      </c>
      <c r="DD172" s="23" t="str">
        <f ca="1">_xll.IMDP("BND",CT172,DD8,CT3)</f>
        <v/>
      </c>
      <c r="DE172" s="2"/>
      <c r="DO172" s="21" t="str">
        <f ca="1">_xll.IMDP("BND",DF172,DO8,DF3)</f>
        <v>입력오류</v>
      </c>
      <c r="DP172" s="23" t="str">
        <f ca="1">_xll.IMDP("BND",DF172,DP8,DF3)</f>
        <v>입력오류</v>
      </c>
      <c r="DQ172" s="2"/>
      <c r="EA172" s="21" t="str">
        <f ca="1">_xll.IMDP("BND",DR172,EA8,DR3)</f>
        <v>입력오류</v>
      </c>
      <c r="EB172" s="23" t="str">
        <f ca="1">_xll.IMDP("BND",DR172,EB8,DR3)</f>
        <v>입력오류</v>
      </c>
    </row>
    <row r="173" spans="1:132" ht="13.5" customHeight="1" x14ac:dyDescent="0.3">
      <c r="A173" s="2">
        <v>46198</v>
      </c>
      <c r="B173" s="3" t="s">
        <v>1881</v>
      </c>
      <c r="C173" s="3" t="s">
        <v>1882</v>
      </c>
      <c r="D173" s="3" t="s">
        <v>1883</v>
      </c>
      <c r="E173" s="3">
        <v>0</v>
      </c>
      <c r="F173" s="3">
        <v>0.23</v>
      </c>
      <c r="G173" s="3">
        <v>0</v>
      </c>
      <c r="H173" s="3">
        <v>260091</v>
      </c>
      <c r="I173" s="3">
        <v>9795.5300000000007</v>
      </c>
      <c r="J173" s="3">
        <v>3.0842999999999998</v>
      </c>
      <c r="K173" s="21">
        <f ca="1">_xll.IMDP("BND",B173,K8,B3)</f>
        <v>20291018</v>
      </c>
      <c r="L173" s="23">
        <f ca="1">_xll.IMDP("BND",B173,L8,B3)</f>
        <v>4.4379999999999997</v>
      </c>
      <c r="M173" s="2"/>
      <c r="W173" s="21" t="str">
        <f ca="1">_xll.IMDP("BND",N173,W8,N3)</f>
        <v>입력오류</v>
      </c>
      <c r="X173" s="23" t="str">
        <f ca="1">_xll.IMDP("BND",N173,X8,N3)</f>
        <v>입력오류</v>
      </c>
      <c r="Y173" s="2"/>
      <c r="AI173" s="21" t="str">
        <f ca="1">_xll.IMDP("BND",Z173,AI8,Z3)</f>
        <v>입력오류</v>
      </c>
      <c r="AJ173" s="23" t="str">
        <f ca="1">_xll.IMDP("BND",Z173,AJ8,Z3)</f>
        <v>입력오류</v>
      </c>
      <c r="AK173" s="2"/>
      <c r="AU173" s="21" t="str">
        <f ca="1">_xll.IMDP("BND",AL173,AU8,AL3)</f>
        <v>입력오류</v>
      </c>
      <c r="AV173" s="23" t="str">
        <f ca="1">_xll.IMDP("BND",AL173,AV8,AL3)</f>
        <v>입력오류</v>
      </c>
      <c r="AW173" s="2"/>
      <c r="BG173" s="21" t="str">
        <f ca="1">_xll.IMDP("BND",AX173,BG8,AX3)</f>
        <v>입력오류</v>
      </c>
      <c r="BH173" s="23" t="str">
        <f ca="1">_xll.IMDP("BND",AX173,BH8,AX3)</f>
        <v>입력오류</v>
      </c>
      <c r="BI173" s="2">
        <v>46198</v>
      </c>
      <c r="BJ173" s="3" t="s">
        <v>1505</v>
      </c>
      <c r="BK173" s="3" t="s">
        <v>182</v>
      </c>
      <c r="BL173" s="3" t="s">
        <v>1506</v>
      </c>
      <c r="BM173" s="3">
        <v>0</v>
      </c>
      <c r="BN173" s="3">
        <v>0.14000000000000001</v>
      </c>
      <c r="BO173" s="3">
        <v>0</v>
      </c>
      <c r="BP173" s="3">
        <v>172895</v>
      </c>
      <c r="BQ173" s="3">
        <v>10050.83</v>
      </c>
      <c r="BR173" s="3">
        <v>0.41360000000000002</v>
      </c>
      <c r="BS173" s="21">
        <f ca="1">_xll.IMDP("BND",BJ173,BS8,BJ3)</f>
        <v>20261126</v>
      </c>
      <c r="BT173" s="23">
        <f ca="1">_xll.IMDP("BND",BJ173,BT8,BJ3)</f>
        <v>3.464</v>
      </c>
      <c r="BU173" s="2"/>
      <c r="CE173" s="21" t="str">
        <f ca="1">_xll.IMDP("BND",BV173,CE8,BV3)</f>
        <v>입력오류</v>
      </c>
      <c r="CF173" s="23" t="str">
        <f ca="1">_xll.IMDP("BND",BV173,CF8,BV3)</f>
        <v>입력오류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">
        <v>46198</v>
      </c>
      <c r="CT173" s="3" t="s">
        <v>2461</v>
      </c>
      <c r="CU173" s="3" t="s">
        <v>2462</v>
      </c>
      <c r="CV173" s="3" t="s">
        <v>2463</v>
      </c>
      <c r="CW173" s="3">
        <v>0</v>
      </c>
      <c r="CX173" s="3">
        <v>0.16</v>
      </c>
      <c r="CY173" s="3">
        <v>0</v>
      </c>
      <c r="CZ173" s="3">
        <v>232263</v>
      </c>
      <c r="DC173" s="21" t="str">
        <f ca="1">_xll.IMDP("BND",CT173,DC8,CT3)</f>
        <v/>
      </c>
      <c r="DD173" s="23" t="str">
        <f ca="1">_xll.IMDP("BND",CT173,DD8,CT3)</f>
        <v/>
      </c>
      <c r="DE173" s="2"/>
      <c r="DO173" s="21" t="str">
        <f ca="1">_xll.IMDP("BND",DF173,DO8,DF3)</f>
        <v>입력오류</v>
      </c>
      <c r="DP173" s="23" t="str">
        <f ca="1">_xll.IMDP("BND",DF173,DP8,DF3)</f>
        <v>입력오류</v>
      </c>
      <c r="DQ173" s="2"/>
      <c r="EA173" s="21" t="str">
        <f ca="1">_xll.IMDP("BND",DR173,EA8,DR3)</f>
        <v>입력오류</v>
      </c>
      <c r="EB173" s="23" t="str">
        <f ca="1">_xll.IMDP("BND",DR173,EB8,DR3)</f>
        <v>입력오류</v>
      </c>
    </row>
    <row r="174" spans="1:132" ht="13.5" customHeight="1" x14ac:dyDescent="0.3">
      <c r="A174" s="2">
        <v>46198</v>
      </c>
      <c r="B174" s="3" t="s">
        <v>1884</v>
      </c>
      <c r="C174" s="3" t="s">
        <v>122</v>
      </c>
      <c r="D174" s="3" t="s">
        <v>1885</v>
      </c>
      <c r="E174" s="3">
        <v>0</v>
      </c>
      <c r="F174" s="3">
        <v>0.23</v>
      </c>
      <c r="G174" s="3">
        <v>0</v>
      </c>
      <c r="H174" s="3">
        <v>260066</v>
      </c>
      <c r="I174" s="3">
        <v>9792.7900000000009</v>
      </c>
      <c r="J174" s="3">
        <v>1.8815999999999999</v>
      </c>
      <c r="K174" s="21">
        <f ca="1">_xll.IMDP("BND",B174,K8,B3)</f>
        <v>20280608</v>
      </c>
      <c r="L174" s="23">
        <f ca="1">_xll.IMDP("BND",B174,L8,B3)</f>
        <v>4.2809999999999997</v>
      </c>
      <c r="M174" s="2"/>
      <c r="W174" s="21" t="str">
        <f ca="1">_xll.IMDP("BND",N174,W8,N3)</f>
        <v>입력오류</v>
      </c>
      <c r="X174" s="23" t="str">
        <f ca="1">_xll.IMDP("BND",N174,X8,N3)</f>
        <v>입력오류</v>
      </c>
      <c r="Y174" s="2"/>
      <c r="AI174" s="21" t="str">
        <f ca="1">_xll.IMDP("BND",Z174,AI8,Z3)</f>
        <v>입력오류</v>
      </c>
      <c r="AJ174" s="23" t="str">
        <f ca="1">_xll.IMDP("BND",Z174,AJ8,Z3)</f>
        <v>입력오류</v>
      </c>
      <c r="AK174" s="2"/>
      <c r="AU174" s="21" t="str">
        <f ca="1">_xll.IMDP("BND",AL174,AU8,AL3)</f>
        <v>입력오류</v>
      </c>
      <c r="AV174" s="23" t="str">
        <f ca="1">_xll.IMDP("BND",AL174,AV8,AL3)</f>
        <v>입력오류</v>
      </c>
      <c r="AW174" s="2"/>
      <c r="BG174" s="21" t="str">
        <f ca="1">_xll.IMDP("BND",AX174,BG8,AX3)</f>
        <v>입력오류</v>
      </c>
      <c r="BH174" s="23" t="str">
        <f ca="1">_xll.IMDP("BND",AX174,BH8,AX3)</f>
        <v>입력오류</v>
      </c>
      <c r="BI174" s="2">
        <v>46198</v>
      </c>
      <c r="BJ174" s="3" t="s">
        <v>1507</v>
      </c>
      <c r="BK174" s="3" t="s">
        <v>1508</v>
      </c>
      <c r="BL174" s="3" t="s">
        <v>1509</v>
      </c>
      <c r="BM174" s="3">
        <v>0</v>
      </c>
      <c r="BN174" s="3">
        <v>0.14000000000000001</v>
      </c>
      <c r="BO174" s="3">
        <v>0</v>
      </c>
      <c r="BP174" s="3">
        <v>172869</v>
      </c>
      <c r="BQ174" s="3">
        <v>10049.57</v>
      </c>
      <c r="BR174" s="3">
        <v>0.57589999999999997</v>
      </c>
      <c r="BS174" s="21">
        <f ca="1">_xll.IMDP("BND",BJ174,BS8,BJ3)</f>
        <v>20270126</v>
      </c>
      <c r="BT174" s="23">
        <f ca="1">_xll.IMDP("BND",BJ174,BT8,BJ3)</f>
        <v>3.5409999999999999</v>
      </c>
      <c r="BU174" s="2"/>
      <c r="CE174" s="21" t="str">
        <f ca="1">_xll.IMDP("BND",BV174,CE8,BV3)</f>
        <v>입력오류</v>
      </c>
      <c r="CF174" s="23" t="str">
        <f ca="1">_xll.IMDP("BND",BV174,CF8,BV3)</f>
        <v>입력오류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">
        <v>46198</v>
      </c>
      <c r="CT174" s="3" t="s">
        <v>2466</v>
      </c>
      <c r="CU174" s="3" t="s">
        <v>2467</v>
      </c>
      <c r="CV174" s="3" t="s">
        <v>2468</v>
      </c>
      <c r="CW174" s="3">
        <v>0</v>
      </c>
      <c r="CX174" s="3">
        <v>0.16</v>
      </c>
      <c r="CY174" s="3">
        <v>0</v>
      </c>
      <c r="CZ174" s="3">
        <v>232125</v>
      </c>
      <c r="DC174" s="21" t="str">
        <f ca="1">_xll.IMDP("BND",CT174,DC8,CT3)</f>
        <v/>
      </c>
      <c r="DD174" s="23" t="str">
        <f ca="1">_xll.IMDP("BND",CT174,DD8,CT3)</f>
        <v/>
      </c>
      <c r="DE174" s="2"/>
      <c r="DO174" s="21" t="str">
        <f ca="1">_xll.IMDP("BND",DF174,DO8,DF3)</f>
        <v>입력오류</v>
      </c>
      <c r="DP174" s="23" t="str">
        <f ca="1">_xll.IMDP("BND",DF174,DP8,DF3)</f>
        <v>입력오류</v>
      </c>
      <c r="DQ174" s="2"/>
      <c r="EA174" s="21" t="str">
        <f ca="1">_xll.IMDP("BND",DR174,EA8,DR3)</f>
        <v>입력오류</v>
      </c>
      <c r="EB174" s="23" t="str">
        <f ca="1">_xll.IMDP("BND",DR174,EB8,DR3)</f>
        <v>입력오류</v>
      </c>
    </row>
    <row r="175" spans="1:132" ht="13.5" customHeight="1" x14ac:dyDescent="0.3">
      <c r="A175" s="2">
        <v>46198</v>
      </c>
      <c r="B175" s="3" t="s">
        <v>1886</v>
      </c>
      <c r="C175" s="3" t="s">
        <v>539</v>
      </c>
      <c r="D175" s="3" t="s">
        <v>1887</v>
      </c>
      <c r="E175" s="3">
        <v>0</v>
      </c>
      <c r="F175" s="3">
        <v>0.23</v>
      </c>
      <c r="G175" s="3">
        <v>0</v>
      </c>
      <c r="H175" s="3">
        <v>259980</v>
      </c>
      <c r="I175" s="3">
        <v>9790.31</v>
      </c>
      <c r="J175" s="3">
        <v>4.2705000000000002</v>
      </c>
      <c r="K175" s="21">
        <f ca="1">_xll.IMDP("BND",B175,K8,B3)</f>
        <v>20310304</v>
      </c>
      <c r="L175" s="23">
        <f ca="1">_xll.IMDP("BND",B175,L8,B3)</f>
        <v>4.2480000000000002</v>
      </c>
      <c r="M175" s="2"/>
      <c r="W175" s="21" t="str">
        <f ca="1">_xll.IMDP("BND",N175,W8,N3)</f>
        <v>입력오류</v>
      </c>
      <c r="X175" s="23" t="str">
        <f ca="1">_xll.IMDP("BND",N175,X8,N3)</f>
        <v>입력오류</v>
      </c>
      <c r="Y175" s="2"/>
      <c r="AI175" s="21" t="str">
        <f ca="1">_xll.IMDP("BND",Z175,AI8,Z3)</f>
        <v>입력오류</v>
      </c>
      <c r="AJ175" s="23" t="str">
        <f ca="1">_xll.IMDP("BND",Z175,AJ8,Z3)</f>
        <v>입력오류</v>
      </c>
      <c r="AK175" s="2"/>
      <c r="AU175" s="21" t="str">
        <f ca="1">_xll.IMDP("BND",AL175,AU8,AL3)</f>
        <v>입력오류</v>
      </c>
      <c r="AV175" s="23" t="str">
        <f ca="1">_xll.IMDP("BND",AL175,AV8,AL3)</f>
        <v>입력오류</v>
      </c>
      <c r="AW175" s="2"/>
      <c r="BG175" s="21" t="str">
        <f ca="1">_xll.IMDP("BND",AX175,BG8,AX3)</f>
        <v>입력오류</v>
      </c>
      <c r="BH175" s="23" t="str">
        <f ca="1">_xll.IMDP("BND",AX175,BH8,AX3)</f>
        <v>입력오류</v>
      </c>
      <c r="BI175" s="2">
        <v>46198</v>
      </c>
      <c r="BJ175" s="3" t="s">
        <v>1510</v>
      </c>
      <c r="BK175" s="3" t="s">
        <v>299</v>
      </c>
      <c r="BL175" s="3" t="s">
        <v>1511</v>
      </c>
      <c r="BM175" s="3">
        <v>0</v>
      </c>
      <c r="BN175" s="3">
        <v>0.14000000000000001</v>
      </c>
      <c r="BO175" s="3">
        <v>0</v>
      </c>
      <c r="BP175" s="3">
        <v>172611</v>
      </c>
      <c r="BQ175" s="3">
        <v>10034.950000000001</v>
      </c>
      <c r="BR175" s="3">
        <v>0.90139999999999998</v>
      </c>
      <c r="BS175" s="21">
        <f ca="1">_xll.IMDP("BND",BJ175,BS8,BJ3)</f>
        <v>20270528</v>
      </c>
      <c r="BT175" s="23">
        <f ca="1">_xll.IMDP("BND",BJ175,BT8,BJ3)</f>
        <v>3.8690000000000002</v>
      </c>
      <c r="BU175" s="2"/>
      <c r="CE175" s="21" t="str">
        <f ca="1">_xll.IMDP("BND",BV175,CE8,BV3)</f>
        <v>입력오류</v>
      </c>
      <c r="CF175" s="23" t="str">
        <f ca="1">_xll.IMDP("BND",BV175,CF8,BV3)</f>
        <v>입력오류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">
        <v>46198</v>
      </c>
      <c r="CT175" s="3" t="s">
        <v>2469</v>
      </c>
      <c r="CU175" s="3" t="s">
        <v>212</v>
      </c>
      <c r="CV175" s="3" t="s">
        <v>2470</v>
      </c>
      <c r="CW175" s="3">
        <v>0</v>
      </c>
      <c r="CX175" s="3">
        <v>0.16</v>
      </c>
      <c r="CY175" s="3">
        <v>0</v>
      </c>
      <c r="CZ175" s="3">
        <v>232102</v>
      </c>
      <c r="DC175" s="21" t="str">
        <f ca="1">_xll.IMDP("BND",CT175,DC8,CT3)</f>
        <v/>
      </c>
      <c r="DD175" s="23" t="str">
        <f ca="1">_xll.IMDP("BND",CT175,DD8,CT3)</f>
        <v/>
      </c>
      <c r="DE175" s="2"/>
      <c r="DO175" s="21" t="str">
        <f ca="1">_xll.IMDP("BND",DF175,DO8,DF3)</f>
        <v>입력오류</v>
      </c>
      <c r="DP175" s="23" t="str">
        <f ca="1">_xll.IMDP("BND",DF175,DP8,DF3)</f>
        <v>입력오류</v>
      </c>
      <c r="DQ175" s="2"/>
      <c r="EA175" s="21" t="str">
        <f ca="1">_xll.IMDP("BND",DR175,EA8,DR3)</f>
        <v>입력오류</v>
      </c>
      <c r="EB175" s="23" t="str">
        <f ca="1">_xll.IMDP("BND",DR175,EB8,DR3)</f>
        <v>입력오류</v>
      </c>
    </row>
    <row r="176" spans="1:132" ht="13.5" customHeight="1" x14ac:dyDescent="0.3">
      <c r="A176" s="2">
        <v>46198</v>
      </c>
      <c r="B176" s="3" t="s">
        <v>1888</v>
      </c>
      <c r="C176" s="3" t="s">
        <v>496</v>
      </c>
      <c r="D176" s="3" t="s">
        <v>1889</v>
      </c>
      <c r="E176" s="3">
        <v>0</v>
      </c>
      <c r="F176" s="3">
        <v>0.23</v>
      </c>
      <c r="G176" s="3">
        <v>0</v>
      </c>
      <c r="H176" s="3">
        <v>259975</v>
      </c>
      <c r="I176" s="3">
        <v>9790.1</v>
      </c>
      <c r="J176" s="3">
        <v>1.7749999999999999</v>
      </c>
      <c r="K176" s="21">
        <f ca="1">_xll.IMDP("BND",B176,K8,B3)</f>
        <v>20280428</v>
      </c>
      <c r="L176" s="23">
        <f ca="1">_xll.IMDP("BND",B176,L8,B3)</f>
        <v>4.2229999999999999</v>
      </c>
      <c r="M176" s="2"/>
      <c r="W176" s="21" t="str">
        <f ca="1">_xll.IMDP("BND",N176,W8,N3)</f>
        <v>입력오류</v>
      </c>
      <c r="X176" s="23" t="str">
        <f ca="1">_xll.IMDP("BND",N176,X8,N3)</f>
        <v>입력오류</v>
      </c>
      <c r="Y176" s="2"/>
      <c r="AI176" s="21" t="str">
        <f ca="1">_xll.IMDP("BND",Z176,AI8,Z3)</f>
        <v>입력오류</v>
      </c>
      <c r="AJ176" s="23" t="str">
        <f ca="1">_xll.IMDP("BND",Z176,AJ8,Z3)</f>
        <v>입력오류</v>
      </c>
      <c r="AK176" s="2"/>
      <c r="AU176" s="21" t="str">
        <f ca="1">_xll.IMDP("BND",AL176,AU8,AL3)</f>
        <v>입력오류</v>
      </c>
      <c r="AV176" s="23" t="str">
        <f ca="1">_xll.IMDP("BND",AL176,AV8,AL3)</f>
        <v>입력오류</v>
      </c>
      <c r="AW176" s="2"/>
      <c r="BG176" s="21" t="str">
        <f ca="1">_xll.IMDP("BND",AX176,BG8,AX3)</f>
        <v>입력오류</v>
      </c>
      <c r="BH176" s="23" t="str">
        <f ca="1">_xll.IMDP("BND",AX176,BH8,AX3)</f>
        <v>입력오류</v>
      </c>
      <c r="BI176" s="2">
        <v>46198</v>
      </c>
      <c r="BJ176" s="3" t="s">
        <v>1512</v>
      </c>
      <c r="BK176" s="3" t="s">
        <v>1513</v>
      </c>
      <c r="BL176" s="3" t="s">
        <v>1514</v>
      </c>
      <c r="BM176" s="3">
        <v>0</v>
      </c>
      <c r="BN176" s="3">
        <v>0.14000000000000001</v>
      </c>
      <c r="BO176" s="3">
        <v>0</v>
      </c>
      <c r="BP176" s="3">
        <v>172607</v>
      </c>
      <c r="BQ176" s="3">
        <v>10034.56</v>
      </c>
      <c r="BR176" s="3">
        <v>9.6000000000000002E-2</v>
      </c>
      <c r="BS176" s="21">
        <f ca="1">_xll.IMDP("BND",BJ176,BS8,BJ3)</f>
        <v>20260730</v>
      </c>
      <c r="BT176" s="23">
        <f ca="1">_xll.IMDP("BND",BJ176,BT8,BJ3)</f>
        <v>3.2189999999999999</v>
      </c>
      <c r="BU176" s="2"/>
      <c r="CE176" s="21" t="str">
        <f ca="1">_xll.IMDP("BND",BV176,CE8,BV3)</f>
        <v>입력오류</v>
      </c>
      <c r="CF176" s="23" t="str">
        <f ca="1">_xll.IMDP("BND",BV176,CF8,BV3)</f>
        <v>입력오류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">
        <v>46198</v>
      </c>
      <c r="CT176" s="3" t="s">
        <v>2471</v>
      </c>
      <c r="CU176" s="3" t="s">
        <v>583</v>
      </c>
      <c r="CV176" s="3" t="s">
        <v>2472</v>
      </c>
      <c r="CW176" s="3">
        <v>0</v>
      </c>
      <c r="CX176" s="3">
        <v>0.16</v>
      </c>
      <c r="CY176" s="3">
        <v>0</v>
      </c>
      <c r="CZ176" s="3">
        <v>231973</v>
      </c>
      <c r="DC176" s="21" t="str">
        <f ca="1">_xll.IMDP("BND",CT176,DC8,CT3)</f>
        <v/>
      </c>
      <c r="DD176" s="23" t="str">
        <f ca="1">_xll.IMDP("BND",CT176,DD8,CT3)</f>
        <v/>
      </c>
      <c r="DE176" s="2"/>
      <c r="DO176" s="21" t="str">
        <f ca="1">_xll.IMDP("BND",DF176,DO8,DF3)</f>
        <v>입력오류</v>
      </c>
      <c r="DP176" s="23" t="str">
        <f ca="1">_xll.IMDP("BND",DF176,DP8,DF3)</f>
        <v>입력오류</v>
      </c>
      <c r="DQ176" s="2"/>
      <c r="EA176" s="21" t="str">
        <f ca="1">_xll.IMDP("BND",DR176,EA8,DR3)</f>
        <v>입력오류</v>
      </c>
      <c r="EB176" s="23" t="str">
        <f ca="1">_xll.IMDP("BND",DR176,EB8,DR3)</f>
        <v>입력오류</v>
      </c>
    </row>
    <row r="177" spans="1:132" ht="13.5" customHeight="1" x14ac:dyDescent="0.3">
      <c r="A177" s="2">
        <v>46198</v>
      </c>
      <c r="B177" s="3" t="s">
        <v>1890</v>
      </c>
      <c r="C177" s="3" t="s">
        <v>1891</v>
      </c>
      <c r="D177" s="3" t="s">
        <v>1892</v>
      </c>
      <c r="E177" s="3">
        <v>0</v>
      </c>
      <c r="F177" s="3">
        <v>0.23</v>
      </c>
      <c r="G177" s="3">
        <v>0</v>
      </c>
      <c r="H177" s="3">
        <v>259940</v>
      </c>
      <c r="I177" s="3">
        <v>9788.85</v>
      </c>
      <c r="J177" s="3">
        <v>3.0476999999999999</v>
      </c>
      <c r="K177" s="21">
        <f ca="1">_xll.IMDP("BND",B177,K8,B3)</f>
        <v>20290927</v>
      </c>
      <c r="L177" s="23">
        <f ca="1">_xll.IMDP("BND",B177,L8,B3)</f>
        <v>4.1550000000000002</v>
      </c>
      <c r="M177" s="2"/>
      <c r="W177" s="21" t="str">
        <f ca="1">_xll.IMDP("BND",N177,W8,N3)</f>
        <v>입력오류</v>
      </c>
      <c r="X177" s="23" t="str">
        <f ca="1">_xll.IMDP("BND",N177,X8,N3)</f>
        <v>입력오류</v>
      </c>
      <c r="Y177" s="2"/>
      <c r="AI177" s="21" t="str">
        <f ca="1">_xll.IMDP("BND",Z177,AI8,Z3)</f>
        <v>입력오류</v>
      </c>
      <c r="AJ177" s="23" t="str">
        <f ca="1">_xll.IMDP("BND",Z177,AJ8,Z3)</f>
        <v>입력오류</v>
      </c>
      <c r="AK177" s="2"/>
      <c r="AU177" s="21" t="str">
        <f ca="1">_xll.IMDP("BND",AL177,AU8,AL3)</f>
        <v>입력오류</v>
      </c>
      <c r="AV177" s="23" t="str">
        <f ca="1">_xll.IMDP("BND",AL177,AV8,AL3)</f>
        <v>입력오류</v>
      </c>
      <c r="AW177" s="2"/>
      <c r="BG177" s="21" t="str">
        <f ca="1">_xll.IMDP("BND",AX177,BG8,AX3)</f>
        <v>입력오류</v>
      </c>
      <c r="BH177" s="23" t="str">
        <f ca="1">_xll.IMDP("BND",AX177,BH8,AX3)</f>
        <v>입력오류</v>
      </c>
      <c r="BI177" s="2">
        <v>46198</v>
      </c>
      <c r="BJ177" s="3" t="s">
        <v>1515</v>
      </c>
      <c r="BK177" s="3" t="s">
        <v>1516</v>
      </c>
      <c r="BL177" s="3" t="s">
        <v>1517</v>
      </c>
      <c r="BM177" s="3">
        <v>0</v>
      </c>
      <c r="BN177" s="3">
        <v>0.14000000000000001</v>
      </c>
      <c r="BO177" s="3">
        <v>0</v>
      </c>
      <c r="BP177" s="3">
        <v>172573</v>
      </c>
      <c r="BQ177" s="3">
        <v>10032.299999999999</v>
      </c>
      <c r="BR177" s="3">
        <v>0.54810000000000003</v>
      </c>
      <c r="BS177" s="21">
        <f ca="1">_xll.IMDP("BND",BJ177,BS8,BJ3)</f>
        <v>20270115</v>
      </c>
      <c r="BT177" s="23">
        <f ca="1">_xll.IMDP("BND",BJ177,BT8,BJ3)</f>
        <v>3.508</v>
      </c>
      <c r="BU177" s="2"/>
      <c r="CE177" s="21" t="str">
        <f ca="1">_xll.IMDP("BND",BV177,CE8,BV3)</f>
        <v>입력오류</v>
      </c>
      <c r="CF177" s="23" t="str">
        <f ca="1">_xll.IMDP("BND",BV177,CF8,BV3)</f>
        <v>입력오류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">
        <v>46198</v>
      </c>
      <c r="CT177" s="3" t="s">
        <v>2476</v>
      </c>
      <c r="CU177" s="3" t="s">
        <v>2474</v>
      </c>
      <c r="CV177" s="3" t="s">
        <v>2477</v>
      </c>
      <c r="CW177" s="3">
        <v>0</v>
      </c>
      <c r="CX177" s="3">
        <v>0.16</v>
      </c>
      <c r="CY177" s="3">
        <v>0</v>
      </c>
      <c r="CZ177" s="3">
        <v>231599</v>
      </c>
      <c r="DC177" s="21" t="str">
        <f ca="1">_xll.IMDP("BND",CT177,DC8,CT3)</f>
        <v/>
      </c>
      <c r="DD177" s="23" t="str">
        <f ca="1">_xll.IMDP("BND",CT177,DD8,CT3)</f>
        <v/>
      </c>
      <c r="DE177" s="2"/>
      <c r="DO177" s="21" t="str">
        <f ca="1">_xll.IMDP("BND",DF177,DO8,DF3)</f>
        <v>입력오류</v>
      </c>
      <c r="DP177" s="23" t="str">
        <f ca="1">_xll.IMDP("BND",DF177,DP8,DF3)</f>
        <v>입력오류</v>
      </c>
      <c r="DQ177" s="2"/>
      <c r="EA177" s="21" t="str">
        <f ca="1">_xll.IMDP("BND",DR177,EA8,DR3)</f>
        <v>입력오류</v>
      </c>
      <c r="EB177" s="23" t="str">
        <f ca="1">_xll.IMDP("BND",DR177,EB8,DR3)</f>
        <v>입력오류</v>
      </c>
    </row>
    <row r="178" spans="1:132" ht="13.5" customHeight="1" x14ac:dyDescent="0.3">
      <c r="A178" s="2">
        <v>46198</v>
      </c>
      <c r="B178" s="3" t="s">
        <v>1893</v>
      </c>
      <c r="C178" s="3" t="s">
        <v>1760</v>
      </c>
      <c r="D178" s="3" t="s">
        <v>1894</v>
      </c>
      <c r="E178" s="3">
        <v>0</v>
      </c>
      <c r="F178" s="3">
        <v>0.23</v>
      </c>
      <c r="G178" s="3">
        <v>0</v>
      </c>
      <c r="H178" s="3">
        <v>259755</v>
      </c>
      <c r="I178" s="3">
        <v>9781.31</v>
      </c>
      <c r="J178" s="3">
        <v>1.9415</v>
      </c>
      <c r="K178" s="21">
        <f ca="1">_xll.IMDP("BND",B178,K8,B3)</f>
        <v>20280704</v>
      </c>
      <c r="L178" s="23">
        <f ca="1">_xll.IMDP("BND",B178,L8,B3)</f>
        <v>4.3230000000000004</v>
      </c>
      <c r="M178" s="2"/>
      <c r="W178" s="21" t="str">
        <f ca="1">_xll.IMDP("BND",N178,W8,N3)</f>
        <v>입력오류</v>
      </c>
      <c r="X178" s="23" t="str">
        <f ca="1">_xll.IMDP("BND",N178,X8,N3)</f>
        <v>입력오류</v>
      </c>
      <c r="Y178" s="2"/>
      <c r="AI178" s="21" t="str">
        <f ca="1">_xll.IMDP("BND",Z178,AI8,Z3)</f>
        <v>입력오류</v>
      </c>
      <c r="AJ178" s="23" t="str">
        <f ca="1">_xll.IMDP("BND",Z178,AJ8,Z3)</f>
        <v>입력오류</v>
      </c>
      <c r="AK178" s="2"/>
      <c r="AU178" s="21" t="str">
        <f ca="1">_xll.IMDP("BND",AL178,AU8,AL3)</f>
        <v>입력오류</v>
      </c>
      <c r="AV178" s="23" t="str">
        <f ca="1">_xll.IMDP("BND",AL178,AV8,AL3)</f>
        <v>입력오류</v>
      </c>
      <c r="AW178" s="2"/>
      <c r="BG178" s="21" t="str">
        <f ca="1">_xll.IMDP("BND",AX178,BG8,AX3)</f>
        <v>입력오류</v>
      </c>
      <c r="BH178" s="23" t="str">
        <f ca="1">_xll.IMDP("BND",AX178,BH8,AX3)</f>
        <v>입력오류</v>
      </c>
      <c r="BI178" s="2">
        <v>46198</v>
      </c>
      <c r="BJ178" s="3" t="s">
        <v>1518</v>
      </c>
      <c r="BK178" s="3" t="s">
        <v>1519</v>
      </c>
      <c r="BL178" s="3" t="s">
        <v>1520</v>
      </c>
      <c r="BM178" s="3">
        <v>0</v>
      </c>
      <c r="BN178" s="3">
        <v>0.14000000000000001</v>
      </c>
      <c r="BO178" s="3">
        <v>0</v>
      </c>
      <c r="BP178" s="3">
        <v>172556</v>
      </c>
      <c r="BQ178" s="3">
        <v>10031.56</v>
      </c>
      <c r="BR178" s="3">
        <v>0.17480000000000001</v>
      </c>
      <c r="BS178" s="21">
        <f ca="1">_xll.IMDP("BND",BJ178,BS8,BJ3)</f>
        <v>20260828</v>
      </c>
      <c r="BT178" s="23">
        <f ca="1">_xll.IMDP("BND",BJ178,BT8,BJ3)</f>
        <v>3.2210000000000001</v>
      </c>
      <c r="BU178" s="2"/>
      <c r="CE178" s="21" t="str">
        <f ca="1">_xll.IMDP("BND",BV178,CE8,BV3)</f>
        <v>입력오류</v>
      </c>
      <c r="CF178" s="23" t="str">
        <f ca="1">_xll.IMDP("BND",BV178,CF8,BV3)</f>
        <v>입력오류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">
        <v>46198</v>
      </c>
      <c r="CT178" s="3" t="s">
        <v>2473</v>
      </c>
      <c r="CU178" s="3" t="s">
        <v>2474</v>
      </c>
      <c r="CV178" s="3" t="s">
        <v>2475</v>
      </c>
      <c r="CW178" s="3">
        <v>0</v>
      </c>
      <c r="CX178" s="3">
        <v>0.16</v>
      </c>
      <c r="CY178" s="3">
        <v>0</v>
      </c>
      <c r="CZ178" s="3">
        <v>231599</v>
      </c>
      <c r="DC178" s="21" t="str">
        <f ca="1">_xll.IMDP("BND",CT178,DC8,CT3)</f>
        <v/>
      </c>
      <c r="DD178" s="23" t="str">
        <f ca="1">_xll.IMDP("BND",CT178,DD8,CT3)</f>
        <v/>
      </c>
      <c r="DE178" s="2"/>
      <c r="DO178" s="21" t="str">
        <f ca="1">_xll.IMDP("BND",DF178,DO8,DF3)</f>
        <v>입력오류</v>
      </c>
      <c r="DP178" s="23" t="str">
        <f ca="1">_xll.IMDP("BND",DF178,DP8,DF3)</f>
        <v>입력오류</v>
      </c>
      <c r="DQ178" s="2"/>
      <c r="EA178" s="21" t="str">
        <f ca="1">_xll.IMDP("BND",DR178,EA8,DR3)</f>
        <v>입력오류</v>
      </c>
      <c r="EB178" s="23" t="str">
        <f ca="1">_xll.IMDP("BND",DR178,EB8,DR3)</f>
        <v>입력오류</v>
      </c>
    </row>
    <row r="179" spans="1:132" ht="13.5" customHeight="1" x14ac:dyDescent="0.3">
      <c r="A179" s="2">
        <v>46198</v>
      </c>
      <c r="B179" s="3" t="s">
        <v>1895</v>
      </c>
      <c r="C179" s="3" t="s">
        <v>1896</v>
      </c>
      <c r="D179" s="3" t="s">
        <v>1897</v>
      </c>
      <c r="E179" s="3">
        <v>0</v>
      </c>
      <c r="F179" s="3">
        <v>0.23</v>
      </c>
      <c r="G179" s="3">
        <v>0</v>
      </c>
      <c r="H179" s="3">
        <v>259607</v>
      </c>
      <c r="I179" s="3">
        <v>9776.5300000000007</v>
      </c>
      <c r="J179" s="3">
        <v>4.3125999999999998</v>
      </c>
      <c r="K179" s="21">
        <f ca="1">_xll.IMDP("BND",B179,K8,B3)</f>
        <v>20310327</v>
      </c>
      <c r="L179" s="23">
        <f ca="1">_xll.IMDP("BND",B179,L8,B3)</f>
        <v>4.2110000000000003</v>
      </c>
      <c r="M179" s="2"/>
      <c r="W179" s="21" t="str">
        <f ca="1">_xll.IMDP("BND",N179,W8,N3)</f>
        <v>입력오류</v>
      </c>
      <c r="X179" s="23" t="str">
        <f ca="1">_xll.IMDP("BND",N179,X8,N3)</f>
        <v>입력오류</v>
      </c>
      <c r="Y179" s="2"/>
      <c r="AI179" s="21" t="str">
        <f ca="1">_xll.IMDP("BND",Z179,AI8,Z3)</f>
        <v>입력오류</v>
      </c>
      <c r="AJ179" s="23" t="str">
        <f ca="1">_xll.IMDP("BND",Z179,AJ8,Z3)</f>
        <v>입력오류</v>
      </c>
      <c r="AK179" s="2"/>
      <c r="AU179" s="21" t="str">
        <f ca="1">_xll.IMDP("BND",AL179,AU8,AL3)</f>
        <v>입력오류</v>
      </c>
      <c r="AV179" s="23" t="str">
        <f ca="1">_xll.IMDP("BND",AL179,AV8,AL3)</f>
        <v>입력오류</v>
      </c>
      <c r="AW179" s="2"/>
      <c r="BG179" s="21" t="str">
        <f ca="1">_xll.IMDP("BND",AX179,BG8,AX3)</f>
        <v>입력오류</v>
      </c>
      <c r="BH179" s="23" t="str">
        <f ca="1">_xll.IMDP("BND",AX179,BH8,AX3)</f>
        <v>입력오류</v>
      </c>
      <c r="BI179" s="2">
        <v>46198</v>
      </c>
      <c r="BJ179" s="3" t="s">
        <v>1521</v>
      </c>
      <c r="BK179" s="3" t="s">
        <v>1522</v>
      </c>
      <c r="BL179" s="3" t="s">
        <v>1523</v>
      </c>
      <c r="BM179" s="3">
        <v>0</v>
      </c>
      <c r="BN179" s="3">
        <v>0.14000000000000001</v>
      </c>
      <c r="BO179" s="3">
        <v>0</v>
      </c>
      <c r="BP179" s="3">
        <v>172512</v>
      </c>
      <c r="BQ179" s="3">
        <v>10028.93</v>
      </c>
      <c r="BR179" s="3">
        <v>0.21290000000000001</v>
      </c>
      <c r="BS179" s="21">
        <f ca="1">_xll.IMDP("BND",BJ179,BS8,BJ3)</f>
        <v>20260911</v>
      </c>
      <c r="BT179" s="23">
        <f ca="1">_xll.IMDP("BND",BJ179,BT8,BJ3)</f>
        <v>3.2519999999999998</v>
      </c>
      <c r="BU179" s="2"/>
      <c r="CE179" s="21" t="str">
        <f ca="1">_xll.IMDP("BND",BV179,CE8,BV3)</f>
        <v>입력오류</v>
      </c>
      <c r="CF179" s="23" t="str">
        <f ca="1">_xll.IMDP("BND",BV179,CF8,BV3)</f>
        <v>입력오류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">
        <v>46198</v>
      </c>
      <c r="CT179" s="3" t="s">
        <v>2478</v>
      </c>
      <c r="CU179" s="3" t="s">
        <v>1235</v>
      </c>
      <c r="CV179" s="3" t="s">
        <v>2479</v>
      </c>
      <c r="CW179" s="3">
        <v>0</v>
      </c>
      <c r="CX179" s="3">
        <v>0.16</v>
      </c>
      <c r="CY179" s="3">
        <v>0</v>
      </c>
      <c r="CZ179" s="3">
        <v>231341</v>
      </c>
      <c r="DC179" s="21" t="str">
        <f ca="1">_xll.IMDP("BND",CT179,DC8,CT3)</f>
        <v/>
      </c>
      <c r="DD179" s="23" t="str">
        <f ca="1">_xll.IMDP("BND",CT179,DD8,CT3)</f>
        <v/>
      </c>
      <c r="DE179" s="2"/>
      <c r="DO179" s="21" t="str">
        <f ca="1">_xll.IMDP("BND",DF179,DO8,DF3)</f>
        <v>입력오류</v>
      </c>
      <c r="DP179" s="23" t="str">
        <f ca="1">_xll.IMDP("BND",DF179,DP8,DF3)</f>
        <v>입력오류</v>
      </c>
      <c r="DQ179" s="2"/>
      <c r="EA179" s="21" t="str">
        <f ca="1">_xll.IMDP("BND",DR179,EA8,DR3)</f>
        <v>입력오류</v>
      </c>
      <c r="EB179" s="23" t="str">
        <f ca="1">_xll.IMDP("BND",DR179,EB8,DR3)</f>
        <v>입력오류</v>
      </c>
    </row>
    <row r="180" spans="1:132" ht="13.5" customHeight="1" x14ac:dyDescent="0.3">
      <c r="A180" s="2">
        <v>46198</v>
      </c>
      <c r="B180" s="3" t="s">
        <v>490</v>
      </c>
      <c r="C180" s="3" t="s">
        <v>249</v>
      </c>
      <c r="D180" s="3" t="s">
        <v>491</v>
      </c>
      <c r="E180" s="3">
        <v>0</v>
      </c>
      <c r="F180" s="3">
        <v>0.23</v>
      </c>
      <c r="G180" s="3">
        <v>0</v>
      </c>
      <c r="H180" s="3">
        <v>259564</v>
      </c>
      <c r="I180" s="3">
        <v>9774.44</v>
      </c>
      <c r="J180" s="3">
        <v>1.8106</v>
      </c>
      <c r="K180" s="21">
        <f ca="1">_xll.IMDP("BND",B180,K8,B3)</f>
        <v>20280512</v>
      </c>
      <c r="L180" s="23">
        <f ca="1">_xll.IMDP("BND",B180,L8,B3)</f>
        <v>4.2990000000000004</v>
      </c>
      <c r="M180" s="2"/>
      <c r="W180" s="21" t="str">
        <f ca="1">_xll.IMDP("BND",N180,W8,N3)</f>
        <v>입력오류</v>
      </c>
      <c r="X180" s="23" t="str">
        <f ca="1">_xll.IMDP("BND",N180,X8,N3)</f>
        <v>입력오류</v>
      </c>
      <c r="Y180" s="2"/>
      <c r="AI180" s="21" t="str">
        <f ca="1">_xll.IMDP("BND",Z180,AI8,Z3)</f>
        <v>입력오류</v>
      </c>
      <c r="AJ180" s="23" t="str">
        <f ca="1">_xll.IMDP("BND",Z180,AJ8,Z3)</f>
        <v>입력오류</v>
      </c>
      <c r="AK180" s="2"/>
      <c r="AU180" s="21" t="str">
        <f ca="1">_xll.IMDP("BND",AL180,AU8,AL3)</f>
        <v>입력오류</v>
      </c>
      <c r="AV180" s="23" t="str">
        <f ca="1">_xll.IMDP("BND",AL180,AV8,AL3)</f>
        <v>입력오류</v>
      </c>
      <c r="AW180" s="2"/>
      <c r="BG180" s="21" t="str">
        <f ca="1">_xll.IMDP("BND",AX180,BG8,AX3)</f>
        <v>입력오류</v>
      </c>
      <c r="BH180" s="23" t="str">
        <f ca="1">_xll.IMDP("BND",AX180,BH8,AX3)</f>
        <v>입력오류</v>
      </c>
      <c r="BI180" s="2">
        <v>46198</v>
      </c>
      <c r="BJ180" s="3" t="s">
        <v>1524</v>
      </c>
      <c r="BK180" s="3" t="s">
        <v>1525</v>
      </c>
      <c r="BL180" s="3" t="s">
        <v>1526</v>
      </c>
      <c r="BM180" s="3">
        <v>0</v>
      </c>
      <c r="BN180" s="3">
        <v>0.14000000000000001</v>
      </c>
      <c r="BO180" s="3">
        <v>0</v>
      </c>
      <c r="BP180" s="3">
        <v>172356</v>
      </c>
      <c r="BQ180" s="3">
        <v>10020.049999999999</v>
      </c>
      <c r="BR180" s="3">
        <v>0.62039999999999995</v>
      </c>
      <c r="BS180" s="21">
        <f ca="1">_xll.IMDP("BND",BJ180,BS8,BJ3)</f>
        <v>20270212</v>
      </c>
      <c r="BT180" s="23">
        <f ca="1">_xll.IMDP("BND",BJ180,BT8,BJ3)</f>
        <v>3.8929999999999998</v>
      </c>
      <c r="BU180" s="2"/>
      <c r="CE180" s="21" t="str">
        <f ca="1">_xll.IMDP("BND",BV180,CE8,BV3)</f>
        <v>입력오류</v>
      </c>
      <c r="CF180" s="23" t="str">
        <f ca="1">_xll.IMDP("BND",BV180,CF8,BV3)</f>
        <v>입력오류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">
        <v>46198</v>
      </c>
      <c r="CT180" s="3" t="s">
        <v>2480</v>
      </c>
      <c r="CU180" s="3" t="s">
        <v>2481</v>
      </c>
      <c r="CV180" s="3" t="s">
        <v>2482</v>
      </c>
      <c r="CW180" s="3">
        <v>0</v>
      </c>
      <c r="CX180" s="3">
        <v>0.16</v>
      </c>
      <c r="CY180" s="3">
        <v>0</v>
      </c>
      <c r="CZ180" s="3">
        <v>231317</v>
      </c>
      <c r="DC180" s="21" t="str">
        <f ca="1">_xll.IMDP("BND",CT180,DC8,CT3)</f>
        <v/>
      </c>
      <c r="DD180" s="23" t="str">
        <f ca="1">_xll.IMDP("BND",CT180,DD8,CT3)</f>
        <v/>
      </c>
      <c r="DE180" s="2"/>
      <c r="DO180" s="21" t="str">
        <f ca="1">_xll.IMDP("BND",DF180,DO8,DF3)</f>
        <v>입력오류</v>
      </c>
      <c r="DP180" s="23" t="str">
        <f ca="1">_xll.IMDP("BND",DF180,DP8,DF3)</f>
        <v>입력오류</v>
      </c>
      <c r="DQ180" s="2"/>
      <c r="EA180" s="21" t="str">
        <f ca="1">_xll.IMDP("BND",DR180,EA8,DR3)</f>
        <v>입력오류</v>
      </c>
      <c r="EB180" s="23" t="str">
        <f ca="1">_xll.IMDP("BND",DR180,EB8,DR3)</f>
        <v>입력오류</v>
      </c>
    </row>
    <row r="181" spans="1:132" ht="13.5" customHeight="1" x14ac:dyDescent="0.3">
      <c r="A181" s="2">
        <v>46198</v>
      </c>
      <c r="B181" s="3" t="s">
        <v>1898</v>
      </c>
      <c r="C181" s="3" t="s">
        <v>1899</v>
      </c>
      <c r="D181" s="3" t="s">
        <v>1900</v>
      </c>
      <c r="E181" s="3">
        <v>0</v>
      </c>
      <c r="F181" s="3">
        <v>0.23</v>
      </c>
      <c r="G181" s="3">
        <v>0</v>
      </c>
      <c r="H181" s="3">
        <v>259456</v>
      </c>
      <c r="I181" s="3">
        <v>9770.49</v>
      </c>
      <c r="J181" s="3">
        <v>3.1023000000000001</v>
      </c>
      <c r="K181" s="21">
        <f ca="1">_xll.IMDP("BND",B181,K8,B3)</f>
        <v>20291025</v>
      </c>
      <c r="L181" s="23">
        <f ca="1">_xll.IMDP("BND",B181,L8,B3)</f>
        <v>4.1980000000000004</v>
      </c>
      <c r="M181" s="2"/>
      <c r="W181" s="21" t="str">
        <f ca="1">_xll.IMDP("BND",N181,W8,N3)</f>
        <v>입력오류</v>
      </c>
      <c r="X181" s="23" t="str">
        <f ca="1">_xll.IMDP("BND",N181,X8,N3)</f>
        <v>입력오류</v>
      </c>
      <c r="Y181" s="2"/>
      <c r="AI181" s="21" t="str">
        <f ca="1">_xll.IMDP("BND",Z181,AI8,Z3)</f>
        <v>입력오류</v>
      </c>
      <c r="AJ181" s="23" t="str">
        <f ca="1">_xll.IMDP("BND",Z181,AJ8,Z3)</f>
        <v>입력오류</v>
      </c>
      <c r="AK181" s="2"/>
      <c r="AU181" s="21" t="str">
        <f ca="1">_xll.IMDP("BND",AL181,AU8,AL3)</f>
        <v>입력오류</v>
      </c>
      <c r="AV181" s="23" t="str">
        <f ca="1">_xll.IMDP("BND",AL181,AV8,AL3)</f>
        <v>입력오류</v>
      </c>
      <c r="AW181" s="2"/>
      <c r="BG181" s="21" t="str">
        <f ca="1">_xll.IMDP("BND",AX181,BG8,AX3)</f>
        <v>입력오류</v>
      </c>
      <c r="BH181" s="23" t="str">
        <f ca="1">_xll.IMDP("BND",AX181,BH8,AX3)</f>
        <v>입력오류</v>
      </c>
      <c r="BI181" s="2">
        <v>46198</v>
      </c>
      <c r="BJ181" s="3" t="s">
        <v>1527</v>
      </c>
      <c r="BK181" s="3" t="s">
        <v>1528</v>
      </c>
      <c r="BL181" s="3" t="s">
        <v>1529</v>
      </c>
      <c r="BM181" s="3">
        <v>0</v>
      </c>
      <c r="BN181" s="3">
        <v>0.14000000000000001</v>
      </c>
      <c r="BO181" s="3">
        <v>0</v>
      </c>
      <c r="BP181" s="3">
        <v>172241</v>
      </c>
      <c r="BQ181" s="3">
        <v>10013.219999999999</v>
      </c>
      <c r="BR181" s="3">
        <v>0.42330000000000001</v>
      </c>
      <c r="BS181" s="21">
        <f ca="1">_xll.IMDP("BND",BJ181,BS8,BJ3)</f>
        <v>20261129</v>
      </c>
      <c r="BT181" s="23">
        <f ca="1">_xll.IMDP("BND",BJ181,BT8,BJ3)</f>
        <v>3.2869999999999999</v>
      </c>
      <c r="BU181" s="2"/>
      <c r="CE181" s="21" t="str">
        <f ca="1">_xll.IMDP("BND",BV181,CE8,BV3)</f>
        <v>입력오류</v>
      </c>
      <c r="CF181" s="23" t="str">
        <f ca="1">_xll.IMDP("BND",BV181,CF8,BV3)</f>
        <v>입력오류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">
        <v>46198</v>
      </c>
      <c r="CT181" s="3" t="s">
        <v>2483</v>
      </c>
      <c r="CU181" s="3" t="s">
        <v>2481</v>
      </c>
      <c r="CV181" s="3" t="s">
        <v>2484</v>
      </c>
      <c r="CW181" s="3">
        <v>0</v>
      </c>
      <c r="CX181" s="3">
        <v>0.16</v>
      </c>
      <c r="CY181" s="3">
        <v>0</v>
      </c>
      <c r="CZ181" s="3">
        <v>231317</v>
      </c>
      <c r="DC181" s="21" t="str">
        <f ca="1">_xll.IMDP("BND",CT181,DC8,CT3)</f>
        <v/>
      </c>
      <c r="DD181" s="23" t="str">
        <f ca="1">_xll.IMDP("BND",CT181,DD8,CT3)</f>
        <v/>
      </c>
      <c r="DE181" s="2"/>
      <c r="DO181" s="21" t="str">
        <f ca="1">_xll.IMDP("BND",DF181,DO8,DF3)</f>
        <v>입력오류</v>
      </c>
      <c r="DP181" s="23" t="str">
        <f ca="1">_xll.IMDP("BND",DF181,DP8,DF3)</f>
        <v>입력오류</v>
      </c>
      <c r="DQ181" s="2"/>
      <c r="EA181" s="21" t="str">
        <f ca="1">_xll.IMDP("BND",DR181,EA8,DR3)</f>
        <v>입력오류</v>
      </c>
      <c r="EB181" s="23" t="str">
        <f ca="1">_xll.IMDP("BND",DR181,EB8,DR3)</f>
        <v>입력오류</v>
      </c>
    </row>
    <row r="182" spans="1:132" ht="13.5" customHeight="1" x14ac:dyDescent="0.3">
      <c r="A182" s="2">
        <v>46198</v>
      </c>
      <c r="B182" s="3" t="s">
        <v>1904</v>
      </c>
      <c r="C182" s="3" t="s">
        <v>1905</v>
      </c>
      <c r="D182" s="3" t="s">
        <v>1906</v>
      </c>
      <c r="E182" s="3">
        <v>0</v>
      </c>
      <c r="F182" s="3">
        <v>0.23</v>
      </c>
      <c r="G182" s="3">
        <v>0</v>
      </c>
      <c r="H182" s="3">
        <v>259289</v>
      </c>
      <c r="I182" s="3">
        <v>9763.98</v>
      </c>
      <c r="J182" s="3">
        <v>1.8055000000000001</v>
      </c>
      <c r="K182" s="21">
        <f ca="1">_xll.IMDP("BND",B182,K8,B3)</f>
        <v>20280509</v>
      </c>
      <c r="L182" s="23">
        <f ca="1">_xll.IMDP("BND",B182,L8,B3)</f>
        <v>4.3109999999999999</v>
      </c>
      <c r="M182" s="2"/>
      <c r="W182" s="21" t="str">
        <f ca="1">_xll.IMDP("BND",N182,W8,N3)</f>
        <v>입력오류</v>
      </c>
      <c r="X182" s="23" t="str">
        <f ca="1">_xll.IMDP("BND",N182,X8,N3)</f>
        <v>입력오류</v>
      </c>
      <c r="Y182" s="2"/>
      <c r="AI182" s="21" t="str">
        <f ca="1">_xll.IMDP("BND",Z182,AI8,Z3)</f>
        <v>입력오류</v>
      </c>
      <c r="AJ182" s="23" t="str">
        <f ca="1">_xll.IMDP("BND",Z182,AJ8,Z3)</f>
        <v>입력오류</v>
      </c>
      <c r="AK182" s="2"/>
      <c r="AU182" s="21" t="str">
        <f ca="1">_xll.IMDP("BND",AL182,AU8,AL3)</f>
        <v>입력오류</v>
      </c>
      <c r="AV182" s="23" t="str">
        <f ca="1">_xll.IMDP("BND",AL182,AV8,AL3)</f>
        <v>입력오류</v>
      </c>
      <c r="AW182" s="2"/>
      <c r="BG182" s="21" t="str">
        <f ca="1">_xll.IMDP("BND",AX182,BG8,AX3)</f>
        <v>입력오류</v>
      </c>
      <c r="BH182" s="23" t="str">
        <f ca="1">_xll.IMDP("BND",AX182,BH8,AX3)</f>
        <v>입력오류</v>
      </c>
      <c r="BI182" s="2">
        <v>46198</v>
      </c>
      <c r="BJ182" s="3" t="s">
        <v>1530</v>
      </c>
      <c r="BK182" s="3" t="s">
        <v>1531</v>
      </c>
      <c r="BL182" s="3" t="s">
        <v>1532</v>
      </c>
      <c r="BM182" s="3">
        <v>0</v>
      </c>
      <c r="BN182" s="3">
        <v>0.14000000000000001</v>
      </c>
      <c r="BO182" s="3">
        <v>0</v>
      </c>
      <c r="BP182" s="3">
        <v>172238</v>
      </c>
      <c r="BQ182" s="3">
        <v>10012.950000000001</v>
      </c>
      <c r="BR182" s="3">
        <v>0.21290000000000001</v>
      </c>
      <c r="BS182" s="21">
        <f ca="1">_xll.IMDP("BND",BJ182,BS8,BJ3)</f>
        <v>20260911</v>
      </c>
      <c r="BT182" s="23">
        <f ca="1">_xll.IMDP("BND",BJ182,BT8,BJ3)</f>
        <v>3.2130000000000001</v>
      </c>
      <c r="BU182" s="2"/>
      <c r="CE182" s="21" t="str">
        <f ca="1">_xll.IMDP("BND",BV182,CE8,BV3)</f>
        <v>입력오류</v>
      </c>
      <c r="CF182" s="23" t="str">
        <f ca="1">_xll.IMDP("BND",BV182,CF8,BV3)</f>
        <v>입력오류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">
        <v>46198</v>
      </c>
      <c r="CT182" s="3" t="s">
        <v>2485</v>
      </c>
      <c r="CU182" s="3" t="s">
        <v>346</v>
      </c>
      <c r="CV182" s="3" t="s">
        <v>2486</v>
      </c>
      <c r="CW182" s="3">
        <v>0</v>
      </c>
      <c r="CX182" s="3">
        <v>0.16</v>
      </c>
      <c r="CY182" s="3">
        <v>0</v>
      </c>
      <c r="CZ182" s="3">
        <v>231247</v>
      </c>
      <c r="DC182" s="21" t="str">
        <f ca="1">_xll.IMDP("BND",CT182,DC8,CT3)</f>
        <v/>
      </c>
      <c r="DD182" s="23" t="str">
        <f ca="1">_xll.IMDP("BND",CT182,DD8,CT3)</f>
        <v/>
      </c>
      <c r="DE182" s="2"/>
      <c r="DO182" s="21" t="str">
        <f ca="1">_xll.IMDP("BND",DF182,DO8,DF3)</f>
        <v>입력오류</v>
      </c>
      <c r="DP182" s="23" t="str">
        <f ca="1">_xll.IMDP("BND",DF182,DP8,DF3)</f>
        <v>입력오류</v>
      </c>
      <c r="DQ182" s="2"/>
      <c r="EA182" s="21" t="str">
        <f ca="1">_xll.IMDP("BND",DR182,EA8,DR3)</f>
        <v>입력오류</v>
      </c>
      <c r="EB182" s="23" t="str">
        <f ca="1">_xll.IMDP("BND",DR182,EB8,DR3)</f>
        <v>입력오류</v>
      </c>
    </row>
    <row r="183" spans="1:132" ht="13.5" customHeight="1" x14ac:dyDescent="0.3">
      <c r="A183" s="2">
        <v>46198</v>
      </c>
      <c r="B183" s="3" t="s">
        <v>1901</v>
      </c>
      <c r="C183" s="3" t="s">
        <v>1902</v>
      </c>
      <c r="D183" s="3" t="s">
        <v>1903</v>
      </c>
      <c r="E183" s="3">
        <v>0</v>
      </c>
      <c r="F183" s="3">
        <v>0.23</v>
      </c>
      <c r="G183" s="3">
        <v>0</v>
      </c>
      <c r="H183" s="3">
        <v>259273</v>
      </c>
      <c r="I183" s="3">
        <v>9763.8700000000008</v>
      </c>
      <c r="J183" s="3">
        <v>4.173</v>
      </c>
      <c r="K183" s="21">
        <f ca="1">_xll.IMDP("BND",B183,K8,B3)</f>
        <v>20310129</v>
      </c>
      <c r="L183" s="23">
        <f ca="1">_xll.IMDP("BND",B183,L8,B3)</f>
        <v>4.3890000000000002</v>
      </c>
      <c r="M183" s="2"/>
      <c r="W183" s="21" t="str">
        <f ca="1">_xll.IMDP("BND",N183,W8,N3)</f>
        <v>입력오류</v>
      </c>
      <c r="X183" s="23" t="str">
        <f ca="1">_xll.IMDP("BND",N183,X8,N3)</f>
        <v>입력오류</v>
      </c>
      <c r="Y183" s="2"/>
      <c r="AI183" s="21" t="str">
        <f ca="1">_xll.IMDP("BND",Z183,AI8,Z3)</f>
        <v>입력오류</v>
      </c>
      <c r="AJ183" s="23" t="str">
        <f ca="1">_xll.IMDP("BND",Z183,AJ8,Z3)</f>
        <v>입력오류</v>
      </c>
      <c r="AK183" s="2"/>
      <c r="AU183" s="21" t="str">
        <f ca="1">_xll.IMDP("BND",AL183,AU8,AL3)</f>
        <v>입력오류</v>
      </c>
      <c r="AV183" s="23" t="str">
        <f ca="1">_xll.IMDP("BND",AL183,AV8,AL3)</f>
        <v>입력오류</v>
      </c>
      <c r="AW183" s="2"/>
      <c r="BG183" s="21" t="str">
        <f ca="1">_xll.IMDP("BND",AX183,BG8,AX3)</f>
        <v>입력오류</v>
      </c>
      <c r="BH183" s="23" t="str">
        <f ca="1">_xll.IMDP("BND",AX183,BH8,AX3)</f>
        <v>입력오류</v>
      </c>
      <c r="BI183" s="2">
        <v>46198</v>
      </c>
      <c r="BJ183" s="3" t="s">
        <v>979</v>
      </c>
      <c r="BK183" s="3" t="s">
        <v>980</v>
      </c>
      <c r="BL183" s="3" t="s">
        <v>981</v>
      </c>
      <c r="BM183" s="3">
        <v>0</v>
      </c>
      <c r="BN183" s="3">
        <v>0.14000000000000001</v>
      </c>
      <c r="BO183" s="3">
        <v>0</v>
      </c>
      <c r="BP183" s="3">
        <v>172211</v>
      </c>
      <c r="BQ183" s="3">
        <v>10011.51</v>
      </c>
      <c r="BR183" s="3">
        <v>0.12790000000000001</v>
      </c>
      <c r="BS183" s="21">
        <f ca="1">_xll.IMDP("BND",BJ183,BS8,BJ3)</f>
        <v>20260811</v>
      </c>
      <c r="BT183" s="23">
        <f ca="1">_xll.IMDP("BND",BJ183,BT8,BJ3)</f>
        <v>3.2360000000000002</v>
      </c>
      <c r="BU183" s="2"/>
      <c r="CE183" s="21" t="str">
        <f ca="1">_xll.IMDP("BND",BV183,CE8,BV3)</f>
        <v>입력오류</v>
      </c>
      <c r="CF183" s="23" t="str">
        <f ca="1">_xll.IMDP("BND",BV183,CF8,BV3)</f>
        <v>입력오류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">
        <v>46198</v>
      </c>
      <c r="CT183" s="3" t="s">
        <v>2487</v>
      </c>
      <c r="CU183" s="3" t="s">
        <v>2488</v>
      </c>
      <c r="CV183" s="3" t="s">
        <v>2489</v>
      </c>
      <c r="CW183" s="3">
        <v>0</v>
      </c>
      <c r="CX183" s="3">
        <v>0.16</v>
      </c>
      <c r="CY183" s="3">
        <v>0</v>
      </c>
      <c r="CZ183" s="3">
        <v>231204</v>
      </c>
      <c r="DC183" s="21" t="str">
        <f ca="1">_xll.IMDP("BND",CT183,DC8,CT3)</f>
        <v/>
      </c>
      <c r="DD183" s="23" t="str">
        <f ca="1">_xll.IMDP("BND",CT183,DD8,CT3)</f>
        <v/>
      </c>
      <c r="DE183" s="2"/>
      <c r="DO183" s="21" t="str">
        <f ca="1">_xll.IMDP("BND",DF183,DO8,DF3)</f>
        <v>입력오류</v>
      </c>
      <c r="DP183" s="23" t="str">
        <f ca="1">_xll.IMDP("BND",DF183,DP8,DF3)</f>
        <v>입력오류</v>
      </c>
      <c r="DQ183" s="2"/>
      <c r="EA183" s="21" t="str">
        <f ca="1">_xll.IMDP("BND",DR183,EA8,DR3)</f>
        <v>입력오류</v>
      </c>
      <c r="EB183" s="23" t="str">
        <f ca="1">_xll.IMDP("BND",DR183,EB8,DR3)</f>
        <v>입력오류</v>
      </c>
    </row>
    <row r="184" spans="1:132" ht="13.5" customHeight="1" x14ac:dyDescent="0.3">
      <c r="A184" s="2">
        <v>46198</v>
      </c>
      <c r="B184" s="3" t="s">
        <v>1910</v>
      </c>
      <c r="C184" s="3" t="s">
        <v>1772</v>
      </c>
      <c r="D184" s="3" t="s">
        <v>1911</v>
      </c>
      <c r="E184" s="3">
        <v>0</v>
      </c>
      <c r="F184" s="3">
        <v>0.23</v>
      </c>
      <c r="G184" s="3">
        <v>0</v>
      </c>
      <c r="H184" s="3">
        <v>259216</v>
      </c>
      <c r="I184" s="3">
        <v>9761.5400000000009</v>
      </c>
      <c r="J184" s="3">
        <v>1.8015000000000001</v>
      </c>
      <c r="K184" s="21">
        <f ca="1">_xll.IMDP("BND",B184,K8,B3)</f>
        <v>20280508</v>
      </c>
      <c r="L184" s="23">
        <f ca="1">_xll.IMDP("BND",B184,L8,B3)</f>
        <v>4.2869999999999999</v>
      </c>
      <c r="M184" s="2"/>
      <c r="W184" s="21" t="str">
        <f ca="1">_xll.IMDP("BND",N184,W8,N3)</f>
        <v>입력오류</v>
      </c>
      <c r="X184" s="23" t="str">
        <f ca="1">_xll.IMDP("BND",N184,X8,N3)</f>
        <v>입력오류</v>
      </c>
      <c r="Y184" s="2"/>
      <c r="AI184" s="21" t="str">
        <f ca="1">_xll.IMDP("BND",Z184,AI8,Z3)</f>
        <v>입력오류</v>
      </c>
      <c r="AJ184" s="23" t="str">
        <f ca="1">_xll.IMDP("BND",Z184,AJ8,Z3)</f>
        <v>입력오류</v>
      </c>
      <c r="AK184" s="2"/>
      <c r="AU184" s="21" t="str">
        <f ca="1">_xll.IMDP("BND",AL184,AU8,AL3)</f>
        <v>입력오류</v>
      </c>
      <c r="AV184" s="23" t="str">
        <f ca="1">_xll.IMDP("BND",AL184,AV8,AL3)</f>
        <v>입력오류</v>
      </c>
      <c r="AW184" s="2"/>
      <c r="BG184" s="21" t="str">
        <f ca="1">_xll.IMDP("BND",AX184,BG8,AX3)</f>
        <v>입력오류</v>
      </c>
      <c r="BH184" s="23" t="str">
        <f ca="1">_xll.IMDP("BND",AX184,BH8,AX3)</f>
        <v>입력오류</v>
      </c>
      <c r="BI184" s="2">
        <v>46198</v>
      </c>
      <c r="BJ184" s="3" t="s">
        <v>1533</v>
      </c>
      <c r="BK184" s="3" t="s">
        <v>1534</v>
      </c>
      <c r="BL184" s="3" t="s">
        <v>1535</v>
      </c>
      <c r="BM184" s="3">
        <v>0</v>
      </c>
      <c r="BN184" s="3">
        <v>0.14000000000000001</v>
      </c>
      <c r="BO184" s="3">
        <v>0</v>
      </c>
      <c r="BP184" s="3">
        <v>172162</v>
      </c>
      <c r="BQ184" s="3">
        <v>10009.19</v>
      </c>
      <c r="BR184" s="3">
        <v>0.64839999999999998</v>
      </c>
      <c r="BS184" s="21">
        <f ca="1">_xll.IMDP("BND",BJ184,BS8,BJ3)</f>
        <v>20270222</v>
      </c>
      <c r="BT184" s="23">
        <f ca="1">_xll.IMDP("BND",BJ184,BT8,BJ3)</f>
        <v>3.5779999999999998</v>
      </c>
      <c r="BU184" s="2"/>
      <c r="CE184" s="21" t="str">
        <f ca="1">_xll.IMDP("BND",BV184,CE8,BV3)</f>
        <v>입력오류</v>
      </c>
      <c r="CF184" s="23" t="str">
        <f ca="1">_xll.IMDP("BND",BV184,CF8,BV3)</f>
        <v>입력오류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">
        <v>46198</v>
      </c>
      <c r="CT184" s="3" t="s">
        <v>2490</v>
      </c>
      <c r="CU184" s="3" t="s">
        <v>346</v>
      </c>
      <c r="CV184" s="3" t="s">
        <v>2491</v>
      </c>
      <c r="CW184" s="3">
        <v>0</v>
      </c>
      <c r="CX184" s="3">
        <v>0.16</v>
      </c>
      <c r="CY184" s="3">
        <v>0</v>
      </c>
      <c r="CZ184" s="3">
        <v>231155</v>
      </c>
      <c r="DC184" s="21" t="str">
        <f ca="1">_xll.IMDP("BND",CT184,DC8,CT3)</f>
        <v/>
      </c>
      <c r="DD184" s="23" t="str">
        <f ca="1">_xll.IMDP("BND",CT184,DD8,CT3)</f>
        <v/>
      </c>
      <c r="DE184" s="2"/>
      <c r="DO184" s="21" t="str">
        <f ca="1">_xll.IMDP("BND",DF184,DO8,DF3)</f>
        <v>입력오류</v>
      </c>
      <c r="DP184" s="23" t="str">
        <f ca="1">_xll.IMDP("BND",DF184,DP8,DF3)</f>
        <v>입력오류</v>
      </c>
      <c r="DQ184" s="2"/>
      <c r="EA184" s="21" t="str">
        <f ca="1">_xll.IMDP("BND",DR184,EA8,DR3)</f>
        <v>입력오류</v>
      </c>
      <c r="EB184" s="23" t="str">
        <f ca="1">_xll.IMDP("BND",DR184,EB8,DR3)</f>
        <v>입력오류</v>
      </c>
    </row>
    <row r="185" spans="1:132" ht="13.5" customHeight="1" x14ac:dyDescent="0.3">
      <c r="A185" s="2">
        <v>46198</v>
      </c>
      <c r="B185" s="3" t="s">
        <v>1912</v>
      </c>
      <c r="C185" s="3" t="s">
        <v>1913</v>
      </c>
      <c r="D185" s="3" t="s">
        <v>1914</v>
      </c>
      <c r="E185" s="3">
        <v>0</v>
      </c>
      <c r="F185" s="3">
        <v>0.23</v>
      </c>
      <c r="G185" s="3">
        <v>0</v>
      </c>
      <c r="H185" s="3">
        <v>259188</v>
      </c>
      <c r="I185" s="3">
        <v>9759.98</v>
      </c>
      <c r="J185" s="3">
        <v>1.9693000000000001</v>
      </c>
      <c r="K185" s="21">
        <f ca="1">_xll.IMDP("BND",B185,K8,B3)</f>
        <v>20280714</v>
      </c>
      <c r="L185" s="23">
        <f ca="1">_xll.IMDP("BND",B185,L8,B3)</f>
        <v>4.3220000000000001</v>
      </c>
      <c r="M185" s="2"/>
      <c r="W185" s="21" t="str">
        <f ca="1">_xll.IMDP("BND",N185,W8,N3)</f>
        <v>입력오류</v>
      </c>
      <c r="X185" s="23" t="str">
        <f ca="1">_xll.IMDP("BND",N185,X8,N3)</f>
        <v>입력오류</v>
      </c>
      <c r="Y185" s="2"/>
      <c r="AI185" s="21" t="str">
        <f ca="1">_xll.IMDP("BND",Z185,AI8,Z3)</f>
        <v>입력오류</v>
      </c>
      <c r="AJ185" s="23" t="str">
        <f ca="1">_xll.IMDP("BND",Z185,AJ8,Z3)</f>
        <v>입력오류</v>
      </c>
      <c r="AK185" s="2"/>
      <c r="AU185" s="21" t="str">
        <f ca="1">_xll.IMDP("BND",AL185,AU8,AL3)</f>
        <v>입력오류</v>
      </c>
      <c r="AV185" s="23" t="str">
        <f ca="1">_xll.IMDP("BND",AL185,AV8,AL3)</f>
        <v>입력오류</v>
      </c>
      <c r="AW185" s="2"/>
      <c r="BG185" s="21" t="str">
        <f ca="1">_xll.IMDP("BND",AX185,BG8,AX3)</f>
        <v>입력오류</v>
      </c>
      <c r="BH185" s="23" t="str">
        <f ca="1">_xll.IMDP("BND",AX185,BH8,AX3)</f>
        <v>입력오류</v>
      </c>
      <c r="BI185" s="2">
        <v>46198</v>
      </c>
      <c r="BJ185" s="3" t="s">
        <v>1536</v>
      </c>
      <c r="BK185" s="3" t="s">
        <v>1537</v>
      </c>
      <c r="BL185" s="3" t="s">
        <v>1538</v>
      </c>
      <c r="BM185" s="3">
        <v>0</v>
      </c>
      <c r="BN185" s="3">
        <v>0.14000000000000001</v>
      </c>
      <c r="BO185" s="3">
        <v>0</v>
      </c>
      <c r="BP185" s="3">
        <v>172059</v>
      </c>
      <c r="BQ185" s="3">
        <v>10003.09</v>
      </c>
      <c r="BR185" s="3">
        <v>0.62329999999999997</v>
      </c>
      <c r="BS185" s="21">
        <f ca="1">_xll.IMDP("BND",BJ185,BS8,BJ3)</f>
        <v>20270212</v>
      </c>
      <c r="BT185" s="23">
        <f ca="1">_xll.IMDP("BND",BJ185,BT8,BJ3)</f>
        <v>3.5339999999999998</v>
      </c>
      <c r="BU185" s="2"/>
      <c r="CE185" s="21" t="str">
        <f ca="1">_xll.IMDP("BND",BV185,CE8,BV3)</f>
        <v>입력오류</v>
      </c>
      <c r="CF185" s="23" t="str">
        <f ca="1">_xll.IMDP("BND",BV185,CF8,BV3)</f>
        <v>입력오류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">
        <v>46198</v>
      </c>
      <c r="CT185" s="3" t="s">
        <v>2495</v>
      </c>
      <c r="CU185" s="3" t="s">
        <v>2493</v>
      </c>
      <c r="CV185" s="3" t="s">
        <v>2496</v>
      </c>
      <c r="CW185" s="3">
        <v>0</v>
      </c>
      <c r="CX185" s="3">
        <v>0.16</v>
      </c>
      <c r="CY185" s="3">
        <v>0</v>
      </c>
      <c r="CZ185" s="3">
        <v>231051</v>
      </c>
      <c r="DC185" s="21" t="str">
        <f ca="1">_xll.IMDP("BND",CT185,DC8,CT3)</f>
        <v/>
      </c>
      <c r="DD185" s="23" t="str">
        <f ca="1">_xll.IMDP("BND",CT185,DD8,CT3)</f>
        <v/>
      </c>
      <c r="DE185" s="2"/>
      <c r="DO185" s="21" t="str">
        <f ca="1">_xll.IMDP("BND",DF185,DO8,DF3)</f>
        <v>입력오류</v>
      </c>
      <c r="DP185" s="23" t="str">
        <f ca="1">_xll.IMDP("BND",DF185,DP8,DF3)</f>
        <v>입력오류</v>
      </c>
      <c r="DQ185" s="2"/>
      <c r="EA185" s="21" t="str">
        <f ca="1">_xll.IMDP("BND",DR185,EA8,DR3)</f>
        <v>입력오류</v>
      </c>
      <c r="EB185" s="23" t="str">
        <f ca="1">_xll.IMDP("BND",DR185,EB8,DR3)</f>
        <v>입력오류</v>
      </c>
    </row>
    <row r="186" spans="1:132" ht="13.5" customHeight="1" x14ac:dyDescent="0.3">
      <c r="A186" s="2">
        <v>46198</v>
      </c>
      <c r="B186" s="3" t="s">
        <v>1907</v>
      </c>
      <c r="C186" s="3" t="s">
        <v>1908</v>
      </c>
      <c r="D186" s="3" t="s">
        <v>1909</v>
      </c>
      <c r="E186" s="3">
        <v>0</v>
      </c>
      <c r="F186" s="3">
        <v>0.23</v>
      </c>
      <c r="G186" s="3">
        <v>0</v>
      </c>
      <c r="H186" s="3">
        <v>259187</v>
      </c>
      <c r="I186" s="3">
        <v>9759.75</v>
      </c>
      <c r="J186" s="3">
        <v>2.9984999999999999</v>
      </c>
      <c r="K186" s="21">
        <f ca="1">_xll.IMDP("BND",B186,K8,B3)</f>
        <v>20290903</v>
      </c>
      <c r="L186" s="23">
        <f ca="1">_xll.IMDP("BND",B186,L8,B3)</f>
        <v>4.2720000000000002</v>
      </c>
      <c r="M186" s="2"/>
      <c r="W186" s="21" t="str">
        <f ca="1">_xll.IMDP("BND",N186,W8,N3)</f>
        <v>입력오류</v>
      </c>
      <c r="X186" s="23" t="str">
        <f ca="1">_xll.IMDP("BND",N186,X8,N3)</f>
        <v>입력오류</v>
      </c>
      <c r="Y186" s="2"/>
      <c r="AI186" s="21" t="str">
        <f ca="1">_xll.IMDP("BND",Z186,AI8,Z3)</f>
        <v>입력오류</v>
      </c>
      <c r="AJ186" s="23" t="str">
        <f ca="1">_xll.IMDP("BND",Z186,AJ8,Z3)</f>
        <v>입력오류</v>
      </c>
      <c r="AK186" s="2"/>
      <c r="AU186" s="21" t="str">
        <f ca="1">_xll.IMDP("BND",AL186,AU8,AL3)</f>
        <v>입력오류</v>
      </c>
      <c r="AV186" s="23" t="str">
        <f ca="1">_xll.IMDP("BND",AL186,AV8,AL3)</f>
        <v>입력오류</v>
      </c>
      <c r="AW186" s="2"/>
      <c r="BG186" s="21" t="str">
        <f ca="1">_xll.IMDP("BND",AX186,BG8,AX3)</f>
        <v>입력오류</v>
      </c>
      <c r="BH186" s="23" t="str">
        <f ca="1">_xll.IMDP("BND",AX186,BH8,AX3)</f>
        <v>입력오류</v>
      </c>
      <c r="BI186" s="2">
        <v>46198</v>
      </c>
      <c r="BJ186" s="3" t="s">
        <v>1539</v>
      </c>
      <c r="BK186" s="3" t="s">
        <v>1102</v>
      </c>
      <c r="BL186" s="3" t="s">
        <v>1540</v>
      </c>
      <c r="BM186" s="3">
        <v>0</v>
      </c>
      <c r="BN186" s="3">
        <v>0.14000000000000001</v>
      </c>
      <c r="BO186" s="3">
        <v>0</v>
      </c>
      <c r="BP186" s="3">
        <v>171916</v>
      </c>
      <c r="BQ186" s="3">
        <v>9993.9500000000007</v>
      </c>
      <c r="BR186" s="3">
        <v>0.64070000000000005</v>
      </c>
      <c r="BS186" s="21">
        <f ca="1">_xll.IMDP("BND",BJ186,BS8,BJ3)</f>
        <v>20270219</v>
      </c>
      <c r="BT186" s="23">
        <f ca="1">_xll.IMDP("BND",BJ186,BT8,BJ3)</f>
        <v>3.585</v>
      </c>
      <c r="BU186" s="2"/>
      <c r="CE186" s="21" t="str">
        <f ca="1">_xll.IMDP("BND",BV186,CE8,BV3)</f>
        <v>입력오류</v>
      </c>
      <c r="CF186" s="23" t="str">
        <f ca="1">_xll.IMDP("BND",BV186,CF8,BV3)</f>
        <v>입력오류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">
        <v>46198</v>
      </c>
      <c r="CT186" s="3" t="s">
        <v>2492</v>
      </c>
      <c r="CU186" s="3" t="s">
        <v>2493</v>
      </c>
      <c r="CV186" s="3" t="s">
        <v>2494</v>
      </c>
      <c r="CW186" s="3">
        <v>0</v>
      </c>
      <c r="CX186" s="3">
        <v>0.16</v>
      </c>
      <c r="CY186" s="3">
        <v>0</v>
      </c>
      <c r="CZ186" s="3">
        <v>231051</v>
      </c>
      <c r="DC186" s="21" t="str">
        <f ca="1">_xll.IMDP("BND",CT186,DC8,CT3)</f>
        <v/>
      </c>
      <c r="DD186" s="23" t="str">
        <f ca="1">_xll.IMDP("BND",CT186,DD8,CT3)</f>
        <v/>
      </c>
      <c r="DE186" s="2"/>
      <c r="DO186" s="21" t="str">
        <f ca="1">_xll.IMDP("BND",DF186,DO8,DF3)</f>
        <v>입력오류</v>
      </c>
      <c r="DP186" s="23" t="str">
        <f ca="1">_xll.IMDP("BND",DF186,DP8,DF3)</f>
        <v>입력오류</v>
      </c>
      <c r="DQ186" s="2"/>
      <c r="EA186" s="21" t="str">
        <f ca="1">_xll.IMDP("BND",DR186,EA8,DR3)</f>
        <v>입력오류</v>
      </c>
      <c r="EB186" s="23" t="str">
        <f ca="1">_xll.IMDP("BND",DR186,EB8,DR3)</f>
        <v>입력오류</v>
      </c>
    </row>
    <row r="187" spans="1:132" ht="13.5" customHeight="1" x14ac:dyDescent="0.3">
      <c r="A187" s="2">
        <v>46198</v>
      </c>
      <c r="B187" s="3" t="s">
        <v>1915</v>
      </c>
      <c r="C187" s="3" t="s">
        <v>1916</v>
      </c>
      <c r="D187" s="3" t="s">
        <v>1917</v>
      </c>
      <c r="E187" s="3">
        <v>0</v>
      </c>
      <c r="F187" s="3">
        <v>0.23</v>
      </c>
      <c r="G187" s="3">
        <v>0</v>
      </c>
      <c r="H187" s="3">
        <v>259049</v>
      </c>
      <c r="I187" s="3">
        <v>9756.09</v>
      </c>
      <c r="J187" s="3">
        <v>2.1596000000000002</v>
      </c>
      <c r="K187" s="21">
        <f ca="1">_xll.IMDP("BND",B187,K8,B3)</f>
        <v>20280928</v>
      </c>
      <c r="L187" s="23">
        <f ca="1">_xll.IMDP("BND",B187,L8,B3)</f>
        <v>4.2949999999999999</v>
      </c>
      <c r="M187" s="2"/>
      <c r="W187" s="21" t="str">
        <f ca="1">_xll.IMDP("BND",N187,W8,N3)</f>
        <v>입력오류</v>
      </c>
      <c r="X187" s="23" t="str">
        <f ca="1">_xll.IMDP("BND",N187,X8,N3)</f>
        <v>입력오류</v>
      </c>
      <c r="Y187" s="2"/>
      <c r="AI187" s="21" t="str">
        <f ca="1">_xll.IMDP("BND",Z187,AI8,Z3)</f>
        <v>입력오류</v>
      </c>
      <c r="AJ187" s="23" t="str">
        <f ca="1">_xll.IMDP("BND",Z187,AJ8,Z3)</f>
        <v>입력오류</v>
      </c>
      <c r="AK187" s="2"/>
      <c r="AU187" s="21" t="str">
        <f ca="1">_xll.IMDP("BND",AL187,AU8,AL3)</f>
        <v>입력오류</v>
      </c>
      <c r="AV187" s="23" t="str">
        <f ca="1">_xll.IMDP("BND",AL187,AV8,AL3)</f>
        <v>입력오류</v>
      </c>
      <c r="AW187" s="2"/>
      <c r="BG187" s="21" t="str">
        <f ca="1">_xll.IMDP("BND",AX187,BG8,AX3)</f>
        <v>입력오류</v>
      </c>
      <c r="BH187" s="23" t="str">
        <f ca="1">_xll.IMDP("BND",AX187,BH8,AX3)</f>
        <v>입력오류</v>
      </c>
      <c r="BI187" s="2">
        <v>46198</v>
      </c>
      <c r="BJ187" s="3" t="s">
        <v>1541</v>
      </c>
      <c r="BK187" s="3" t="s">
        <v>273</v>
      </c>
      <c r="BL187" s="3" t="s">
        <v>1542</v>
      </c>
      <c r="BM187" s="3">
        <v>0</v>
      </c>
      <c r="BN187" s="3">
        <v>0.14000000000000001</v>
      </c>
      <c r="BO187" s="3">
        <v>0</v>
      </c>
      <c r="BP187" s="3">
        <v>171870</v>
      </c>
      <c r="BQ187" s="3">
        <v>9992.2900000000009</v>
      </c>
      <c r="BR187" s="3">
        <v>0.63849999999999996</v>
      </c>
      <c r="BS187" s="21">
        <f ca="1">_xll.IMDP("BND",BJ187,BS8,BJ3)</f>
        <v>20270218</v>
      </c>
      <c r="BT187" s="23">
        <f ca="1">_xll.IMDP("BND",BJ187,BT8,BJ3)</f>
        <v>3.456</v>
      </c>
      <c r="BU187" s="2"/>
      <c r="CE187" s="21" t="str">
        <f ca="1">_xll.IMDP("BND",BV187,CE8,BV3)</f>
        <v>입력오류</v>
      </c>
      <c r="CF187" s="23" t="str">
        <f ca="1">_xll.IMDP("BND",BV187,CF8,BV3)</f>
        <v>입력오류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">
        <v>46198</v>
      </c>
      <c r="CT187" s="3" t="s">
        <v>2508</v>
      </c>
      <c r="CU187" s="3" t="s">
        <v>2498</v>
      </c>
      <c r="CV187" s="3" t="s">
        <v>2509</v>
      </c>
      <c r="CW187" s="3">
        <v>0</v>
      </c>
      <c r="CX187" s="3">
        <v>0.16</v>
      </c>
      <c r="CY187" s="3">
        <v>0</v>
      </c>
      <c r="CZ187" s="3">
        <v>230956</v>
      </c>
      <c r="DC187" s="21" t="str">
        <f ca="1">_xll.IMDP("BND",CT187,DC8,CT3)</f>
        <v/>
      </c>
      <c r="DD187" s="23" t="str">
        <f ca="1">_xll.IMDP("BND",CT187,DD8,CT3)</f>
        <v/>
      </c>
      <c r="DE187" s="2"/>
      <c r="DO187" s="21" t="str">
        <f ca="1">_xll.IMDP("BND",DF187,DO8,DF3)</f>
        <v>입력오류</v>
      </c>
      <c r="DP187" s="23" t="str">
        <f ca="1">_xll.IMDP("BND",DF187,DP8,DF3)</f>
        <v>입력오류</v>
      </c>
      <c r="DQ187" s="2"/>
      <c r="EA187" s="21" t="str">
        <f ca="1">_xll.IMDP("BND",DR187,EA8,DR3)</f>
        <v>입력오류</v>
      </c>
      <c r="EB187" s="23" t="str">
        <f ca="1">_xll.IMDP("BND",DR187,EB8,DR3)</f>
        <v>입력오류</v>
      </c>
    </row>
    <row r="188" spans="1:132" ht="13.5" customHeight="1" x14ac:dyDescent="0.3">
      <c r="A188" s="2">
        <v>46198</v>
      </c>
      <c r="B188" s="3" t="s">
        <v>1918</v>
      </c>
      <c r="C188" s="3" t="s">
        <v>1919</v>
      </c>
      <c r="D188" s="3" t="s">
        <v>1920</v>
      </c>
      <c r="E188" s="3">
        <v>0</v>
      </c>
      <c r="F188" s="3">
        <v>0.23</v>
      </c>
      <c r="G188" s="3">
        <v>0</v>
      </c>
      <c r="H188" s="3">
        <v>258939</v>
      </c>
      <c r="I188" s="3">
        <v>9750.98</v>
      </c>
      <c r="J188" s="3">
        <v>1.8407</v>
      </c>
      <c r="K188" s="21">
        <f ca="1">_xll.IMDP("BND",B188,K8,B3)</f>
        <v>20280522</v>
      </c>
      <c r="L188" s="23">
        <f ca="1">_xll.IMDP("BND",B188,L8,B3)</f>
        <v>4.2990000000000004</v>
      </c>
      <c r="M188" s="2"/>
      <c r="W188" s="21" t="str">
        <f ca="1">_xll.IMDP("BND",N188,W8,N3)</f>
        <v>입력오류</v>
      </c>
      <c r="X188" s="23" t="str">
        <f ca="1">_xll.IMDP("BND",N188,X8,N3)</f>
        <v>입력오류</v>
      </c>
      <c r="Y188" s="2"/>
      <c r="AI188" s="21" t="str">
        <f ca="1">_xll.IMDP("BND",Z188,AI8,Z3)</f>
        <v>입력오류</v>
      </c>
      <c r="AJ188" s="23" t="str">
        <f ca="1">_xll.IMDP("BND",Z188,AJ8,Z3)</f>
        <v>입력오류</v>
      </c>
      <c r="AK188" s="2"/>
      <c r="AU188" s="21" t="str">
        <f ca="1">_xll.IMDP("BND",AL188,AU8,AL3)</f>
        <v>입력오류</v>
      </c>
      <c r="AV188" s="23" t="str">
        <f ca="1">_xll.IMDP("BND",AL188,AV8,AL3)</f>
        <v>입력오류</v>
      </c>
      <c r="AW188" s="2"/>
      <c r="BG188" s="21" t="str">
        <f ca="1">_xll.IMDP("BND",AX188,BG8,AX3)</f>
        <v>입력오류</v>
      </c>
      <c r="BH188" s="23" t="str">
        <f ca="1">_xll.IMDP("BND",AX188,BH8,AX3)</f>
        <v>입력오류</v>
      </c>
      <c r="BI188" s="2">
        <v>46198</v>
      </c>
      <c r="BJ188" s="3" t="s">
        <v>1543</v>
      </c>
      <c r="BK188" s="3" t="s">
        <v>1544</v>
      </c>
      <c r="BL188" s="3" t="s">
        <v>1545</v>
      </c>
      <c r="BM188" s="3">
        <v>0</v>
      </c>
      <c r="BN188" s="3">
        <v>0.14000000000000001</v>
      </c>
      <c r="BO188" s="3">
        <v>0</v>
      </c>
      <c r="BP188" s="3">
        <v>170482</v>
      </c>
      <c r="BS188" s="21" t="str">
        <f ca="1">_xll.IMDP("BND",BJ188,BS8,BJ3)</f>
        <v/>
      </c>
      <c r="BT188" s="23" t="str">
        <f ca="1">_xll.IMDP("BND",BJ188,BT8,BJ3)</f>
        <v/>
      </c>
      <c r="BU188" s="2"/>
      <c r="CE188" s="21" t="str">
        <f ca="1">_xll.IMDP("BND",BV188,CE8,BV3)</f>
        <v>입력오류</v>
      </c>
      <c r="CF188" s="23" t="str">
        <f ca="1">_xll.IMDP("BND",BV188,CF8,BV3)</f>
        <v>입력오류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">
        <v>46198</v>
      </c>
      <c r="CT188" s="3" t="s">
        <v>2512</v>
      </c>
      <c r="CU188" s="3" t="s">
        <v>2498</v>
      </c>
      <c r="CV188" s="3" t="s">
        <v>2513</v>
      </c>
      <c r="CW188" s="3">
        <v>0</v>
      </c>
      <c r="CX188" s="3">
        <v>0.16</v>
      </c>
      <c r="CY188" s="3">
        <v>0</v>
      </c>
      <c r="CZ188" s="3">
        <v>230956</v>
      </c>
      <c r="DC188" s="21" t="str">
        <f ca="1">_xll.IMDP("BND",CT188,DC8,CT3)</f>
        <v/>
      </c>
      <c r="DD188" s="23" t="str">
        <f ca="1">_xll.IMDP("BND",CT188,DD8,CT3)</f>
        <v/>
      </c>
      <c r="DE188" s="2"/>
      <c r="DO188" s="21" t="str">
        <f ca="1">_xll.IMDP("BND",DF188,DO8,DF3)</f>
        <v>입력오류</v>
      </c>
      <c r="DP188" s="23" t="str">
        <f ca="1">_xll.IMDP("BND",DF188,DP8,DF3)</f>
        <v>입력오류</v>
      </c>
      <c r="DQ188" s="2"/>
      <c r="EA188" s="21" t="str">
        <f ca="1">_xll.IMDP("BND",DR188,EA8,DR3)</f>
        <v>입력오류</v>
      </c>
      <c r="EB188" s="23" t="str">
        <f ca="1">_xll.IMDP("BND",DR188,EB8,DR3)</f>
        <v>입력오류</v>
      </c>
    </row>
    <row r="189" spans="1:132" ht="13.5" customHeight="1" x14ac:dyDescent="0.3">
      <c r="A189" s="2">
        <v>46198</v>
      </c>
      <c r="B189" s="3" t="s">
        <v>1921</v>
      </c>
      <c r="C189" s="3" t="s">
        <v>1922</v>
      </c>
      <c r="D189" s="3" t="s">
        <v>1923</v>
      </c>
      <c r="E189" s="3">
        <v>0</v>
      </c>
      <c r="F189" s="3">
        <v>0.23</v>
      </c>
      <c r="G189" s="3">
        <v>0</v>
      </c>
      <c r="H189" s="3">
        <v>258821</v>
      </c>
      <c r="I189" s="3">
        <v>9746.36</v>
      </c>
      <c r="J189" s="3">
        <v>1.8491</v>
      </c>
      <c r="K189" s="21">
        <f ca="1">_xll.IMDP("BND",B189,K8,B3)</f>
        <v>20280526</v>
      </c>
      <c r="L189" s="23">
        <f ca="1">_xll.IMDP("BND",B189,L8,B3)</f>
        <v>4.3099999999999996</v>
      </c>
      <c r="M189" s="2"/>
      <c r="W189" s="21" t="str">
        <f ca="1">_xll.IMDP("BND",N189,W8,N3)</f>
        <v>입력오류</v>
      </c>
      <c r="X189" s="23" t="str">
        <f ca="1">_xll.IMDP("BND",N189,X8,N3)</f>
        <v>입력오류</v>
      </c>
      <c r="Y189" s="2"/>
      <c r="AI189" s="21" t="str">
        <f ca="1">_xll.IMDP("BND",Z189,AI8,Z3)</f>
        <v>입력오류</v>
      </c>
      <c r="AJ189" s="23" t="str">
        <f ca="1">_xll.IMDP("BND",Z189,AJ8,Z3)</f>
        <v>입력오류</v>
      </c>
      <c r="AK189" s="2"/>
      <c r="AU189" s="21" t="str">
        <f ca="1">_xll.IMDP("BND",AL189,AU8,AL3)</f>
        <v>입력오류</v>
      </c>
      <c r="AV189" s="23" t="str">
        <f ca="1">_xll.IMDP("BND",AL189,AV8,AL3)</f>
        <v>입력오류</v>
      </c>
      <c r="AW189" s="2"/>
      <c r="BG189" s="21" t="str">
        <f ca="1">_xll.IMDP("BND",AX189,BG8,AX3)</f>
        <v>입력오류</v>
      </c>
      <c r="BH189" s="23" t="str">
        <f ca="1">_xll.IMDP("BND",AX189,BH8,AX3)</f>
        <v>입력오류</v>
      </c>
      <c r="BI189" s="2">
        <v>46198</v>
      </c>
      <c r="BJ189" s="3" t="s">
        <v>31</v>
      </c>
      <c r="BK189" s="3" t="s">
        <v>29</v>
      </c>
      <c r="BL189" s="3" t="s">
        <v>32</v>
      </c>
      <c r="BM189" s="3">
        <v>0</v>
      </c>
      <c r="BN189" s="3">
        <v>0.13</v>
      </c>
      <c r="BO189" s="3">
        <v>0</v>
      </c>
      <c r="BP189" s="3">
        <v>166474</v>
      </c>
      <c r="BQ189" s="3">
        <v>8882.61</v>
      </c>
      <c r="BR189" s="3">
        <v>7.8021000000000003</v>
      </c>
      <c r="BS189" s="21">
        <f ca="1">_xll.IMDP("BND",BJ189,BS8,BJ3)</f>
        <v>20350610</v>
      </c>
      <c r="BT189" s="23">
        <f ca="1">_xll.IMDP("BND",BJ189,BT8,BJ3)</f>
        <v>4.1449999999999996</v>
      </c>
      <c r="BU189" s="2"/>
      <c r="CE189" s="21" t="str">
        <f ca="1">_xll.IMDP("BND",BV189,CE8,BV3)</f>
        <v>입력오류</v>
      </c>
      <c r="CF189" s="23" t="str">
        <f ca="1">_xll.IMDP("BND",BV189,CF8,BV3)</f>
        <v>입력오류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">
        <v>46198</v>
      </c>
      <c r="CT189" s="3" t="s">
        <v>2500</v>
      </c>
      <c r="CU189" s="3" t="s">
        <v>2498</v>
      </c>
      <c r="CV189" s="3" t="s">
        <v>2501</v>
      </c>
      <c r="CW189" s="3">
        <v>0</v>
      </c>
      <c r="CX189" s="3">
        <v>0.16</v>
      </c>
      <c r="CY189" s="3">
        <v>0</v>
      </c>
      <c r="CZ189" s="3">
        <v>230956</v>
      </c>
      <c r="DC189" s="21" t="str">
        <f ca="1">_xll.IMDP("BND",CT189,DC8,CT3)</f>
        <v/>
      </c>
      <c r="DD189" s="23" t="str">
        <f ca="1">_xll.IMDP("BND",CT189,DD8,CT3)</f>
        <v/>
      </c>
      <c r="DE189" s="2"/>
      <c r="DO189" s="21" t="str">
        <f ca="1">_xll.IMDP("BND",DF189,DO8,DF3)</f>
        <v>입력오류</v>
      </c>
      <c r="DP189" s="23" t="str">
        <f ca="1">_xll.IMDP("BND",DF189,DP8,DF3)</f>
        <v>입력오류</v>
      </c>
      <c r="DQ189" s="2"/>
      <c r="EA189" s="21" t="str">
        <f ca="1">_xll.IMDP("BND",DR189,EA8,DR3)</f>
        <v>입력오류</v>
      </c>
      <c r="EB189" s="23" t="str">
        <f ca="1">_xll.IMDP("BND",DR189,EB8,DR3)</f>
        <v>입력오류</v>
      </c>
    </row>
    <row r="190" spans="1:132" ht="13.5" customHeight="1" x14ac:dyDescent="0.3">
      <c r="A190" s="2">
        <v>46198</v>
      </c>
      <c r="B190" s="3" t="s">
        <v>1924</v>
      </c>
      <c r="C190" s="3" t="s">
        <v>390</v>
      </c>
      <c r="D190" s="3" t="s">
        <v>1925</v>
      </c>
      <c r="E190" s="3">
        <v>0</v>
      </c>
      <c r="F190" s="3">
        <v>0.23</v>
      </c>
      <c r="G190" s="3">
        <v>0</v>
      </c>
      <c r="H190" s="3">
        <v>258756</v>
      </c>
      <c r="I190" s="3">
        <v>9742.58</v>
      </c>
      <c r="J190" s="3">
        <v>1.8549</v>
      </c>
      <c r="K190" s="21">
        <f ca="1">_xll.IMDP("BND",B190,K8,B3)</f>
        <v>20280526</v>
      </c>
      <c r="L190" s="23">
        <f ca="1">_xll.IMDP("BND",B190,L8,B3)</f>
        <v>4.1440000000000001</v>
      </c>
      <c r="M190" s="2"/>
      <c r="W190" s="21" t="str">
        <f ca="1">_xll.IMDP("BND",N190,W8,N3)</f>
        <v>입력오류</v>
      </c>
      <c r="X190" s="23" t="str">
        <f ca="1">_xll.IMDP("BND",N190,X8,N3)</f>
        <v>입력오류</v>
      </c>
      <c r="Y190" s="2"/>
      <c r="AI190" s="21" t="str">
        <f ca="1">_xll.IMDP("BND",Z190,AI8,Z3)</f>
        <v>입력오류</v>
      </c>
      <c r="AJ190" s="23" t="str">
        <f ca="1">_xll.IMDP("BND",Z190,AJ8,Z3)</f>
        <v>입력오류</v>
      </c>
      <c r="AK190" s="2"/>
      <c r="AU190" s="21" t="str">
        <f ca="1">_xll.IMDP("BND",AL190,AU8,AL3)</f>
        <v>입력오류</v>
      </c>
      <c r="AV190" s="23" t="str">
        <f ca="1">_xll.IMDP("BND",AL190,AV8,AL3)</f>
        <v>입력오류</v>
      </c>
      <c r="AW190" s="2"/>
      <c r="BG190" s="21" t="str">
        <f ca="1">_xll.IMDP("BND",AX190,BG8,AX3)</f>
        <v>입력오류</v>
      </c>
      <c r="BH190" s="23" t="str">
        <f ca="1">_xll.IMDP("BND",AX190,BH8,AX3)</f>
        <v>입력오류</v>
      </c>
      <c r="BI190" s="2">
        <v>46198</v>
      </c>
      <c r="BJ190" s="3" t="s">
        <v>1546</v>
      </c>
      <c r="BK190" s="3" t="s">
        <v>1547</v>
      </c>
      <c r="BL190" s="3" t="s">
        <v>1548</v>
      </c>
      <c r="BM190" s="3">
        <v>0</v>
      </c>
      <c r="BN190" s="3">
        <v>0.12</v>
      </c>
      <c r="BO190" s="3">
        <v>0</v>
      </c>
      <c r="BP190" s="3">
        <v>154889</v>
      </c>
      <c r="BQ190" s="3">
        <v>10098.98</v>
      </c>
      <c r="BR190" s="3">
        <v>0.52700000000000002</v>
      </c>
      <c r="BS190" s="21">
        <f ca="1">_xll.IMDP("BND",BJ190,BS8,BJ3)</f>
        <v>20270108</v>
      </c>
      <c r="BT190" s="23">
        <f ca="1">_xll.IMDP("BND",BJ190,BT8,BJ3)</f>
        <v>3.2149999999999999</v>
      </c>
      <c r="BU190" s="2"/>
      <c r="CE190" s="21" t="str">
        <f ca="1">_xll.IMDP("BND",BV190,CE8,BV3)</f>
        <v>입력오류</v>
      </c>
      <c r="CF190" s="23" t="str">
        <f ca="1">_xll.IMDP("BND",BV190,CF8,BV3)</f>
        <v>입력오류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">
        <v>46198</v>
      </c>
      <c r="CT190" s="3" t="s">
        <v>2510</v>
      </c>
      <c r="CU190" s="3" t="s">
        <v>2498</v>
      </c>
      <c r="CV190" s="3" t="s">
        <v>2511</v>
      </c>
      <c r="CW190" s="3">
        <v>0</v>
      </c>
      <c r="CX190" s="3">
        <v>0.16</v>
      </c>
      <c r="CY190" s="3">
        <v>0</v>
      </c>
      <c r="CZ190" s="3">
        <v>230956</v>
      </c>
      <c r="DC190" s="21" t="str">
        <f ca="1">_xll.IMDP("BND",CT190,DC8,CT3)</f>
        <v/>
      </c>
      <c r="DD190" s="23" t="str">
        <f ca="1">_xll.IMDP("BND",CT190,DD8,CT3)</f>
        <v/>
      </c>
      <c r="DE190" s="2"/>
      <c r="DO190" s="21" t="str">
        <f ca="1">_xll.IMDP("BND",DF190,DO8,DF3)</f>
        <v>입력오류</v>
      </c>
      <c r="DP190" s="23" t="str">
        <f ca="1">_xll.IMDP("BND",DF190,DP8,DF3)</f>
        <v>입력오류</v>
      </c>
      <c r="DQ190" s="2"/>
      <c r="EA190" s="21" t="str">
        <f ca="1">_xll.IMDP("BND",DR190,EA8,DR3)</f>
        <v>입력오류</v>
      </c>
      <c r="EB190" s="23" t="str">
        <f ca="1">_xll.IMDP("BND",DR190,EB8,DR3)</f>
        <v>입력오류</v>
      </c>
    </row>
    <row r="191" spans="1:132" ht="13.5" customHeight="1" x14ac:dyDescent="0.3">
      <c r="A191" s="2">
        <v>46198</v>
      </c>
      <c r="B191" s="3" t="s">
        <v>1926</v>
      </c>
      <c r="C191" s="3" t="s">
        <v>417</v>
      </c>
      <c r="D191" s="3" t="s">
        <v>1927</v>
      </c>
      <c r="E191" s="3">
        <v>0</v>
      </c>
      <c r="F191" s="3">
        <v>0.23</v>
      </c>
      <c r="G191" s="3">
        <v>0</v>
      </c>
      <c r="H191" s="3">
        <v>258491</v>
      </c>
      <c r="I191" s="3">
        <v>9735.23</v>
      </c>
      <c r="J191" s="3">
        <v>2.1655000000000002</v>
      </c>
      <c r="K191" s="21">
        <f ca="1">_xll.IMDP("BND",B191,K8,B3)</f>
        <v>20280929</v>
      </c>
      <c r="L191" s="23">
        <f ca="1">_xll.IMDP("BND",B191,L8,B3)</f>
        <v>4.3490000000000002</v>
      </c>
      <c r="M191" s="2"/>
      <c r="W191" s="21" t="str">
        <f ca="1">_xll.IMDP("BND",N191,W8,N3)</f>
        <v>입력오류</v>
      </c>
      <c r="X191" s="23" t="str">
        <f ca="1">_xll.IMDP("BND",N191,X8,N3)</f>
        <v>입력오류</v>
      </c>
      <c r="Y191" s="2"/>
      <c r="AI191" s="21" t="str">
        <f ca="1">_xll.IMDP("BND",Z191,AI8,Z3)</f>
        <v>입력오류</v>
      </c>
      <c r="AJ191" s="23" t="str">
        <f ca="1">_xll.IMDP("BND",Z191,AJ8,Z3)</f>
        <v>입력오류</v>
      </c>
      <c r="AK191" s="2"/>
      <c r="AU191" s="21" t="str">
        <f ca="1">_xll.IMDP("BND",AL191,AU8,AL3)</f>
        <v>입력오류</v>
      </c>
      <c r="AV191" s="23" t="str">
        <f ca="1">_xll.IMDP("BND",AL191,AV8,AL3)</f>
        <v>입력오류</v>
      </c>
      <c r="AW191" s="2"/>
      <c r="BG191" s="21" t="str">
        <f ca="1">_xll.IMDP("BND",AX191,BG8,AX3)</f>
        <v>입력오류</v>
      </c>
      <c r="BH191" s="23" t="str">
        <f ca="1">_xll.IMDP("BND",AX191,BH8,AX3)</f>
        <v>입력오류</v>
      </c>
      <c r="BI191" s="2">
        <v>46198</v>
      </c>
      <c r="BJ191" s="3" t="s">
        <v>881</v>
      </c>
      <c r="BK191" s="3" t="s">
        <v>877</v>
      </c>
      <c r="BL191" s="3" t="s">
        <v>882</v>
      </c>
      <c r="BM191" s="3">
        <v>0</v>
      </c>
      <c r="BN191" s="3">
        <v>0.12</v>
      </c>
      <c r="BO191" s="3">
        <v>0</v>
      </c>
      <c r="BP191" s="3">
        <v>154804</v>
      </c>
      <c r="BQ191" s="3">
        <v>10093.48</v>
      </c>
      <c r="BR191" s="3">
        <v>0.54559999999999997</v>
      </c>
      <c r="BS191" s="21">
        <f ca="1">_xll.IMDP("BND",BJ191,BS8,BJ3)</f>
        <v>20270115</v>
      </c>
      <c r="BT191" s="23">
        <f ca="1">_xll.IMDP("BND",BJ191,BT8,BJ3)</f>
        <v>3.3660000000000001</v>
      </c>
      <c r="BU191" s="2"/>
      <c r="CE191" s="21" t="str">
        <f ca="1">_xll.IMDP("BND",BV191,CE8,BV3)</f>
        <v>입력오류</v>
      </c>
      <c r="CF191" s="23" t="str">
        <f ca="1">_xll.IMDP("BND",BV191,CF8,BV3)</f>
        <v>입력오류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">
        <v>46198</v>
      </c>
      <c r="CT191" s="3" t="s">
        <v>2497</v>
      </c>
      <c r="CU191" s="3" t="s">
        <v>2498</v>
      </c>
      <c r="CV191" s="3" t="s">
        <v>2499</v>
      </c>
      <c r="CW191" s="3">
        <v>0</v>
      </c>
      <c r="CX191" s="3">
        <v>0.16</v>
      </c>
      <c r="CY191" s="3">
        <v>0</v>
      </c>
      <c r="CZ191" s="3">
        <v>230956</v>
      </c>
      <c r="DC191" s="21" t="str">
        <f ca="1">_xll.IMDP("BND",CT191,DC8,CT3)</f>
        <v/>
      </c>
      <c r="DD191" s="23" t="str">
        <f ca="1">_xll.IMDP("BND",CT191,DD8,CT3)</f>
        <v/>
      </c>
      <c r="DE191" s="2"/>
      <c r="DO191" s="21" t="str">
        <f ca="1">_xll.IMDP("BND",DF191,DO8,DF3)</f>
        <v>입력오류</v>
      </c>
      <c r="DP191" s="23" t="str">
        <f ca="1">_xll.IMDP("BND",DF191,DP8,DF3)</f>
        <v>입력오류</v>
      </c>
      <c r="DQ191" s="2"/>
      <c r="EA191" s="21" t="str">
        <f ca="1">_xll.IMDP("BND",DR191,EA8,DR3)</f>
        <v>입력오류</v>
      </c>
      <c r="EB191" s="23" t="str">
        <f ca="1">_xll.IMDP("BND",DR191,EB8,DR3)</f>
        <v>입력오류</v>
      </c>
    </row>
    <row r="192" spans="1:132" ht="13.5" customHeight="1" x14ac:dyDescent="0.3">
      <c r="A192" s="2">
        <v>46198</v>
      </c>
      <c r="B192" s="3" t="s">
        <v>1928</v>
      </c>
      <c r="C192" s="3" t="s">
        <v>1486</v>
      </c>
      <c r="D192" s="3" t="s">
        <v>1929</v>
      </c>
      <c r="E192" s="3">
        <v>0</v>
      </c>
      <c r="F192" s="3">
        <v>0.23</v>
      </c>
      <c r="G192" s="3">
        <v>0</v>
      </c>
      <c r="H192" s="3">
        <v>258409</v>
      </c>
      <c r="I192" s="3">
        <v>9730.67</v>
      </c>
      <c r="J192" s="3">
        <v>1.8902000000000001</v>
      </c>
      <c r="K192" s="21">
        <f ca="1">_xll.IMDP("BND",B192,K8,B3)</f>
        <v>20280609</v>
      </c>
      <c r="L192" s="23">
        <f ca="1">_xll.IMDP("BND",B192,L8,B3)</f>
        <v>4.3120000000000003</v>
      </c>
      <c r="M192" s="2"/>
      <c r="W192" s="21" t="str">
        <f ca="1">_xll.IMDP("BND",N192,W8,N3)</f>
        <v>입력오류</v>
      </c>
      <c r="X192" s="23" t="str">
        <f ca="1">_xll.IMDP("BND",N192,X8,N3)</f>
        <v>입력오류</v>
      </c>
      <c r="Y192" s="2"/>
      <c r="AI192" s="21" t="str">
        <f ca="1">_xll.IMDP("BND",Z192,AI8,Z3)</f>
        <v>입력오류</v>
      </c>
      <c r="AJ192" s="23" t="str">
        <f ca="1">_xll.IMDP("BND",Z192,AJ8,Z3)</f>
        <v>입력오류</v>
      </c>
      <c r="AK192" s="2"/>
      <c r="AU192" s="21" t="str">
        <f ca="1">_xll.IMDP("BND",AL192,AU8,AL3)</f>
        <v>입력오류</v>
      </c>
      <c r="AV192" s="23" t="str">
        <f ca="1">_xll.IMDP("BND",AL192,AV8,AL3)</f>
        <v>입력오류</v>
      </c>
      <c r="AW192" s="2"/>
      <c r="BG192" s="21" t="str">
        <f ca="1">_xll.IMDP("BND",AX192,BG8,AX3)</f>
        <v>입력오류</v>
      </c>
      <c r="BH192" s="23" t="str">
        <f ca="1">_xll.IMDP("BND",AX192,BH8,AX3)</f>
        <v>입력오류</v>
      </c>
      <c r="BI192" s="2">
        <v>46198</v>
      </c>
      <c r="BJ192" s="3" t="s">
        <v>1549</v>
      </c>
      <c r="BK192" s="3" t="s">
        <v>252</v>
      </c>
      <c r="BL192" s="3" t="s">
        <v>1550</v>
      </c>
      <c r="BM192" s="3">
        <v>0</v>
      </c>
      <c r="BN192" s="3">
        <v>0.12</v>
      </c>
      <c r="BO192" s="3">
        <v>0</v>
      </c>
      <c r="BP192" s="3">
        <v>153675</v>
      </c>
      <c r="BQ192" s="3">
        <v>10019.6</v>
      </c>
      <c r="BR192" s="3">
        <v>0.9022</v>
      </c>
      <c r="BS192" s="21">
        <f ca="1">_xll.IMDP("BND",BJ192,BS8,BJ3)</f>
        <v>20270528</v>
      </c>
      <c r="BT192" s="23">
        <f ca="1">_xll.IMDP("BND",BJ192,BT8,BJ3)</f>
        <v>3.7559999999999998</v>
      </c>
      <c r="BU192" s="2"/>
      <c r="CE192" s="21" t="str">
        <f ca="1">_xll.IMDP("BND",BV192,CE8,BV3)</f>
        <v>입력오류</v>
      </c>
      <c r="CF192" s="23" t="str">
        <f ca="1">_xll.IMDP("BND",BV192,CF8,BV3)</f>
        <v>입력오류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">
        <v>46198</v>
      </c>
      <c r="CT192" s="3" t="s">
        <v>2516</v>
      </c>
      <c r="CU192" s="3" t="s">
        <v>2498</v>
      </c>
      <c r="CV192" s="3" t="s">
        <v>2517</v>
      </c>
      <c r="CW192" s="3">
        <v>0</v>
      </c>
      <c r="CX192" s="3">
        <v>0.16</v>
      </c>
      <c r="CY192" s="3">
        <v>0</v>
      </c>
      <c r="CZ192" s="3">
        <v>230956</v>
      </c>
      <c r="DC192" s="21" t="str">
        <f ca="1">_xll.IMDP("BND",CT192,DC8,CT3)</f>
        <v/>
      </c>
      <c r="DD192" s="23" t="str">
        <f ca="1">_xll.IMDP("BND",CT192,DD8,CT3)</f>
        <v/>
      </c>
      <c r="DE192" s="2"/>
      <c r="DO192" s="21" t="str">
        <f ca="1">_xll.IMDP("BND",DF192,DO8,DF3)</f>
        <v>입력오류</v>
      </c>
      <c r="DP192" s="23" t="str">
        <f ca="1">_xll.IMDP("BND",DF192,DP8,DF3)</f>
        <v>입력오류</v>
      </c>
      <c r="DQ192" s="2"/>
      <c r="EA192" s="21" t="str">
        <f ca="1">_xll.IMDP("BND",DR192,EA8,DR3)</f>
        <v>입력오류</v>
      </c>
      <c r="EB192" s="23" t="str">
        <f ca="1">_xll.IMDP("BND",DR192,EB8,DR3)</f>
        <v>입력오류</v>
      </c>
    </row>
    <row r="193" spans="1:132" ht="13.5" customHeight="1" x14ac:dyDescent="0.3">
      <c r="A193" s="2">
        <v>46198</v>
      </c>
      <c r="B193" s="3" t="s">
        <v>1930</v>
      </c>
      <c r="C193" s="3" t="s">
        <v>1931</v>
      </c>
      <c r="D193" s="3" t="s">
        <v>1932</v>
      </c>
      <c r="E193" s="3">
        <v>0</v>
      </c>
      <c r="F193" s="3">
        <v>0.23</v>
      </c>
      <c r="G193" s="3">
        <v>0</v>
      </c>
      <c r="H193" s="3">
        <v>258286</v>
      </c>
      <c r="I193" s="3">
        <v>9726.2900000000009</v>
      </c>
      <c r="J193" s="3">
        <v>2.0347</v>
      </c>
      <c r="K193" s="21">
        <f ca="1">_xll.IMDP("BND",B193,K8,B3)</f>
        <v>20280807</v>
      </c>
      <c r="L193" s="23">
        <f ca="1">_xll.IMDP("BND",B193,L8,B3)</f>
        <v>4.3170000000000002</v>
      </c>
      <c r="M193" s="2"/>
      <c r="W193" s="21" t="str">
        <f ca="1">_xll.IMDP("BND",N193,W8,N3)</f>
        <v>입력오류</v>
      </c>
      <c r="X193" s="23" t="str">
        <f ca="1">_xll.IMDP("BND",N193,X8,N3)</f>
        <v>입력오류</v>
      </c>
      <c r="Y193" s="2"/>
      <c r="AI193" s="21" t="str">
        <f ca="1">_xll.IMDP("BND",Z193,AI8,Z3)</f>
        <v>입력오류</v>
      </c>
      <c r="AJ193" s="23" t="str">
        <f ca="1">_xll.IMDP("BND",Z193,AJ8,Z3)</f>
        <v>입력오류</v>
      </c>
      <c r="AK193" s="2"/>
      <c r="AU193" s="21" t="str">
        <f ca="1">_xll.IMDP("BND",AL193,AU8,AL3)</f>
        <v>입력오류</v>
      </c>
      <c r="AV193" s="23" t="str">
        <f ca="1">_xll.IMDP("BND",AL193,AV8,AL3)</f>
        <v>입력오류</v>
      </c>
      <c r="AW193" s="2"/>
      <c r="BG193" s="21" t="str">
        <f ca="1">_xll.IMDP("BND",AX193,BG8,AX3)</f>
        <v>입력오류</v>
      </c>
      <c r="BH193" s="23" t="str">
        <f ca="1">_xll.IMDP("BND",AX193,BH8,AX3)</f>
        <v>입력오류</v>
      </c>
      <c r="BI193" s="2">
        <v>46198</v>
      </c>
      <c r="BJ193" s="3" t="s">
        <v>1551</v>
      </c>
      <c r="BK193" s="3" t="s">
        <v>50</v>
      </c>
      <c r="BL193" s="3" t="s">
        <v>1552</v>
      </c>
      <c r="BM193" s="3">
        <v>0</v>
      </c>
      <c r="BN193" s="3">
        <v>0.12</v>
      </c>
      <c r="BO193" s="3">
        <v>0</v>
      </c>
      <c r="BP193" s="3">
        <v>149473</v>
      </c>
      <c r="BQ193" s="3">
        <v>10062.620000000001</v>
      </c>
      <c r="BR193" s="3">
        <v>2.0882999999999998</v>
      </c>
      <c r="BS193" s="21">
        <f ca="1">_xll.IMDP("BND",BJ193,BS8,BJ3)</f>
        <v>20280910</v>
      </c>
      <c r="BT193" s="23">
        <f ca="1">_xll.IMDP("BND",BJ193,BT8,BJ3)</f>
        <v>3.6819999999999999</v>
      </c>
      <c r="BU193" s="2"/>
      <c r="CE193" s="21" t="str">
        <f ca="1">_xll.IMDP("BND",BV193,CE8,BV3)</f>
        <v>입력오류</v>
      </c>
      <c r="CF193" s="23" t="str">
        <f ca="1">_xll.IMDP("BND",BV193,CF8,BV3)</f>
        <v>입력오류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">
        <v>46198</v>
      </c>
      <c r="CT193" s="3" t="s">
        <v>2502</v>
      </c>
      <c r="CU193" s="3" t="s">
        <v>2498</v>
      </c>
      <c r="CV193" s="3" t="s">
        <v>2503</v>
      </c>
      <c r="CW193" s="3">
        <v>0</v>
      </c>
      <c r="CX193" s="3">
        <v>0.16</v>
      </c>
      <c r="CY193" s="3">
        <v>0</v>
      </c>
      <c r="CZ193" s="3">
        <v>230956</v>
      </c>
      <c r="DC193" s="21" t="str">
        <f ca="1">_xll.IMDP("BND",CT193,DC8,CT3)</f>
        <v/>
      </c>
      <c r="DD193" s="23" t="str">
        <f ca="1">_xll.IMDP("BND",CT193,DD8,CT3)</f>
        <v/>
      </c>
      <c r="DE193" s="2"/>
      <c r="DO193" s="21" t="str">
        <f ca="1">_xll.IMDP("BND",DF193,DO8,DF3)</f>
        <v>입력오류</v>
      </c>
      <c r="DP193" s="23" t="str">
        <f ca="1">_xll.IMDP("BND",DF193,DP8,DF3)</f>
        <v>입력오류</v>
      </c>
      <c r="DQ193" s="2"/>
      <c r="EA193" s="21" t="str">
        <f ca="1">_xll.IMDP("BND",DR193,EA8,DR3)</f>
        <v>입력오류</v>
      </c>
      <c r="EB193" s="23" t="str">
        <f ca="1">_xll.IMDP("BND",DR193,EB8,DR3)</f>
        <v>입력오류</v>
      </c>
    </row>
    <row r="194" spans="1:132" ht="13.5" customHeight="1" x14ac:dyDescent="0.3">
      <c r="A194" s="2">
        <v>46198</v>
      </c>
      <c r="B194" s="3" t="s">
        <v>1933</v>
      </c>
      <c r="C194" s="3" t="s">
        <v>1934</v>
      </c>
      <c r="D194" s="3" t="s">
        <v>1935</v>
      </c>
      <c r="E194" s="3">
        <v>0</v>
      </c>
      <c r="F194" s="3">
        <v>0.23</v>
      </c>
      <c r="G194" s="3">
        <v>0</v>
      </c>
      <c r="H194" s="3">
        <v>258243</v>
      </c>
      <c r="I194" s="3">
        <v>9725.92</v>
      </c>
      <c r="J194" s="3">
        <v>2.2195</v>
      </c>
      <c r="K194" s="21">
        <f ca="1">_xll.IMDP("BND",B194,K8,B3)</f>
        <v>20281020</v>
      </c>
      <c r="L194" s="23">
        <f ca="1">_xll.IMDP("BND",B194,L8,B3)</f>
        <v>4.3010000000000002</v>
      </c>
      <c r="M194" s="2"/>
      <c r="W194" s="21" t="str">
        <f ca="1">_xll.IMDP("BND",N194,W8,N3)</f>
        <v>입력오류</v>
      </c>
      <c r="X194" s="23" t="str">
        <f ca="1">_xll.IMDP("BND",N194,X8,N3)</f>
        <v>입력오류</v>
      </c>
      <c r="Y194" s="2"/>
      <c r="AI194" s="21" t="str">
        <f ca="1">_xll.IMDP("BND",Z194,AI8,Z3)</f>
        <v>입력오류</v>
      </c>
      <c r="AJ194" s="23" t="str">
        <f ca="1">_xll.IMDP("BND",Z194,AJ8,Z3)</f>
        <v>입력오류</v>
      </c>
      <c r="AK194" s="2"/>
      <c r="AU194" s="21" t="str">
        <f ca="1">_xll.IMDP("BND",AL194,AU8,AL3)</f>
        <v>입력오류</v>
      </c>
      <c r="AV194" s="23" t="str">
        <f ca="1">_xll.IMDP("BND",AL194,AV8,AL3)</f>
        <v>입력오류</v>
      </c>
      <c r="AW194" s="2"/>
      <c r="BG194" s="21" t="str">
        <f ca="1">_xll.IMDP("BND",AX194,BG8,AX3)</f>
        <v>입력오류</v>
      </c>
      <c r="BH194" s="23" t="str">
        <f ca="1">_xll.IMDP("BND",AX194,BH8,AX3)</f>
        <v>입력오류</v>
      </c>
      <c r="BI194" s="2">
        <v>46198</v>
      </c>
      <c r="BJ194" s="3" t="s">
        <v>110</v>
      </c>
      <c r="BK194" s="3" t="s">
        <v>63</v>
      </c>
      <c r="BL194" s="3" t="s">
        <v>111</v>
      </c>
      <c r="BM194" s="3">
        <v>0</v>
      </c>
      <c r="BN194" s="3">
        <v>0.12</v>
      </c>
      <c r="BO194" s="3">
        <v>0</v>
      </c>
      <c r="BP194" s="3">
        <v>146095</v>
      </c>
      <c r="BQ194" s="3">
        <v>8902</v>
      </c>
      <c r="BR194" s="3">
        <v>12.0678</v>
      </c>
      <c r="BS194" s="21">
        <f ca="1">_xll.IMDP("BND",BJ194,BS8,BJ3)</f>
        <v>20420910</v>
      </c>
      <c r="BT194" s="23">
        <f ca="1">_xll.IMDP("BND",BJ194,BT8,BJ3)</f>
        <v>4.2759999999999998</v>
      </c>
      <c r="BU194" s="2"/>
      <c r="CE194" s="21" t="str">
        <f ca="1">_xll.IMDP("BND",BV194,CE8,BV3)</f>
        <v>입력오류</v>
      </c>
      <c r="CF194" s="23" t="str">
        <f ca="1">_xll.IMDP("BND",BV194,CF8,BV3)</f>
        <v>입력오류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">
        <v>46198</v>
      </c>
      <c r="CT194" s="3" t="s">
        <v>2514</v>
      </c>
      <c r="CU194" s="3" t="s">
        <v>2498</v>
      </c>
      <c r="CV194" s="3" t="s">
        <v>2515</v>
      </c>
      <c r="CW194" s="3">
        <v>0</v>
      </c>
      <c r="CX194" s="3">
        <v>0.16</v>
      </c>
      <c r="CY194" s="3">
        <v>0</v>
      </c>
      <c r="CZ194" s="3">
        <v>230956</v>
      </c>
      <c r="DC194" s="21" t="str">
        <f ca="1">_xll.IMDP("BND",CT194,DC8,CT3)</f>
        <v/>
      </c>
      <c r="DD194" s="23" t="str">
        <f ca="1">_xll.IMDP("BND",CT194,DD8,CT3)</f>
        <v/>
      </c>
      <c r="DE194" s="2"/>
      <c r="DO194" s="21" t="str">
        <f ca="1">_xll.IMDP("BND",DF194,DO8,DF3)</f>
        <v>입력오류</v>
      </c>
      <c r="DP194" s="23" t="str">
        <f ca="1">_xll.IMDP("BND",DF194,DP8,DF3)</f>
        <v>입력오류</v>
      </c>
      <c r="DQ194" s="2"/>
      <c r="EA194" s="21" t="str">
        <f ca="1">_xll.IMDP("BND",DR194,EA8,DR3)</f>
        <v>입력오류</v>
      </c>
      <c r="EB194" s="23" t="str">
        <f ca="1">_xll.IMDP("BND",DR194,EB8,DR3)</f>
        <v>입력오류</v>
      </c>
    </row>
    <row r="195" spans="1:132" ht="13.5" customHeight="1" x14ac:dyDescent="0.3">
      <c r="A195" s="2">
        <v>46198</v>
      </c>
      <c r="B195" s="3" t="s">
        <v>1936</v>
      </c>
      <c r="C195" s="3" t="s">
        <v>1803</v>
      </c>
      <c r="D195" s="3" t="s">
        <v>1937</v>
      </c>
      <c r="E195" s="3">
        <v>0</v>
      </c>
      <c r="F195" s="3">
        <v>0.23</v>
      </c>
      <c r="G195" s="3">
        <v>0</v>
      </c>
      <c r="H195" s="3">
        <v>258010</v>
      </c>
      <c r="I195" s="3">
        <v>9716.7900000000009</v>
      </c>
      <c r="J195" s="3">
        <v>3.0183</v>
      </c>
      <c r="K195" s="21">
        <f ca="1">_xll.IMDP("BND",B195,K8,B3)</f>
        <v>20290910</v>
      </c>
      <c r="L195" s="23">
        <f ca="1">_xll.IMDP("BND",B195,L8,B3)</f>
        <v>4.3490000000000002</v>
      </c>
      <c r="M195" s="2"/>
      <c r="W195" s="21" t="str">
        <f ca="1">_xll.IMDP("BND",N195,W8,N3)</f>
        <v>입력오류</v>
      </c>
      <c r="X195" s="23" t="str">
        <f ca="1">_xll.IMDP("BND",N195,X8,N3)</f>
        <v>입력오류</v>
      </c>
      <c r="Y195" s="2"/>
      <c r="AI195" s="21" t="str">
        <f ca="1">_xll.IMDP("BND",Z195,AI8,Z3)</f>
        <v>입력오류</v>
      </c>
      <c r="AJ195" s="23" t="str">
        <f ca="1">_xll.IMDP("BND",Z195,AJ8,Z3)</f>
        <v>입력오류</v>
      </c>
      <c r="AK195" s="2"/>
      <c r="AU195" s="21" t="str">
        <f ca="1">_xll.IMDP("BND",AL195,AU8,AL3)</f>
        <v>입력오류</v>
      </c>
      <c r="AV195" s="23" t="str">
        <f ca="1">_xll.IMDP("BND",AL195,AV8,AL3)</f>
        <v>입력오류</v>
      </c>
      <c r="AW195" s="2"/>
      <c r="BG195" s="21" t="str">
        <f ca="1">_xll.IMDP("BND",AX195,BG8,AX3)</f>
        <v>입력오류</v>
      </c>
      <c r="BH195" s="23" t="str">
        <f ca="1">_xll.IMDP("BND",AX195,BH8,AX3)</f>
        <v>입력오류</v>
      </c>
      <c r="BI195" s="2">
        <v>46198</v>
      </c>
      <c r="BJ195" s="3" t="s">
        <v>727</v>
      </c>
      <c r="BK195" s="3" t="s">
        <v>29</v>
      </c>
      <c r="BL195" s="3" t="s">
        <v>728</v>
      </c>
      <c r="BM195" s="3">
        <v>0</v>
      </c>
      <c r="BN195" s="3">
        <v>0.11</v>
      </c>
      <c r="BO195" s="3">
        <v>0</v>
      </c>
      <c r="BP195" s="3">
        <v>139491</v>
      </c>
      <c r="BQ195" s="3">
        <v>7682.91</v>
      </c>
      <c r="BR195" s="3">
        <v>15.3127</v>
      </c>
      <c r="BS195" s="21">
        <f ca="1">_xll.IMDP("BND",BJ195,BS8,BJ3)</f>
        <v>20480310</v>
      </c>
      <c r="BT195" s="23">
        <f ca="1">_xll.IMDP("BND",BJ195,BT8,BJ3)</f>
        <v>4.3369999999999997</v>
      </c>
      <c r="BU195" s="2"/>
      <c r="CE195" s="21" t="str">
        <f ca="1">_xll.IMDP("BND",BV195,CE8,BV3)</f>
        <v>입력오류</v>
      </c>
      <c r="CF195" s="23" t="str">
        <f ca="1">_xll.IMDP("BND",BV195,CF8,BV3)</f>
        <v>입력오류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">
        <v>46198</v>
      </c>
      <c r="CT195" s="3" t="s">
        <v>2506</v>
      </c>
      <c r="CU195" s="3" t="s">
        <v>2498</v>
      </c>
      <c r="CV195" s="3" t="s">
        <v>2507</v>
      </c>
      <c r="CW195" s="3">
        <v>0</v>
      </c>
      <c r="CX195" s="3">
        <v>0.16</v>
      </c>
      <c r="CY195" s="3">
        <v>0</v>
      </c>
      <c r="CZ195" s="3">
        <v>230956</v>
      </c>
      <c r="DC195" s="21" t="str">
        <f ca="1">_xll.IMDP("BND",CT195,DC8,CT3)</f>
        <v/>
      </c>
      <c r="DD195" s="23" t="str">
        <f ca="1">_xll.IMDP("BND",CT195,DD8,CT3)</f>
        <v/>
      </c>
      <c r="DE195" s="2"/>
      <c r="DO195" s="21" t="str">
        <f ca="1">_xll.IMDP("BND",DF195,DO8,DF3)</f>
        <v>입력오류</v>
      </c>
      <c r="DP195" s="23" t="str">
        <f ca="1">_xll.IMDP("BND",DF195,DP8,DF3)</f>
        <v>입력오류</v>
      </c>
      <c r="DQ195" s="2"/>
      <c r="EA195" s="21" t="str">
        <f ca="1">_xll.IMDP("BND",DR195,EA8,DR3)</f>
        <v>입력오류</v>
      </c>
      <c r="EB195" s="23" t="str">
        <f ca="1">_xll.IMDP("BND",DR195,EB8,DR3)</f>
        <v>입력오류</v>
      </c>
    </row>
    <row r="196" spans="1:132" ht="13.5" customHeight="1" x14ac:dyDescent="0.3">
      <c r="A196" s="2">
        <v>46198</v>
      </c>
      <c r="B196" s="3" t="s">
        <v>1938</v>
      </c>
      <c r="C196" s="3" t="s">
        <v>1939</v>
      </c>
      <c r="D196" s="3" t="s">
        <v>1940</v>
      </c>
      <c r="E196" s="3">
        <v>0</v>
      </c>
      <c r="F196" s="3">
        <v>0.23</v>
      </c>
      <c r="G196" s="3">
        <v>0</v>
      </c>
      <c r="H196" s="3">
        <v>257949</v>
      </c>
      <c r="I196" s="3">
        <v>9713.86</v>
      </c>
      <c r="J196" s="3">
        <v>3.0543</v>
      </c>
      <c r="K196" s="21">
        <f ca="1">_xll.IMDP("BND",B196,K8,B3)</f>
        <v>20290920</v>
      </c>
      <c r="L196" s="23">
        <f ca="1">_xll.IMDP("BND",B196,L8,B3)</f>
        <v>4.1529999999999996</v>
      </c>
      <c r="M196" s="2"/>
      <c r="W196" s="21" t="str">
        <f ca="1">_xll.IMDP("BND",N196,W8,N3)</f>
        <v>입력오류</v>
      </c>
      <c r="X196" s="23" t="str">
        <f ca="1">_xll.IMDP("BND",N196,X8,N3)</f>
        <v>입력오류</v>
      </c>
      <c r="Y196" s="2"/>
      <c r="AI196" s="21" t="str">
        <f ca="1">_xll.IMDP("BND",Z196,AI8,Z3)</f>
        <v>입력오류</v>
      </c>
      <c r="AJ196" s="23" t="str">
        <f ca="1">_xll.IMDP("BND",Z196,AJ8,Z3)</f>
        <v>입력오류</v>
      </c>
      <c r="AK196" s="2"/>
      <c r="AU196" s="21" t="str">
        <f ca="1">_xll.IMDP("BND",AL196,AU8,AL3)</f>
        <v>입력오류</v>
      </c>
      <c r="AV196" s="23" t="str">
        <f ca="1">_xll.IMDP("BND",AL196,AV8,AL3)</f>
        <v>입력오류</v>
      </c>
      <c r="AW196" s="2"/>
      <c r="BG196" s="21" t="str">
        <f ca="1">_xll.IMDP("BND",AX196,BG8,AX3)</f>
        <v>입력오류</v>
      </c>
      <c r="BH196" s="23" t="str">
        <f ca="1">_xll.IMDP("BND",AX196,BH8,AX3)</f>
        <v>입력오류</v>
      </c>
      <c r="BI196" s="2">
        <v>46198</v>
      </c>
      <c r="BJ196" s="3" t="s">
        <v>1553</v>
      </c>
      <c r="BK196" s="3" t="s">
        <v>261</v>
      </c>
      <c r="BL196" s="3" t="s">
        <v>1554</v>
      </c>
      <c r="BM196" s="3">
        <v>0</v>
      </c>
      <c r="BN196" s="3">
        <v>0.11</v>
      </c>
      <c r="BO196" s="3">
        <v>0</v>
      </c>
      <c r="BP196" s="3">
        <v>137910</v>
      </c>
      <c r="BQ196" s="3">
        <v>9990.84</v>
      </c>
      <c r="BR196" s="3">
        <v>0.19009999999999999</v>
      </c>
      <c r="BS196" s="21">
        <f ca="1">_xll.IMDP("BND",BJ196,BS8,BJ3)</f>
        <v>20260903</v>
      </c>
      <c r="BT196" s="23">
        <f ca="1">_xll.IMDP("BND",BJ196,BT8,BJ3)</f>
        <v>3.2429999999999999</v>
      </c>
      <c r="BU196" s="2"/>
      <c r="CE196" s="21" t="str">
        <f ca="1">_xll.IMDP("BND",BV196,CE8,BV3)</f>
        <v>입력오류</v>
      </c>
      <c r="CF196" s="23" t="str">
        <f ca="1">_xll.IMDP("BND",BV196,CF8,BV3)</f>
        <v>입력오류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">
        <v>46198</v>
      </c>
      <c r="CT196" s="3" t="s">
        <v>2504</v>
      </c>
      <c r="CU196" s="3" t="s">
        <v>2498</v>
      </c>
      <c r="CV196" s="3" t="s">
        <v>2505</v>
      </c>
      <c r="CW196" s="3">
        <v>0</v>
      </c>
      <c r="CX196" s="3">
        <v>0.16</v>
      </c>
      <c r="CY196" s="3">
        <v>0</v>
      </c>
      <c r="CZ196" s="3">
        <v>230956</v>
      </c>
      <c r="DC196" s="21" t="str">
        <f ca="1">_xll.IMDP("BND",CT196,DC8,CT3)</f>
        <v/>
      </c>
      <c r="DD196" s="23" t="str">
        <f ca="1">_xll.IMDP("BND",CT196,DD8,CT3)</f>
        <v/>
      </c>
      <c r="DE196" s="2"/>
      <c r="DO196" s="21" t="str">
        <f ca="1">_xll.IMDP("BND",DF196,DO8,DF3)</f>
        <v>입력오류</v>
      </c>
      <c r="DP196" s="23" t="str">
        <f ca="1">_xll.IMDP("BND",DF196,DP8,DF3)</f>
        <v>입력오류</v>
      </c>
      <c r="DQ196" s="2"/>
      <c r="EA196" s="21" t="str">
        <f ca="1">_xll.IMDP("BND",DR196,EA8,DR3)</f>
        <v>입력오류</v>
      </c>
      <c r="EB196" s="23" t="str">
        <f ca="1">_xll.IMDP("BND",DR196,EB8,DR3)</f>
        <v>입력오류</v>
      </c>
    </row>
    <row r="197" spans="1:132" ht="13.5" customHeight="1" x14ac:dyDescent="0.3">
      <c r="A197" s="2">
        <v>46198</v>
      </c>
      <c r="B197" s="3" t="s">
        <v>1941</v>
      </c>
      <c r="C197" s="3" t="s">
        <v>1942</v>
      </c>
      <c r="D197" s="3" t="s">
        <v>1943</v>
      </c>
      <c r="E197" s="3">
        <v>0</v>
      </c>
      <c r="F197" s="3">
        <v>0.23</v>
      </c>
      <c r="G197" s="3">
        <v>0</v>
      </c>
      <c r="H197" s="3">
        <v>257944</v>
      </c>
      <c r="I197" s="3">
        <v>9714.15</v>
      </c>
      <c r="J197" s="3">
        <v>2.0750000000000002</v>
      </c>
      <c r="K197" s="21">
        <f ca="1">_xll.IMDP("BND",B197,K8,B3)</f>
        <v>20280822</v>
      </c>
      <c r="L197" s="23">
        <f ca="1">_xll.IMDP("BND",B197,L8,B3)</f>
        <v>4.3</v>
      </c>
      <c r="M197" s="2"/>
      <c r="W197" s="21" t="str">
        <f ca="1">_xll.IMDP("BND",N197,W8,N3)</f>
        <v>입력오류</v>
      </c>
      <c r="X197" s="23" t="str">
        <f ca="1">_xll.IMDP("BND",N197,X8,N3)</f>
        <v>입력오류</v>
      </c>
      <c r="Y197" s="2"/>
      <c r="AI197" s="21" t="str">
        <f ca="1">_xll.IMDP("BND",Z197,AI8,Z3)</f>
        <v>입력오류</v>
      </c>
      <c r="AJ197" s="23" t="str">
        <f ca="1">_xll.IMDP("BND",Z197,AJ8,Z3)</f>
        <v>입력오류</v>
      </c>
      <c r="AK197" s="2"/>
      <c r="AU197" s="21" t="str">
        <f ca="1">_xll.IMDP("BND",AL197,AU8,AL3)</f>
        <v>입력오류</v>
      </c>
      <c r="AV197" s="23" t="str">
        <f ca="1">_xll.IMDP("BND",AL197,AV8,AL3)</f>
        <v>입력오류</v>
      </c>
      <c r="AW197" s="2"/>
      <c r="BG197" s="21" t="str">
        <f ca="1">_xll.IMDP("BND",AX197,BG8,AX3)</f>
        <v>입력오류</v>
      </c>
      <c r="BH197" s="23" t="str">
        <f ca="1">_xll.IMDP("BND",AX197,BH8,AX3)</f>
        <v>입력오류</v>
      </c>
      <c r="BI197" s="2">
        <v>46198</v>
      </c>
      <c r="BJ197" s="3" t="s">
        <v>135</v>
      </c>
      <c r="BK197" s="3" t="s">
        <v>50</v>
      </c>
      <c r="BL197" s="3" t="s">
        <v>136</v>
      </c>
      <c r="BM197" s="3">
        <v>0</v>
      </c>
      <c r="BN197" s="3">
        <v>0.1</v>
      </c>
      <c r="BO197" s="3">
        <v>0</v>
      </c>
      <c r="BP197" s="3">
        <v>123554</v>
      </c>
      <c r="BQ197" s="3">
        <v>9751.25</v>
      </c>
      <c r="BR197" s="3">
        <v>1.8928</v>
      </c>
      <c r="BS197" s="21">
        <f ca="1">_xll.IMDP("BND",BJ197,BS8,BJ3)</f>
        <v>20280610</v>
      </c>
      <c r="BT197" s="23">
        <f ca="1">_xll.IMDP("BND",BJ197,BT8,BJ3)</f>
        <v>3.625</v>
      </c>
      <c r="BU197" s="2"/>
      <c r="CE197" s="21" t="str">
        <f ca="1">_xll.IMDP("BND",BV197,CE8,BV3)</f>
        <v>입력오류</v>
      </c>
      <c r="CF197" s="23" t="str">
        <f ca="1">_xll.IMDP("BND",BV197,CF8,BV3)</f>
        <v>입력오류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">
        <v>46198</v>
      </c>
      <c r="CT197" s="3" t="s">
        <v>2518</v>
      </c>
      <c r="CU197" s="3" t="s">
        <v>2519</v>
      </c>
      <c r="CV197" s="3" t="s">
        <v>2520</v>
      </c>
      <c r="CW197" s="3">
        <v>0</v>
      </c>
      <c r="CX197" s="3">
        <v>0.16</v>
      </c>
      <c r="CY197" s="3">
        <v>0</v>
      </c>
      <c r="CZ197" s="3">
        <v>230921</v>
      </c>
      <c r="DC197" s="21" t="str">
        <f ca="1">_xll.IMDP("BND",CT197,DC8,CT3)</f>
        <v/>
      </c>
      <c r="DD197" s="23" t="str">
        <f ca="1">_xll.IMDP("BND",CT197,DD8,CT3)</f>
        <v/>
      </c>
      <c r="DE197" s="2"/>
      <c r="DO197" s="21" t="str">
        <f ca="1">_xll.IMDP("BND",DF197,DO8,DF3)</f>
        <v>입력오류</v>
      </c>
      <c r="DP197" s="23" t="str">
        <f ca="1">_xll.IMDP("BND",DF197,DP8,DF3)</f>
        <v>입력오류</v>
      </c>
      <c r="DQ197" s="2"/>
      <c r="EA197" s="21" t="str">
        <f ca="1">_xll.IMDP("BND",DR197,EA8,DR3)</f>
        <v>입력오류</v>
      </c>
      <c r="EB197" s="23" t="str">
        <f ca="1">_xll.IMDP("BND",DR197,EB8,DR3)</f>
        <v>입력오류</v>
      </c>
    </row>
    <row r="198" spans="1:132" ht="13.5" customHeight="1" x14ac:dyDescent="0.3">
      <c r="A198" s="2">
        <v>46198</v>
      </c>
      <c r="B198" s="3" t="s">
        <v>1944</v>
      </c>
      <c r="C198" s="3" t="s">
        <v>1916</v>
      </c>
      <c r="D198" s="3" t="s">
        <v>1945</v>
      </c>
      <c r="E198" s="3">
        <v>0</v>
      </c>
      <c r="F198" s="3">
        <v>0.23</v>
      </c>
      <c r="G198" s="3">
        <v>0</v>
      </c>
      <c r="H198" s="3">
        <v>257899</v>
      </c>
      <c r="I198" s="3">
        <v>9712.51</v>
      </c>
      <c r="J198" s="3">
        <v>2.0817999999999999</v>
      </c>
      <c r="K198" s="21">
        <f ca="1">_xll.IMDP("BND",B198,K8,B3)</f>
        <v>20280824</v>
      </c>
      <c r="L198" s="23">
        <f ca="1">_xll.IMDP("BND",B198,L8,B3)</f>
        <v>4.2990000000000004</v>
      </c>
      <c r="M198" s="2"/>
      <c r="W198" s="21" t="str">
        <f ca="1">_xll.IMDP("BND",N198,W8,N3)</f>
        <v>입력오류</v>
      </c>
      <c r="X198" s="23" t="str">
        <f ca="1">_xll.IMDP("BND",N198,X8,N3)</f>
        <v>입력오류</v>
      </c>
      <c r="Y198" s="2"/>
      <c r="AI198" s="21" t="str">
        <f ca="1">_xll.IMDP("BND",Z198,AI8,Z3)</f>
        <v>입력오류</v>
      </c>
      <c r="AJ198" s="23" t="str">
        <f ca="1">_xll.IMDP("BND",Z198,AJ8,Z3)</f>
        <v>입력오류</v>
      </c>
      <c r="AK198" s="2"/>
      <c r="AU198" s="21" t="str">
        <f ca="1">_xll.IMDP("BND",AL198,AU8,AL3)</f>
        <v>입력오류</v>
      </c>
      <c r="AV198" s="23" t="str">
        <f ca="1">_xll.IMDP("BND",AL198,AV8,AL3)</f>
        <v>입력오류</v>
      </c>
      <c r="AW198" s="2"/>
      <c r="BG198" s="21" t="str">
        <f ca="1">_xll.IMDP("BND",AX198,BG8,AX3)</f>
        <v>입력오류</v>
      </c>
      <c r="BH198" s="23" t="str">
        <f ca="1">_xll.IMDP("BND",AX198,BH8,AX3)</f>
        <v>입력오류</v>
      </c>
      <c r="BI198" s="2">
        <v>46198</v>
      </c>
      <c r="BJ198" s="3" t="s">
        <v>1555</v>
      </c>
      <c r="BK198" s="3" t="s">
        <v>1556</v>
      </c>
      <c r="BL198" s="3" t="s">
        <v>1557</v>
      </c>
      <c r="BM198" s="3">
        <v>0</v>
      </c>
      <c r="BN198" s="3">
        <v>0.09</v>
      </c>
      <c r="BO198" s="3">
        <v>0</v>
      </c>
      <c r="BP198" s="3">
        <v>110865</v>
      </c>
      <c r="BQ198" s="3">
        <v>9635.5499999999993</v>
      </c>
      <c r="BR198" s="3">
        <v>3.3429000000000002</v>
      </c>
      <c r="BS198" s="21">
        <f ca="1">_xll.IMDP("BND",BJ198,BS8,BJ3)</f>
        <v>20300122</v>
      </c>
      <c r="BT198" s="23">
        <f ca="1">_xll.IMDP("BND",BJ198,BT8,BJ3)</f>
        <v>4.3230000000000004</v>
      </c>
      <c r="BU198" s="2"/>
      <c r="CE198" s="21" t="str">
        <f ca="1">_xll.IMDP("BND",BV198,CE8,BV3)</f>
        <v>입력오류</v>
      </c>
      <c r="CF198" s="23" t="str">
        <f ca="1">_xll.IMDP("BND",BV198,CF8,BV3)</f>
        <v>입력오류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">
        <v>46198</v>
      </c>
      <c r="CT198" s="3" t="s">
        <v>2526</v>
      </c>
      <c r="CU198" s="3" t="s">
        <v>2522</v>
      </c>
      <c r="CV198" s="3" t="s">
        <v>2527</v>
      </c>
      <c r="CW198" s="3">
        <v>0</v>
      </c>
      <c r="CX198" s="3">
        <v>0.16</v>
      </c>
      <c r="CY198" s="3">
        <v>0</v>
      </c>
      <c r="CZ198" s="3">
        <v>230882</v>
      </c>
      <c r="DC198" s="21" t="str">
        <f ca="1">_xll.IMDP("BND",CT198,DC8,CT3)</f>
        <v/>
      </c>
      <c r="DD198" s="23" t="str">
        <f ca="1">_xll.IMDP("BND",CT198,DD8,CT3)</f>
        <v/>
      </c>
      <c r="DE198" s="2"/>
      <c r="DO198" s="21" t="str">
        <f ca="1">_xll.IMDP("BND",DF198,DO8,DF3)</f>
        <v>입력오류</v>
      </c>
      <c r="DP198" s="23" t="str">
        <f ca="1">_xll.IMDP("BND",DF198,DP8,DF3)</f>
        <v>입력오류</v>
      </c>
      <c r="DQ198" s="2"/>
      <c r="EA198" s="21" t="str">
        <f ca="1">_xll.IMDP("BND",DR198,EA8,DR3)</f>
        <v>입력오류</v>
      </c>
      <c r="EB198" s="23" t="str">
        <f ca="1">_xll.IMDP("BND",DR198,EB8,DR3)</f>
        <v>입력오류</v>
      </c>
    </row>
    <row r="199" spans="1:132" ht="13.5" customHeight="1" x14ac:dyDescent="0.3">
      <c r="A199" s="2">
        <v>46198</v>
      </c>
      <c r="B199" s="3" t="s">
        <v>1946</v>
      </c>
      <c r="C199" s="3" t="s">
        <v>1385</v>
      </c>
      <c r="D199" s="3" t="s">
        <v>1947</v>
      </c>
      <c r="E199" s="3">
        <v>0</v>
      </c>
      <c r="F199" s="3">
        <v>0.23</v>
      </c>
      <c r="G199" s="3">
        <v>0</v>
      </c>
      <c r="H199" s="3">
        <v>257891</v>
      </c>
      <c r="I199" s="3">
        <v>9712.2099999999991</v>
      </c>
      <c r="J199" s="3">
        <v>2.0844</v>
      </c>
      <c r="K199" s="21">
        <f ca="1">_xll.IMDP("BND",B199,K8,B3)</f>
        <v>20280825</v>
      </c>
      <c r="L199" s="23">
        <f ca="1">_xll.IMDP("BND",B199,L8,B3)</f>
        <v>4.2990000000000004</v>
      </c>
      <c r="M199" s="2"/>
      <c r="W199" s="21" t="str">
        <f ca="1">_xll.IMDP("BND",N199,W8,N3)</f>
        <v>입력오류</v>
      </c>
      <c r="X199" s="23" t="str">
        <f ca="1">_xll.IMDP("BND",N199,X8,N3)</f>
        <v>입력오류</v>
      </c>
      <c r="Y199" s="2"/>
      <c r="AI199" s="21" t="str">
        <f ca="1">_xll.IMDP("BND",Z199,AI8,Z3)</f>
        <v>입력오류</v>
      </c>
      <c r="AJ199" s="23" t="str">
        <f ca="1">_xll.IMDP("BND",Z199,AJ8,Z3)</f>
        <v>입력오류</v>
      </c>
      <c r="AK199" s="2"/>
      <c r="AU199" s="21" t="str">
        <f ca="1">_xll.IMDP("BND",AL199,AU8,AL3)</f>
        <v>입력오류</v>
      </c>
      <c r="AV199" s="23" t="str">
        <f ca="1">_xll.IMDP("BND",AL199,AV8,AL3)</f>
        <v>입력오류</v>
      </c>
      <c r="AW199" s="2"/>
      <c r="BG199" s="21" t="str">
        <f ca="1">_xll.IMDP("BND",AX199,BG8,AX3)</f>
        <v>입력오류</v>
      </c>
      <c r="BH199" s="23" t="str">
        <f ca="1">_xll.IMDP("BND",AX199,BH8,AX3)</f>
        <v>입력오류</v>
      </c>
      <c r="BI199" s="2">
        <v>46198</v>
      </c>
      <c r="BJ199" s="3" t="s">
        <v>1558</v>
      </c>
      <c r="BK199" s="3" t="s">
        <v>1559</v>
      </c>
      <c r="BL199" s="3" t="s">
        <v>1560</v>
      </c>
      <c r="BM199" s="3">
        <v>0</v>
      </c>
      <c r="BN199" s="3">
        <v>0.09</v>
      </c>
      <c r="BO199" s="3">
        <v>0</v>
      </c>
      <c r="BP199" s="3">
        <v>110133</v>
      </c>
      <c r="BQ199" s="3">
        <v>9573.75</v>
      </c>
      <c r="BR199" s="3">
        <v>2.5596999999999999</v>
      </c>
      <c r="BS199" s="21">
        <f ca="1">_xll.IMDP("BND",BJ199,BS8,BJ3)</f>
        <v>20290304</v>
      </c>
      <c r="BT199" s="23">
        <f ca="1">_xll.IMDP("BND",BJ199,BT8,BJ3)</f>
        <v>4.1050000000000004</v>
      </c>
      <c r="BU199" s="2"/>
      <c r="CE199" s="21" t="str">
        <f ca="1">_xll.IMDP("BND",BV199,CE8,BV3)</f>
        <v>입력오류</v>
      </c>
      <c r="CF199" s="23" t="str">
        <f ca="1">_xll.IMDP("BND",BV199,CF8,BV3)</f>
        <v>입력오류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">
        <v>46198</v>
      </c>
      <c r="CT199" s="3" t="s">
        <v>2534</v>
      </c>
      <c r="CU199" s="3" t="s">
        <v>2522</v>
      </c>
      <c r="CV199" s="3" t="s">
        <v>2535</v>
      </c>
      <c r="CW199" s="3">
        <v>0</v>
      </c>
      <c r="CX199" s="3">
        <v>0.16</v>
      </c>
      <c r="CY199" s="3">
        <v>0</v>
      </c>
      <c r="CZ199" s="3">
        <v>230882</v>
      </c>
      <c r="DC199" s="21" t="str">
        <f ca="1">_xll.IMDP("BND",CT199,DC8,CT3)</f>
        <v/>
      </c>
      <c r="DD199" s="23" t="str">
        <f ca="1">_xll.IMDP("BND",CT199,DD8,CT3)</f>
        <v/>
      </c>
      <c r="DE199" s="2"/>
      <c r="DO199" s="21" t="str">
        <f ca="1">_xll.IMDP("BND",DF199,DO8,DF3)</f>
        <v>입력오류</v>
      </c>
      <c r="DP199" s="23" t="str">
        <f ca="1">_xll.IMDP("BND",DF199,DP8,DF3)</f>
        <v>입력오류</v>
      </c>
      <c r="DQ199" s="2"/>
      <c r="EA199" s="21" t="str">
        <f ca="1">_xll.IMDP("BND",DR199,EA8,DR3)</f>
        <v>입력오류</v>
      </c>
      <c r="EB199" s="23" t="str">
        <f ca="1">_xll.IMDP("BND",DR199,EB8,DR3)</f>
        <v>입력오류</v>
      </c>
    </row>
    <row r="200" spans="1:132" ht="13.5" customHeight="1" x14ac:dyDescent="0.3">
      <c r="A200" s="2">
        <v>46198</v>
      </c>
      <c r="B200" s="3" t="s">
        <v>1948</v>
      </c>
      <c r="C200" s="3" t="s">
        <v>1949</v>
      </c>
      <c r="D200" s="3" t="s">
        <v>1950</v>
      </c>
      <c r="E200" s="3">
        <v>0</v>
      </c>
      <c r="F200" s="3">
        <v>0.23</v>
      </c>
      <c r="G200" s="3">
        <v>0</v>
      </c>
      <c r="H200" s="3">
        <v>257796</v>
      </c>
      <c r="I200" s="3">
        <v>9707.9</v>
      </c>
      <c r="J200" s="3">
        <v>3.1989000000000001</v>
      </c>
      <c r="K200" s="21">
        <f ca="1">_xll.IMDP("BND",B200,K8,B3)</f>
        <v>20291120</v>
      </c>
      <c r="L200" s="23">
        <f ca="1">_xll.IMDP("BND",B200,L8,B3)</f>
        <v>4.1159999999999997</v>
      </c>
      <c r="M200" s="2"/>
      <c r="W200" s="21" t="str">
        <f ca="1">_xll.IMDP("BND",N200,W8,N3)</f>
        <v>입력오류</v>
      </c>
      <c r="X200" s="23" t="str">
        <f ca="1">_xll.IMDP("BND",N200,X8,N3)</f>
        <v>입력오류</v>
      </c>
      <c r="Y200" s="2"/>
      <c r="AI200" s="21" t="str">
        <f ca="1">_xll.IMDP("BND",Z200,AI8,Z3)</f>
        <v>입력오류</v>
      </c>
      <c r="AJ200" s="23" t="str">
        <f ca="1">_xll.IMDP("BND",Z200,AJ8,Z3)</f>
        <v>입력오류</v>
      </c>
      <c r="AK200" s="2"/>
      <c r="AU200" s="21" t="str">
        <f ca="1">_xll.IMDP("BND",AL200,AU8,AL3)</f>
        <v>입력오류</v>
      </c>
      <c r="AV200" s="23" t="str">
        <f ca="1">_xll.IMDP("BND",AL200,AV8,AL3)</f>
        <v>입력오류</v>
      </c>
      <c r="AW200" s="2"/>
      <c r="BG200" s="21" t="str">
        <f ca="1">_xll.IMDP("BND",AX200,BG8,AX3)</f>
        <v>입력오류</v>
      </c>
      <c r="BH200" s="23" t="str">
        <f ca="1">_xll.IMDP("BND",AX200,BH8,AX3)</f>
        <v>입력오류</v>
      </c>
      <c r="BI200" s="2">
        <v>46198</v>
      </c>
      <c r="BJ200" s="3" t="s">
        <v>1561</v>
      </c>
      <c r="BK200" s="3" t="s">
        <v>29</v>
      </c>
      <c r="BL200" s="3" t="s">
        <v>1562</v>
      </c>
      <c r="BM200" s="3">
        <v>0</v>
      </c>
      <c r="BN200" s="3">
        <v>0.08</v>
      </c>
      <c r="BO200" s="3">
        <v>0</v>
      </c>
      <c r="BP200" s="3">
        <v>104162</v>
      </c>
      <c r="BQ200" s="3">
        <v>9701.9500000000007</v>
      </c>
      <c r="BR200" s="3">
        <v>2.3584999999999998</v>
      </c>
      <c r="BS200" s="21">
        <f ca="1">_xll.IMDP("BND",BJ200,BS8,BJ3)</f>
        <v>20281210</v>
      </c>
      <c r="BT200" s="23">
        <f ca="1">_xll.IMDP("BND",BJ200,BT8,BJ3)</f>
        <v>3.6949999999999998</v>
      </c>
      <c r="BU200" s="2"/>
      <c r="CE200" s="21" t="str">
        <f ca="1">_xll.IMDP("BND",BV200,CE8,BV3)</f>
        <v>입력오류</v>
      </c>
      <c r="CF200" s="23" t="str">
        <f ca="1">_xll.IMDP("BND",BV200,CF8,BV3)</f>
        <v>입력오류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">
        <v>46198</v>
      </c>
      <c r="CT200" s="3" t="s">
        <v>2532</v>
      </c>
      <c r="CU200" s="3" t="s">
        <v>2522</v>
      </c>
      <c r="CV200" s="3" t="s">
        <v>2533</v>
      </c>
      <c r="CW200" s="3">
        <v>0</v>
      </c>
      <c r="CX200" s="3">
        <v>0.16</v>
      </c>
      <c r="CY200" s="3">
        <v>0</v>
      </c>
      <c r="CZ200" s="3">
        <v>230882</v>
      </c>
      <c r="DC200" s="21" t="str">
        <f ca="1">_xll.IMDP("BND",CT200,DC8,CT3)</f>
        <v/>
      </c>
      <c r="DD200" s="23" t="str">
        <f ca="1">_xll.IMDP("BND",CT200,DD8,CT3)</f>
        <v/>
      </c>
      <c r="DE200" s="2"/>
      <c r="DO200" s="21" t="str">
        <f ca="1">_xll.IMDP("BND",DF200,DO8,DF3)</f>
        <v>입력오류</v>
      </c>
      <c r="DP200" s="23" t="str">
        <f ca="1">_xll.IMDP("BND",DF200,DP8,DF3)</f>
        <v>입력오류</v>
      </c>
      <c r="DQ200" s="2"/>
      <c r="EA200" s="21" t="str">
        <f ca="1">_xll.IMDP("BND",DR200,EA8,DR3)</f>
        <v>입력오류</v>
      </c>
      <c r="EB200" s="23" t="str">
        <f ca="1">_xll.IMDP("BND",DR200,EB8,DR3)</f>
        <v>입력오류</v>
      </c>
    </row>
    <row r="201" spans="1:132" ht="13.5" customHeight="1" x14ac:dyDescent="0.3">
      <c r="A201" s="2">
        <v>46198</v>
      </c>
      <c r="B201" s="3" t="s">
        <v>1951</v>
      </c>
      <c r="C201" s="3" t="s">
        <v>1952</v>
      </c>
      <c r="D201" s="3" t="s">
        <v>1953</v>
      </c>
      <c r="E201" s="3">
        <v>0</v>
      </c>
      <c r="F201" s="3">
        <v>0.23</v>
      </c>
      <c r="G201" s="3">
        <v>0</v>
      </c>
      <c r="H201" s="3">
        <v>257642</v>
      </c>
      <c r="I201" s="3">
        <v>9704.07</v>
      </c>
      <c r="J201" s="3">
        <v>2.4451999999999998</v>
      </c>
      <c r="K201" s="21">
        <f ca="1">_xll.IMDP("BND",B201,K8,B3)</f>
        <v>20290119</v>
      </c>
      <c r="L201" s="23">
        <f ca="1">_xll.IMDP("BND",B201,L8,B3)</f>
        <v>4.29</v>
      </c>
      <c r="M201" s="2"/>
      <c r="W201" s="21" t="str">
        <f ca="1">_xll.IMDP("BND",N201,W8,N3)</f>
        <v>입력오류</v>
      </c>
      <c r="X201" s="23" t="str">
        <f ca="1">_xll.IMDP("BND",N201,X8,N3)</f>
        <v>입력오류</v>
      </c>
      <c r="Y201" s="2"/>
      <c r="AI201" s="21" t="str">
        <f ca="1">_xll.IMDP("BND",Z201,AI8,Z3)</f>
        <v>입력오류</v>
      </c>
      <c r="AJ201" s="23" t="str">
        <f ca="1">_xll.IMDP("BND",Z201,AJ8,Z3)</f>
        <v>입력오류</v>
      </c>
      <c r="AK201" s="2"/>
      <c r="AU201" s="21" t="str">
        <f ca="1">_xll.IMDP("BND",AL201,AU8,AL3)</f>
        <v>입력오류</v>
      </c>
      <c r="AV201" s="23" t="str">
        <f ca="1">_xll.IMDP("BND",AL201,AV8,AL3)</f>
        <v>입력오류</v>
      </c>
      <c r="AW201" s="2"/>
      <c r="BG201" s="21" t="str">
        <f ca="1">_xll.IMDP("BND",AX201,BG8,AX3)</f>
        <v>입력오류</v>
      </c>
      <c r="BH201" s="23" t="str">
        <f ca="1">_xll.IMDP("BND",AX201,BH8,AX3)</f>
        <v>입력오류</v>
      </c>
      <c r="BI201" s="2">
        <v>46198</v>
      </c>
      <c r="BJ201" s="3" t="s">
        <v>1563</v>
      </c>
      <c r="BK201" s="3" t="s">
        <v>1564</v>
      </c>
      <c r="BL201" s="3" t="s">
        <v>1565</v>
      </c>
      <c r="BM201" s="3">
        <v>0</v>
      </c>
      <c r="BN201" s="3">
        <v>0.08</v>
      </c>
      <c r="BO201" s="3">
        <v>0</v>
      </c>
      <c r="BP201" s="3">
        <v>103247</v>
      </c>
      <c r="BQ201" s="3">
        <v>8975.68</v>
      </c>
      <c r="BR201" s="3">
        <v>4.8361999999999998</v>
      </c>
      <c r="BS201" s="21">
        <f ca="1">_xll.IMDP("BND",BJ201,BS8,BJ3)</f>
        <v>20310824</v>
      </c>
      <c r="BT201" s="23">
        <f ca="1">_xll.IMDP("BND",BJ201,BT8,BJ3)</f>
        <v>4.3</v>
      </c>
      <c r="BU201" s="2"/>
      <c r="CE201" s="21" t="str">
        <f ca="1">_xll.IMDP("BND",BV201,CE8,BV3)</f>
        <v>입력오류</v>
      </c>
      <c r="CF201" s="23" t="str">
        <f ca="1">_xll.IMDP("BND",BV201,CF8,BV3)</f>
        <v>입력오류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">
        <v>46198</v>
      </c>
      <c r="CT201" s="3" t="s">
        <v>2524</v>
      </c>
      <c r="CU201" s="3" t="s">
        <v>2522</v>
      </c>
      <c r="CV201" s="3" t="s">
        <v>2525</v>
      </c>
      <c r="CW201" s="3">
        <v>0</v>
      </c>
      <c r="CX201" s="3">
        <v>0.16</v>
      </c>
      <c r="CY201" s="3">
        <v>0</v>
      </c>
      <c r="CZ201" s="3">
        <v>230882</v>
      </c>
      <c r="DC201" s="21" t="str">
        <f ca="1">_xll.IMDP("BND",CT201,DC8,CT3)</f>
        <v/>
      </c>
      <c r="DD201" s="23" t="str">
        <f ca="1">_xll.IMDP("BND",CT201,DD8,CT3)</f>
        <v/>
      </c>
      <c r="DE201" s="2"/>
      <c r="DO201" s="21" t="str">
        <f ca="1">_xll.IMDP("BND",DF201,DO8,DF3)</f>
        <v>입력오류</v>
      </c>
      <c r="DP201" s="23" t="str">
        <f ca="1">_xll.IMDP("BND",DF201,DP8,DF3)</f>
        <v>입력오류</v>
      </c>
      <c r="DQ201" s="2"/>
      <c r="EA201" s="21" t="str">
        <f ca="1">_xll.IMDP("BND",DR201,EA8,DR3)</f>
        <v>입력오류</v>
      </c>
      <c r="EB201" s="23" t="str">
        <f ca="1">_xll.IMDP("BND",DR201,EB8,DR3)</f>
        <v>입력오류</v>
      </c>
    </row>
    <row r="202" spans="1:132" ht="13.5" customHeight="1" x14ac:dyDescent="0.3">
      <c r="A202" s="2">
        <v>46198</v>
      </c>
      <c r="B202" s="3" t="s">
        <v>1954</v>
      </c>
      <c r="C202" s="3" t="s">
        <v>1955</v>
      </c>
      <c r="D202" s="3" t="s">
        <v>1956</v>
      </c>
      <c r="E202" s="3">
        <v>0</v>
      </c>
      <c r="F202" s="3">
        <v>0.23</v>
      </c>
      <c r="G202" s="3">
        <v>0</v>
      </c>
      <c r="H202" s="3">
        <v>257628</v>
      </c>
      <c r="I202" s="3">
        <v>9702.59</v>
      </c>
      <c r="J202" s="3">
        <v>2.1617999999999999</v>
      </c>
      <c r="K202" s="21">
        <f ca="1">_xll.IMDP("BND",B202,K8,B3)</f>
        <v>20280925</v>
      </c>
      <c r="L202" s="23">
        <f ca="1">_xll.IMDP("BND",B202,L8,B3)</f>
        <v>4.2949999999999999</v>
      </c>
      <c r="M202" s="2"/>
      <c r="W202" s="21" t="str">
        <f ca="1">_xll.IMDP("BND",N202,W8,N3)</f>
        <v>입력오류</v>
      </c>
      <c r="X202" s="23" t="str">
        <f ca="1">_xll.IMDP("BND",N202,X8,N3)</f>
        <v>입력오류</v>
      </c>
      <c r="Y202" s="2"/>
      <c r="AI202" s="21" t="str">
        <f ca="1">_xll.IMDP("BND",Z202,AI8,Z3)</f>
        <v>입력오류</v>
      </c>
      <c r="AJ202" s="23" t="str">
        <f ca="1">_xll.IMDP("BND",Z202,AJ8,Z3)</f>
        <v>입력오류</v>
      </c>
      <c r="AK202" s="2"/>
      <c r="AU202" s="21" t="str">
        <f ca="1">_xll.IMDP("BND",AL202,AU8,AL3)</f>
        <v>입력오류</v>
      </c>
      <c r="AV202" s="23" t="str">
        <f ca="1">_xll.IMDP("BND",AL202,AV8,AL3)</f>
        <v>입력오류</v>
      </c>
      <c r="AW202" s="2"/>
      <c r="BG202" s="21" t="str">
        <f ca="1">_xll.IMDP("BND",AX202,BG8,AX3)</f>
        <v>입력오류</v>
      </c>
      <c r="BH202" s="23" t="str">
        <f ca="1">_xll.IMDP("BND",AX202,BH8,AX3)</f>
        <v>입력오류</v>
      </c>
      <c r="BI202" s="2">
        <v>46198</v>
      </c>
      <c r="BJ202" s="3" t="s">
        <v>1566</v>
      </c>
      <c r="BK202" s="3" t="s">
        <v>1567</v>
      </c>
      <c r="BL202" s="3" t="s">
        <v>1568</v>
      </c>
      <c r="BM202" s="3">
        <v>0</v>
      </c>
      <c r="BN202" s="3">
        <v>0.08</v>
      </c>
      <c r="BO202" s="3">
        <v>0</v>
      </c>
      <c r="BP202" s="3">
        <v>99001</v>
      </c>
      <c r="BQ202" s="3">
        <v>9930.41</v>
      </c>
      <c r="BR202" s="3">
        <v>1.1846000000000001</v>
      </c>
      <c r="BS202" s="21">
        <f ca="1">_xll.IMDP("BND",BJ202,BS8,BJ3)</f>
        <v>20270912</v>
      </c>
      <c r="BT202" s="23">
        <f ca="1">_xll.IMDP("BND",BJ202,BT8,BJ3)</f>
        <v>3.9119999999999999</v>
      </c>
      <c r="BU202" s="2"/>
      <c r="CE202" s="21" t="str">
        <f ca="1">_xll.IMDP("BND",BV202,CE8,BV3)</f>
        <v>입력오류</v>
      </c>
      <c r="CF202" s="23" t="str">
        <f ca="1">_xll.IMDP("BND",BV202,CF8,BV3)</f>
        <v>입력오류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">
        <v>46198</v>
      </c>
      <c r="CT202" s="3" t="s">
        <v>2530</v>
      </c>
      <c r="CU202" s="3" t="s">
        <v>2522</v>
      </c>
      <c r="CV202" s="3" t="s">
        <v>2531</v>
      </c>
      <c r="CW202" s="3">
        <v>0</v>
      </c>
      <c r="CX202" s="3">
        <v>0.16</v>
      </c>
      <c r="CY202" s="3">
        <v>0</v>
      </c>
      <c r="CZ202" s="3">
        <v>230882</v>
      </c>
      <c r="DC202" s="21" t="str">
        <f ca="1">_xll.IMDP("BND",CT202,DC8,CT3)</f>
        <v/>
      </c>
      <c r="DD202" s="23" t="str">
        <f ca="1">_xll.IMDP("BND",CT202,DD8,CT3)</f>
        <v/>
      </c>
      <c r="DE202" s="2"/>
      <c r="DO202" s="21" t="str">
        <f ca="1">_xll.IMDP("BND",DF202,DO8,DF3)</f>
        <v>입력오류</v>
      </c>
      <c r="DP202" s="23" t="str">
        <f ca="1">_xll.IMDP("BND",DF202,DP8,DF3)</f>
        <v>입력오류</v>
      </c>
      <c r="DQ202" s="2"/>
      <c r="EA202" s="21" t="str">
        <f ca="1">_xll.IMDP("BND",DR202,EA8,DR3)</f>
        <v>입력오류</v>
      </c>
      <c r="EB202" s="23" t="str">
        <f ca="1">_xll.IMDP("BND",DR202,EB8,DR3)</f>
        <v>입력오류</v>
      </c>
    </row>
    <row r="203" spans="1:132" ht="13.5" customHeight="1" x14ac:dyDescent="0.3">
      <c r="A203" s="2">
        <v>46198</v>
      </c>
      <c r="B203" s="3" t="s">
        <v>1957</v>
      </c>
      <c r="C203" s="3" t="s">
        <v>154</v>
      </c>
      <c r="D203" s="3" t="s">
        <v>1958</v>
      </c>
      <c r="E203" s="3">
        <v>0</v>
      </c>
      <c r="F203" s="3">
        <v>0.23</v>
      </c>
      <c r="G203" s="3">
        <v>0</v>
      </c>
      <c r="H203" s="3">
        <v>257577</v>
      </c>
      <c r="I203" s="3">
        <v>9700.17</v>
      </c>
      <c r="J203" s="3">
        <v>2.2905000000000002</v>
      </c>
      <c r="K203" s="21">
        <f ca="1">_xll.IMDP("BND",B203,K8,B3)</f>
        <v>20281119</v>
      </c>
      <c r="L203" s="23">
        <f ca="1">_xll.IMDP("BND",B203,L8,B3)</f>
        <v>4.0629999999999997</v>
      </c>
      <c r="M203" s="2"/>
      <c r="W203" s="21" t="str">
        <f ca="1">_xll.IMDP("BND",N203,W8,N3)</f>
        <v>입력오류</v>
      </c>
      <c r="X203" s="23" t="str">
        <f ca="1">_xll.IMDP("BND",N203,X8,N3)</f>
        <v>입력오류</v>
      </c>
      <c r="Y203" s="2"/>
      <c r="AI203" s="21" t="str">
        <f ca="1">_xll.IMDP("BND",Z203,AI8,Z3)</f>
        <v>입력오류</v>
      </c>
      <c r="AJ203" s="23" t="str">
        <f ca="1">_xll.IMDP("BND",Z203,AJ8,Z3)</f>
        <v>입력오류</v>
      </c>
      <c r="AK203" s="2"/>
      <c r="AU203" s="21" t="str">
        <f ca="1">_xll.IMDP("BND",AL203,AU8,AL3)</f>
        <v>입력오류</v>
      </c>
      <c r="AV203" s="23" t="str">
        <f ca="1">_xll.IMDP("BND",AL203,AV8,AL3)</f>
        <v>입력오류</v>
      </c>
      <c r="AW203" s="2"/>
      <c r="BG203" s="21" t="str">
        <f ca="1">_xll.IMDP("BND",AX203,BG8,AX3)</f>
        <v>입력오류</v>
      </c>
      <c r="BH203" s="23" t="str">
        <f ca="1">_xll.IMDP("BND",AX203,BH8,AX3)</f>
        <v>입력오류</v>
      </c>
      <c r="BI203" s="2">
        <v>46198</v>
      </c>
      <c r="BJ203" s="3" t="s">
        <v>1569</v>
      </c>
      <c r="BK203" s="3" t="s">
        <v>1570</v>
      </c>
      <c r="BL203" s="3" t="s">
        <v>1571</v>
      </c>
      <c r="BM203" s="3">
        <v>0</v>
      </c>
      <c r="BN203" s="3">
        <v>7.0000000000000007E-2</v>
      </c>
      <c r="BO203" s="3">
        <v>0</v>
      </c>
      <c r="BP203" s="3">
        <v>88270</v>
      </c>
      <c r="BQ203" s="3">
        <v>10850.95</v>
      </c>
      <c r="BR203" s="3">
        <v>9.6699999999999994E-2</v>
      </c>
      <c r="BS203" s="21">
        <f ca="1">_xll.IMDP("BND",BJ203,BS8,BJ3)</f>
        <v>20260731</v>
      </c>
      <c r="BT203" s="23">
        <f ca="1">_xll.IMDP("BND",BJ203,BT8,BJ3)</f>
        <v>2.9249999999999998</v>
      </c>
      <c r="BU203" s="2"/>
      <c r="CE203" s="21" t="str">
        <f ca="1">_xll.IMDP("BND",BV203,CE8,BV3)</f>
        <v>입력오류</v>
      </c>
      <c r="CF203" s="23" t="str">
        <f ca="1">_xll.IMDP("BND",BV203,CF8,BV3)</f>
        <v>입력오류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">
        <v>46198</v>
      </c>
      <c r="CT203" s="3" t="s">
        <v>2528</v>
      </c>
      <c r="CU203" s="3" t="s">
        <v>2522</v>
      </c>
      <c r="CV203" s="3" t="s">
        <v>2529</v>
      </c>
      <c r="CW203" s="3">
        <v>0</v>
      </c>
      <c r="CX203" s="3">
        <v>0.16</v>
      </c>
      <c r="CY203" s="3">
        <v>0</v>
      </c>
      <c r="CZ203" s="3">
        <v>230882</v>
      </c>
      <c r="DC203" s="21" t="str">
        <f ca="1">_xll.IMDP("BND",CT203,DC8,CT3)</f>
        <v/>
      </c>
      <c r="DD203" s="23" t="str">
        <f ca="1">_xll.IMDP("BND",CT203,DD8,CT3)</f>
        <v/>
      </c>
      <c r="DE203" s="2"/>
      <c r="DO203" s="21" t="str">
        <f ca="1">_xll.IMDP("BND",DF203,DO8,DF3)</f>
        <v>입력오류</v>
      </c>
      <c r="DP203" s="23" t="str">
        <f ca="1">_xll.IMDP("BND",DF203,DP8,DF3)</f>
        <v>입력오류</v>
      </c>
      <c r="DQ203" s="2"/>
      <c r="EA203" s="21" t="str">
        <f ca="1">_xll.IMDP("BND",DR203,EA8,DR3)</f>
        <v>입력오류</v>
      </c>
      <c r="EB203" s="23" t="str">
        <f ca="1">_xll.IMDP("BND",DR203,EB8,DR3)</f>
        <v>입력오류</v>
      </c>
    </row>
    <row r="204" spans="1:132" ht="13.5" customHeight="1" x14ac:dyDescent="0.3">
      <c r="A204" s="2">
        <v>46198</v>
      </c>
      <c r="B204" s="3" t="s">
        <v>1959</v>
      </c>
      <c r="C204" s="3" t="s">
        <v>159</v>
      </c>
      <c r="D204" s="3" t="s">
        <v>1960</v>
      </c>
      <c r="E204" s="3">
        <v>0</v>
      </c>
      <c r="F204" s="3">
        <v>0.23</v>
      </c>
      <c r="G204" s="3">
        <v>0</v>
      </c>
      <c r="H204" s="3">
        <v>257498</v>
      </c>
      <c r="I204" s="3">
        <v>9696.81</v>
      </c>
      <c r="J204" s="3">
        <v>2.1191</v>
      </c>
      <c r="K204" s="21">
        <f ca="1">_xll.IMDP("BND",B204,K8,B3)</f>
        <v>20280907</v>
      </c>
      <c r="L204" s="23">
        <f ca="1">_xll.IMDP("BND",B204,L8,B3)</f>
        <v>4.3120000000000003</v>
      </c>
      <c r="M204" s="2"/>
      <c r="W204" s="21" t="str">
        <f ca="1">_xll.IMDP("BND",N204,W8,N3)</f>
        <v>입력오류</v>
      </c>
      <c r="X204" s="23" t="str">
        <f ca="1">_xll.IMDP("BND",N204,X8,N3)</f>
        <v>입력오류</v>
      </c>
      <c r="Y204" s="2"/>
      <c r="AI204" s="21" t="str">
        <f ca="1">_xll.IMDP("BND",Z204,AI8,Z3)</f>
        <v>입력오류</v>
      </c>
      <c r="AJ204" s="23" t="str">
        <f ca="1">_xll.IMDP("BND",Z204,AJ8,Z3)</f>
        <v>입력오류</v>
      </c>
      <c r="AK204" s="2"/>
      <c r="AU204" s="21" t="str">
        <f ca="1">_xll.IMDP("BND",AL204,AU8,AL3)</f>
        <v>입력오류</v>
      </c>
      <c r="AV204" s="23" t="str">
        <f ca="1">_xll.IMDP("BND",AL204,AV8,AL3)</f>
        <v>입력오류</v>
      </c>
      <c r="AW204" s="2"/>
      <c r="BG204" s="21" t="str">
        <f ca="1">_xll.IMDP("BND",AX204,BG8,AX3)</f>
        <v>입력오류</v>
      </c>
      <c r="BH204" s="23" t="str">
        <f ca="1">_xll.IMDP("BND",AX204,BH8,AX3)</f>
        <v>입력오류</v>
      </c>
      <c r="BI204" s="2">
        <v>46198</v>
      </c>
      <c r="BJ204" s="3" t="s">
        <v>1572</v>
      </c>
      <c r="BK204" s="3" t="s">
        <v>1235</v>
      </c>
      <c r="BL204" s="3" t="s">
        <v>1573</v>
      </c>
      <c r="BM204" s="3">
        <v>0</v>
      </c>
      <c r="BN204" s="3">
        <v>7.0000000000000007E-2</v>
      </c>
      <c r="BO204" s="3">
        <v>0</v>
      </c>
      <c r="BP204" s="3">
        <v>85715</v>
      </c>
      <c r="BS204" s="21" t="str">
        <f ca="1">_xll.IMDP("BND",BJ204,BS8,BJ3)</f>
        <v/>
      </c>
      <c r="BT204" s="23" t="str">
        <f ca="1">_xll.IMDP("BND",BJ204,BT8,BJ3)</f>
        <v/>
      </c>
      <c r="BU204" s="2"/>
      <c r="CE204" s="21" t="str">
        <f ca="1">_xll.IMDP("BND",BV204,CE8,BV3)</f>
        <v>입력오류</v>
      </c>
      <c r="CF204" s="23" t="str">
        <f ca="1">_xll.IMDP("BND",BV204,CF8,BV3)</f>
        <v>입력오류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">
        <v>46198</v>
      </c>
      <c r="CT204" s="3" t="s">
        <v>2521</v>
      </c>
      <c r="CU204" s="3" t="s">
        <v>2522</v>
      </c>
      <c r="CV204" s="3" t="s">
        <v>2523</v>
      </c>
      <c r="CW204" s="3">
        <v>0</v>
      </c>
      <c r="CX204" s="3">
        <v>0.16</v>
      </c>
      <c r="CY204" s="3">
        <v>0</v>
      </c>
      <c r="CZ204" s="3">
        <v>230882</v>
      </c>
      <c r="DC204" s="21" t="str">
        <f ca="1">_xll.IMDP("BND",CT204,DC8,CT3)</f>
        <v/>
      </c>
      <c r="DD204" s="23" t="str">
        <f ca="1">_xll.IMDP("BND",CT204,DD8,CT3)</f>
        <v/>
      </c>
      <c r="DE204" s="2"/>
      <c r="DO204" s="21" t="str">
        <f ca="1">_xll.IMDP("BND",DF204,DO8,DF3)</f>
        <v>입력오류</v>
      </c>
      <c r="DP204" s="23" t="str">
        <f ca="1">_xll.IMDP("BND",DF204,DP8,DF3)</f>
        <v>입력오류</v>
      </c>
      <c r="DQ204" s="2"/>
      <c r="EA204" s="21" t="str">
        <f ca="1">_xll.IMDP("BND",DR204,EA8,DR3)</f>
        <v>입력오류</v>
      </c>
      <c r="EB204" s="23" t="str">
        <f ca="1">_xll.IMDP("BND",DR204,EB8,DR3)</f>
        <v>입력오류</v>
      </c>
    </row>
    <row r="205" spans="1:132" ht="13.5" customHeight="1" x14ac:dyDescent="0.3">
      <c r="A205" s="2">
        <v>46198</v>
      </c>
      <c r="B205" s="3" t="s">
        <v>1961</v>
      </c>
      <c r="C205" s="3" t="s">
        <v>857</v>
      </c>
      <c r="D205" s="3" t="s">
        <v>1962</v>
      </c>
      <c r="E205" s="3">
        <v>0</v>
      </c>
      <c r="F205" s="3">
        <v>0.23</v>
      </c>
      <c r="G205" s="3">
        <v>0</v>
      </c>
      <c r="H205" s="3">
        <v>257398</v>
      </c>
      <c r="I205" s="3">
        <v>9694.85</v>
      </c>
      <c r="J205" s="3">
        <v>2.4297</v>
      </c>
      <c r="K205" s="21">
        <f ca="1">_xll.IMDP("BND",B205,K8,B3)</f>
        <v>20290112</v>
      </c>
      <c r="L205" s="23">
        <f ca="1">_xll.IMDP("BND",B205,L8,B3)</f>
        <v>4.2889999999999997</v>
      </c>
      <c r="M205" s="2"/>
      <c r="W205" s="21" t="str">
        <f ca="1">_xll.IMDP("BND",N205,W8,N3)</f>
        <v>입력오류</v>
      </c>
      <c r="X205" s="23" t="str">
        <f ca="1">_xll.IMDP("BND",N205,X8,N3)</f>
        <v>입력오류</v>
      </c>
      <c r="Y205" s="2"/>
      <c r="AI205" s="21" t="str">
        <f ca="1">_xll.IMDP("BND",Z205,AI8,Z3)</f>
        <v>입력오류</v>
      </c>
      <c r="AJ205" s="23" t="str">
        <f ca="1">_xll.IMDP("BND",Z205,AJ8,Z3)</f>
        <v>입력오류</v>
      </c>
      <c r="AK205" s="2"/>
      <c r="AU205" s="21" t="str">
        <f ca="1">_xll.IMDP("BND",AL205,AU8,AL3)</f>
        <v>입력오류</v>
      </c>
      <c r="AV205" s="23" t="str">
        <f ca="1">_xll.IMDP("BND",AL205,AV8,AL3)</f>
        <v>입력오류</v>
      </c>
      <c r="AW205" s="2"/>
      <c r="BG205" s="21" t="str">
        <f ca="1">_xll.IMDP("BND",AX205,BG8,AX3)</f>
        <v>입력오류</v>
      </c>
      <c r="BH205" s="23" t="str">
        <f ca="1">_xll.IMDP("BND",AX205,BH8,AX3)</f>
        <v>입력오류</v>
      </c>
      <c r="BI205" s="2">
        <v>46198</v>
      </c>
      <c r="BJ205" s="3" t="s">
        <v>1574</v>
      </c>
      <c r="BK205" s="3" t="s">
        <v>346</v>
      </c>
      <c r="BL205" s="3" t="s">
        <v>1121</v>
      </c>
      <c r="BM205" s="3">
        <v>0</v>
      </c>
      <c r="BN205" s="3">
        <v>7.0000000000000007E-2</v>
      </c>
      <c r="BO205" s="3">
        <v>0</v>
      </c>
      <c r="BP205" s="3">
        <v>85102</v>
      </c>
      <c r="BS205" s="21" t="str">
        <f ca="1">_xll.IMDP("BND",BJ205,BS8,BJ3)</f>
        <v/>
      </c>
      <c r="BT205" s="23" t="str">
        <f ca="1">_xll.IMDP("BND",BJ205,BT8,BJ3)</f>
        <v/>
      </c>
      <c r="BU205" s="2"/>
      <c r="CE205" s="21" t="str">
        <f ca="1">_xll.IMDP("BND",BV205,CE8,BV3)</f>
        <v>입력오류</v>
      </c>
      <c r="CF205" s="23" t="str">
        <f ca="1">_xll.IMDP("BND",BV205,CF8,BV3)</f>
        <v>입력오류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">
        <v>46198</v>
      </c>
      <c r="CT205" s="3" t="s">
        <v>2536</v>
      </c>
      <c r="CU205" s="3" t="s">
        <v>2522</v>
      </c>
      <c r="CV205" s="3" t="s">
        <v>2537</v>
      </c>
      <c r="CW205" s="3">
        <v>0</v>
      </c>
      <c r="CX205" s="3">
        <v>0.16</v>
      </c>
      <c r="CY205" s="3">
        <v>0</v>
      </c>
      <c r="CZ205" s="3">
        <v>230882</v>
      </c>
      <c r="DC205" s="21" t="str">
        <f ca="1">_xll.IMDP("BND",CT205,DC8,CT3)</f>
        <v/>
      </c>
      <c r="DD205" s="23" t="str">
        <f ca="1">_xll.IMDP("BND",CT205,DD8,CT3)</f>
        <v/>
      </c>
      <c r="DE205" s="2"/>
      <c r="DO205" s="21" t="str">
        <f ca="1">_xll.IMDP("BND",DF205,DO8,DF3)</f>
        <v>입력오류</v>
      </c>
      <c r="DP205" s="23" t="str">
        <f ca="1">_xll.IMDP("BND",DF205,DP8,DF3)</f>
        <v>입력오류</v>
      </c>
      <c r="DQ205" s="2"/>
      <c r="EA205" s="21" t="str">
        <f ca="1">_xll.IMDP("BND",DR205,EA8,DR3)</f>
        <v>입력오류</v>
      </c>
      <c r="EB205" s="23" t="str">
        <f ca="1">_xll.IMDP("BND",DR205,EB8,DR3)</f>
        <v>입력오류</v>
      </c>
    </row>
    <row r="206" spans="1:132" ht="13.5" customHeight="1" x14ac:dyDescent="0.3">
      <c r="A206" s="2">
        <v>46198</v>
      </c>
      <c r="B206" s="3" t="s">
        <v>504</v>
      </c>
      <c r="C206" s="3" t="s">
        <v>505</v>
      </c>
      <c r="D206" s="3" t="s">
        <v>506</v>
      </c>
      <c r="E206" s="3">
        <v>0</v>
      </c>
      <c r="F206" s="3">
        <v>0.23</v>
      </c>
      <c r="G206" s="3">
        <v>0</v>
      </c>
      <c r="H206" s="3">
        <v>257163</v>
      </c>
      <c r="I206" s="3">
        <v>9685.91</v>
      </c>
      <c r="J206" s="3">
        <v>2.6511</v>
      </c>
      <c r="K206" s="21">
        <f ca="1">_xll.IMDP("BND",B206,K8,B3)</f>
        <v>20290413</v>
      </c>
      <c r="L206" s="23">
        <f ca="1">_xll.IMDP("BND",B206,L8,B3)</f>
        <v>4.3369999999999997</v>
      </c>
      <c r="M206" s="2"/>
      <c r="W206" s="21" t="str">
        <f ca="1">_xll.IMDP("BND",N206,W8,N3)</f>
        <v>입력오류</v>
      </c>
      <c r="X206" s="23" t="str">
        <f ca="1">_xll.IMDP("BND",N206,X8,N3)</f>
        <v>입력오류</v>
      </c>
      <c r="Y206" s="2"/>
      <c r="AI206" s="21" t="str">
        <f ca="1">_xll.IMDP("BND",Z206,AI8,Z3)</f>
        <v>입력오류</v>
      </c>
      <c r="AJ206" s="23" t="str">
        <f ca="1">_xll.IMDP("BND",Z206,AJ8,Z3)</f>
        <v>입력오류</v>
      </c>
      <c r="AK206" s="2"/>
      <c r="AU206" s="21" t="str">
        <f ca="1">_xll.IMDP("BND",AL206,AU8,AL3)</f>
        <v>입력오류</v>
      </c>
      <c r="AV206" s="23" t="str">
        <f ca="1">_xll.IMDP("BND",AL206,AV8,AL3)</f>
        <v>입력오류</v>
      </c>
      <c r="AW206" s="2"/>
      <c r="BG206" s="21" t="str">
        <f ca="1">_xll.IMDP("BND",AX206,BG8,AX3)</f>
        <v>입력오류</v>
      </c>
      <c r="BH206" s="23" t="str">
        <f ca="1">_xll.IMDP("BND",AX206,BH8,AX3)</f>
        <v>입력오류</v>
      </c>
      <c r="BI206" s="2">
        <v>46198</v>
      </c>
      <c r="BJ206" s="3" t="s">
        <v>1575</v>
      </c>
      <c r="BK206" s="3" t="s">
        <v>29</v>
      </c>
      <c r="BL206" s="3" t="s">
        <v>1576</v>
      </c>
      <c r="BM206" s="3">
        <v>0</v>
      </c>
      <c r="BN206" s="3">
        <v>0.06</v>
      </c>
      <c r="BO206" s="3">
        <v>0</v>
      </c>
      <c r="BP206" s="3">
        <v>80199</v>
      </c>
      <c r="BQ206" s="3">
        <v>9774.2900000000009</v>
      </c>
      <c r="BR206" s="3">
        <v>6.4225000000000003</v>
      </c>
      <c r="BS206" s="21">
        <f ca="1">_xll.IMDP("BND",BJ206,BS8,BJ3)</f>
        <v>20331210</v>
      </c>
      <c r="BT206" s="23">
        <f ca="1">_xll.IMDP("BND",BJ206,BT8,BJ3)</f>
        <v>4.1280000000000001</v>
      </c>
      <c r="BU206" s="2"/>
      <c r="CE206" s="21" t="str">
        <f ca="1">_xll.IMDP("BND",BV206,CE8,BV3)</f>
        <v>입력오류</v>
      </c>
      <c r="CF206" s="23" t="str">
        <f ca="1">_xll.IMDP("BND",BV206,CF8,BV3)</f>
        <v>입력오류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">
        <v>46198</v>
      </c>
      <c r="CT206" s="3" t="s">
        <v>2545</v>
      </c>
      <c r="CU206" s="3" t="s">
        <v>2539</v>
      </c>
      <c r="CV206" s="3" t="s">
        <v>2546</v>
      </c>
      <c r="CW206" s="3">
        <v>0</v>
      </c>
      <c r="CX206" s="3">
        <v>0.16</v>
      </c>
      <c r="CY206" s="3">
        <v>0</v>
      </c>
      <c r="CZ206" s="3">
        <v>230509</v>
      </c>
      <c r="DC206" s="21" t="str">
        <f ca="1">_xll.IMDP("BND",CT206,DC8,CT3)</f>
        <v/>
      </c>
      <c r="DD206" s="23" t="str">
        <f ca="1">_xll.IMDP("BND",CT206,DD8,CT3)</f>
        <v/>
      </c>
      <c r="DE206" s="2"/>
      <c r="DO206" s="21" t="str">
        <f ca="1">_xll.IMDP("BND",DF206,DO8,DF3)</f>
        <v>입력오류</v>
      </c>
      <c r="DP206" s="23" t="str">
        <f ca="1">_xll.IMDP("BND",DF206,DP8,DF3)</f>
        <v>입력오류</v>
      </c>
      <c r="DQ206" s="2"/>
      <c r="EA206" s="21" t="str">
        <f ca="1">_xll.IMDP("BND",DR206,EA8,DR3)</f>
        <v>입력오류</v>
      </c>
      <c r="EB206" s="23" t="str">
        <f ca="1">_xll.IMDP("BND",DR206,EB8,DR3)</f>
        <v>입력오류</v>
      </c>
    </row>
    <row r="207" spans="1:132" ht="13.5" customHeight="1" x14ac:dyDescent="0.3">
      <c r="A207" s="2">
        <v>46198</v>
      </c>
      <c r="B207" s="3" t="s">
        <v>1963</v>
      </c>
      <c r="C207" s="3" t="s">
        <v>1964</v>
      </c>
      <c r="D207" s="3" t="s">
        <v>1965</v>
      </c>
      <c r="E207" s="3">
        <v>0</v>
      </c>
      <c r="F207" s="3">
        <v>0.23</v>
      </c>
      <c r="G207" s="3">
        <v>0</v>
      </c>
      <c r="H207" s="3">
        <v>257049</v>
      </c>
      <c r="I207" s="3">
        <v>9680.25</v>
      </c>
      <c r="J207" s="3">
        <v>2.3206000000000002</v>
      </c>
      <c r="K207" s="21">
        <f ca="1">_xll.IMDP("BND",B207,K8,B3)</f>
        <v>20281130</v>
      </c>
      <c r="L207" s="23">
        <f ca="1">_xll.IMDP("BND",B207,L8,B3)</f>
        <v>4.0629999999999997</v>
      </c>
      <c r="M207" s="2"/>
      <c r="W207" s="21" t="str">
        <f ca="1">_xll.IMDP("BND",N207,W8,N3)</f>
        <v>입력오류</v>
      </c>
      <c r="X207" s="23" t="str">
        <f ca="1">_xll.IMDP("BND",N207,X8,N3)</f>
        <v>입력오류</v>
      </c>
      <c r="Y207" s="2"/>
      <c r="AI207" s="21" t="str">
        <f ca="1">_xll.IMDP("BND",Z207,AI8,Z3)</f>
        <v>입력오류</v>
      </c>
      <c r="AJ207" s="23" t="str">
        <f ca="1">_xll.IMDP("BND",Z207,AJ8,Z3)</f>
        <v>입력오류</v>
      </c>
      <c r="AK207" s="2"/>
      <c r="AU207" s="21" t="str">
        <f ca="1">_xll.IMDP("BND",AL207,AU8,AL3)</f>
        <v>입력오류</v>
      </c>
      <c r="AV207" s="23" t="str">
        <f ca="1">_xll.IMDP("BND",AL207,AV8,AL3)</f>
        <v>입력오류</v>
      </c>
      <c r="AW207" s="2"/>
      <c r="BG207" s="21" t="str">
        <f ca="1">_xll.IMDP("BND",AX207,BG8,AX3)</f>
        <v>입력오류</v>
      </c>
      <c r="BH207" s="23" t="str">
        <f ca="1">_xll.IMDP("BND",AX207,BH8,AX3)</f>
        <v>입력오류</v>
      </c>
      <c r="BI207" s="2">
        <v>46198</v>
      </c>
      <c r="BJ207" s="3" t="s">
        <v>1577</v>
      </c>
      <c r="BK207" s="3" t="s">
        <v>29</v>
      </c>
      <c r="BL207" s="3" t="s">
        <v>1578</v>
      </c>
      <c r="BM207" s="3">
        <v>0</v>
      </c>
      <c r="BN207" s="3">
        <v>0.06</v>
      </c>
      <c r="BO207" s="3">
        <v>0</v>
      </c>
      <c r="BP207" s="3">
        <v>78960</v>
      </c>
      <c r="BQ207" s="3">
        <v>9938.74</v>
      </c>
      <c r="BR207" s="3">
        <v>0.4536</v>
      </c>
      <c r="BS207" s="21">
        <f ca="1">_xll.IMDP("BND",BJ207,BS8,BJ3)</f>
        <v>20261210</v>
      </c>
      <c r="BT207" s="23">
        <f ca="1">_xll.IMDP("BND",BJ207,BT8,BJ3)</f>
        <v>2.9860000000000002</v>
      </c>
      <c r="BU207" s="2"/>
      <c r="CE207" s="21" t="str">
        <f ca="1">_xll.IMDP("BND",BV207,CE8,BV3)</f>
        <v>입력오류</v>
      </c>
      <c r="CF207" s="23" t="str">
        <f ca="1">_xll.IMDP("BND",BV207,CF8,BV3)</f>
        <v>입력오류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">
        <v>46198</v>
      </c>
      <c r="CT207" s="3" t="s">
        <v>2541</v>
      </c>
      <c r="CU207" s="3" t="s">
        <v>2539</v>
      </c>
      <c r="CV207" s="3" t="s">
        <v>2542</v>
      </c>
      <c r="CW207" s="3">
        <v>0</v>
      </c>
      <c r="CX207" s="3">
        <v>0.16</v>
      </c>
      <c r="CY207" s="3">
        <v>0</v>
      </c>
      <c r="CZ207" s="3">
        <v>230509</v>
      </c>
      <c r="DC207" s="21" t="str">
        <f ca="1">_xll.IMDP("BND",CT207,DC8,CT3)</f>
        <v/>
      </c>
      <c r="DD207" s="23" t="str">
        <f ca="1">_xll.IMDP("BND",CT207,DD8,CT3)</f>
        <v/>
      </c>
      <c r="DE207" s="2"/>
      <c r="DO207" s="21" t="str">
        <f ca="1">_xll.IMDP("BND",DF207,DO8,DF3)</f>
        <v>입력오류</v>
      </c>
      <c r="DP207" s="23" t="str">
        <f ca="1">_xll.IMDP("BND",DF207,DP8,DF3)</f>
        <v>입력오류</v>
      </c>
      <c r="DQ207" s="2"/>
      <c r="EA207" s="21" t="str">
        <f ca="1">_xll.IMDP("BND",DR207,EA8,DR3)</f>
        <v>입력오류</v>
      </c>
      <c r="EB207" s="23" t="str">
        <f ca="1">_xll.IMDP("BND",DR207,EB8,DR3)</f>
        <v>입력오류</v>
      </c>
    </row>
    <row r="208" spans="1:132" ht="13.5" customHeight="1" x14ac:dyDescent="0.3">
      <c r="A208" s="2">
        <v>46198</v>
      </c>
      <c r="B208" s="3" t="s">
        <v>1966</v>
      </c>
      <c r="C208" s="3" t="s">
        <v>108</v>
      </c>
      <c r="D208" s="3" t="s">
        <v>1967</v>
      </c>
      <c r="E208" s="3">
        <v>0</v>
      </c>
      <c r="F208" s="3">
        <v>0.23</v>
      </c>
      <c r="G208" s="3">
        <v>0</v>
      </c>
      <c r="H208" s="3">
        <v>256563</v>
      </c>
      <c r="I208" s="3">
        <v>9661.94</v>
      </c>
      <c r="J208" s="3">
        <v>2.3315999999999999</v>
      </c>
      <c r="K208" s="21">
        <f ca="1">_xll.IMDP("BND",B208,K8,B3)</f>
        <v>20281203</v>
      </c>
      <c r="L208" s="23">
        <f ca="1">_xll.IMDP("BND",B208,L8,B3)</f>
        <v>4.0640000000000001</v>
      </c>
      <c r="M208" s="2"/>
      <c r="W208" s="21" t="str">
        <f ca="1">_xll.IMDP("BND",N208,W8,N3)</f>
        <v>입력오류</v>
      </c>
      <c r="X208" s="23" t="str">
        <f ca="1">_xll.IMDP("BND",N208,X8,N3)</f>
        <v>입력오류</v>
      </c>
      <c r="Y208" s="2"/>
      <c r="AI208" s="21" t="str">
        <f ca="1">_xll.IMDP("BND",Z208,AI8,Z3)</f>
        <v>입력오류</v>
      </c>
      <c r="AJ208" s="23" t="str">
        <f ca="1">_xll.IMDP("BND",Z208,AJ8,Z3)</f>
        <v>입력오류</v>
      </c>
      <c r="AK208" s="2"/>
      <c r="AU208" s="21" t="str">
        <f ca="1">_xll.IMDP("BND",AL208,AU8,AL3)</f>
        <v>입력오류</v>
      </c>
      <c r="AV208" s="23" t="str">
        <f ca="1">_xll.IMDP("BND",AL208,AV8,AL3)</f>
        <v>입력오류</v>
      </c>
      <c r="AW208" s="2"/>
      <c r="BG208" s="21" t="str">
        <f ca="1">_xll.IMDP("BND",AX208,BG8,AX3)</f>
        <v>입력오류</v>
      </c>
      <c r="BH208" s="23" t="str">
        <f ca="1">_xll.IMDP("BND",AX208,BH8,AX3)</f>
        <v>입력오류</v>
      </c>
      <c r="BI208" s="2">
        <v>46198</v>
      </c>
      <c r="BJ208" s="3" t="s">
        <v>1579</v>
      </c>
      <c r="BK208" s="3" t="s">
        <v>1580</v>
      </c>
      <c r="BL208" s="3" t="s">
        <v>1581</v>
      </c>
      <c r="BM208" s="3">
        <v>0</v>
      </c>
      <c r="BN208" s="3">
        <v>0.06</v>
      </c>
      <c r="BO208" s="3">
        <v>0</v>
      </c>
      <c r="BP208" s="3">
        <v>78451</v>
      </c>
      <c r="BQ208" s="3">
        <v>10232.68</v>
      </c>
      <c r="BR208" s="3">
        <v>4.8282999999999996</v>
      </c>
      <c r="BS208" s="21">
        <f ca="1">_xll.IMDP("BND",BJ208,BS8,BJ3)</f>
        <v>20320126</v>
      </c>
      <c r="BT208" s="23">
        <f ca="1">_xll.IMDP("BND",BJ208,BT8,BJ3)</f>
        <v>4.274</v>
      </c>
      <c r="BU208" s="2"/>
      <c r="CE208" s="21" t="str">
        <f ca="1">_xll.IMDP("BND",BV208,CE8,BV3)</f>
        <v>입력오류</v>
      </c>
      <c r="CF208" s="23" t="str">
        <f ca="1">_xll.IMDP("BND",BV208,CF8,BV3)</f>
        <v>입력오류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">
        <v>46198</v>
      </c>
      <c r="CT208" s="3" t="s">
        <v>2547</v>
      </c>
      <c r="CU208" s="3" t="s">
        <v>2539</v>
      </c>
      <c r="CV208" s="3" t="s">
        <v>2548</v>
      </c>
      <c r="CW208" s="3">
        <v>0</v>
      </c>
      <c r="CX208" s="3">
        <v>0.16</v>
      </c>
      <c r="CY208" s="3">
        <v>0</v>
      </c>
      <c r="CZ208" s="3">
        <v>230509</v>
      </c>
      <c r="DC208" s="21" t="str">
        <f ca="1">_xll.IMDP("BND",CT208,DC8,CT3)</f>
        <v/>
      </c>
      <c r="DD208" s="23" t="str">
        <f ca="1">_xll.IMDP("BND",CT208,DD8,CT3)</f>
        <v/>
      </c>
      <c r="DE208" s="2"/>
      <c r="DO208" s="21" t="str">
        <f ca="1">_xll.IMDP("BND",DF208,DO8,DF3)</f>
        <v>입력오류</v>
      </c>
      <c r="DP208" s="23" t="str">
        <f ca="1">_xll.IMDP("BND",DF208,DP8,DF3)</f>
        <v>입력오류</v>
      </c>
      <c r="DQ208" s="2"/>
      <c r="EA208" s="21" t="str">
        <f ca="1">_xll.IMDP("BND",DR208,EA8,DR3)</f>
        <v>입력오류</v>
      </c>
      <c r="EB208" s="23" t="str">
        <f ca="1">_xll.IMDP("BND",DR208,EB8,DR3)</f>
        <v>입력오류</v>
      </c>
    </row>
    <row r="209" spans="1:132" ht="13.5" customHeight="1" x14ac:dyDescent="0.3">
      <c r="A209" s="2">
        <v>46198</v>
      </c>
      <c r="B209" s="3" t="s">
        <v>1968</v>
      </c>
      <c r="C209" s="3" t="s">
        <v>1969</v>
      </c>
      <c r="D209" s="3" t="s">
        <v>1970</v>
      </c>
      <c r="E209" s="3">
        <v>0</v>
      </c>
      <c r="F209" s="3">
        <v>0.23</v>
      </c>
      <c r="G209" s="3">
        <v>0</v>
      </c>
      <c r="H209" s="3">
        <v>256435</v>
      </c>
      <c r="I209" s="3">
        <v>9658.42</v>
      </c>
      <c r="J209" s="3">
        <v>2.6724999999999999</v>
      </c>
      <c r="K209" s="21">
        <f ca="1">_xll.IMDP("BND",B209,K8,B3)</f>
        <v>20290420</v>
      </c>
      <c r="L209" s="23">
        <f ca="1">_xll.IMDP("BND",B209,L8,B3)</f>
        <v>4.3410000000000002</v>
      </c>
      <c r="M209" s="2"/>
      <c r="W209" s="21" t="str">
        <f ca="1">_xll.IMDP("BND",N209,W8,N3)</f>
        <v>입력오류</v>
      </c>
      <c r="X209" s="23" t="str">
        <f ca="1">_xll.IMDP("BND",N209,X8,N3)</f>
        <v>입력오류</v>
      </c>
      <c r="Y209" s="2"/>
      <c r="AI209" s="21" t="str">
        <f ca="1">_xll.IMDP("BND",Z209,AI8,Z3)</f>
        <v>입력오류</v>
      </c>
      <c r="AJ209" s="23" t="str">
        <f ca="1">_xll.IMDP("BND",Z209,AJ8,Z3)</f>
        <v>입력오류</v>
      </c>
      <c r="AK209" s="2"/>
      <c r="AU209" s="21" t="str">
        <f ca="1">_xll.IMDP("BND",AL209,AU8,AL3)</f>
        <v>입력오류</v>
      </c>
      <c r="AV209" s="23" t="str">
        <f ca="1">_xll.IMDP("BND",AL209,AV8,AL3)</f>
        <v>입력오류</v>
      </c>
      <c r="AW209" s="2"/>
      <c r="BG209" s="21" t="str">
        <f ca="1">_xll.IMDP("BND",AX209,BG8,AX3)</f>
        <v>입력오류</v>
      </c>
      <c r="BH209" s="23" t="str">
        <f ca="1">_xll.IMDP("BND",AX209,BH8,AX3)</f>
        <v>입력오류</v>
      </c>
      <c r="BI209" s="2">
        <v>46198</v>
      </c>
      <c r="BJ209" s="3" t="s">
        <v>1582</v>
      </c>
      <c r="BK209" s="3" t="s">
        <v>518</v>
      </c>
      <c r="BL209" s="3" t="s">
        <v>1583</v>
      </c>
      <c r="BM209" s="3">
        <v>0</v>
      </c>
      <c r="BN209" s="3">
        <v>0.06</v>
      </c>
      <c r="BO209" s="3">
        <v>0</v>
      </c>
      <c r="BP209" s="3">
        <v>77624</v>
      </c>
      <c r="BQ209" s="3">
        <v>10122.4</v>
      </c>
      <c r="BR209" s="3">
        <v>1.4858</v>
      </c>
      <c r="BS209" s="21">
        <f ca="1">_xll.IMDP("BND",BJ209,BS8,BJ3)</f>
        <v>20280119</v>
      </c>
      <c r="BT209" s="23">
        <f ca="1">_xll.IMDP("BND",BJ209,BT8,BJ3)</f>
        <v>3.9049999999999998</v>
      </c>
      <c r="BU209" s="2"/>
      <c r="CE209" s="21" t="str">
        <f ca="1">_xll.IMDP("BND",BV209,CE8,BV3)</f>
        <v>입력오류</v>
      </c>
      <c r="CF209" s="23" t="str">
        <f ca="1">_xll.IMDP("BND",BV209,CF8,BV3)</f>
        <v>입력오류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">
        <v>46198</v>
      </c>
      <c r="CT209" s="3" t="s">
        <v>2549</v>
      </c>
      <c r="CU209" s="3" t="s">
        <v>2539</v>
      </c>
      <c r="CV209" s="3" t="s">
        <v>2550</v>
      </c>
      <c r="CW209" s="3">
        <v>0</v>
      </c>
      <c r="CX209" s="3">
        <v>0.16</v>
      </c>
      <c r="CY209" s="3">
        <v>0</v>
      </c>
      <c r="CZ209" s="3">
        <v>230509</v>
      </c>
      <c r="DC209" s="21" t="str">
        <f ca="1">_xll.IMDP("BND",CT209,DC8,CT3)</f>
        <v/>
      </c>
      <c r="DD209" s="23" t="str">
        <f ca="1">_xll.IMDP("BND",CT209,DD8,CT3)</f>
        <v/>
      </c>
      <c r="DE209" s="2"/>
      <c r="DO209" s="21" t="str">
        <f ca="1">_xll.IMDP("BND",DF209,DO8,DF3)</f>
        <v>입력오류</v>
      </c>
      <c r="DP209" s="23" t="str">
        <f ca="1">_xll.IMDP("BND",DF209,DP8,DF3)</f>
        <v>입력오류</v>
      </c>
      <c r="DQ209" s="2"/>
      <c r="EA209" s="21" t="str">
        <f ca="1">_xll.IMDP("BND",DR209,EA8,DR3)</f>
        <v>입력오류</v>
      </c>
      <c r="EB209" s="23" t="str">
        <f ca="1">_xll.IMDP("BND",DR209,EB8,DR3)</f>
        <v>입력오류</v>
      </c>
    </row>
    <row r="210" spans="1:132" ht="13.5" customHeight="1" x14ac:dyDescent="0.3">
      <c r="A210" s="2">
        <v>46198</v>
      </c>
      <c r="B210" s="3" t="s">
        <v>1971</v>
      </c>
      <c r="C210" s="3" t="s">
        <v>1972</v>
      </c>
      <c r="D210" s="3" t="s">
        <v>1973</v>
      </c>
      <c r="E210" s="3">
        <v>0</v>
      </c>
      <c r="F210" s="3">
        <v>0.23</v>
      </c>
      <c r="G210" s="3">
        <v>0</v>
      </c>
      <c r="H210" s="3">
        <v>256099</v>
      </c>
      <c r="I210" s="3">
        <v>9645.2900000000009</v>
      </c>
      <c r="J210" s="3">
        <v>2.2517</v>
      </c>
      <c r="K210" s="21">
        <f ca="1">_xll.IMDP("BND",B210,K8,B3)</f>
        <v>20281030</v>
      </c>
      <c r="L210" s="23">
        <f ca="1">_xll.IMDP("BND",B210,L8,B3)</f>
        <v>4.3380000000000001</v>
      </c>
      <c r="M210" s="2"/>
      <c r="W210" s="21" t="str">
        <f ca="1">_xll.IMDP("BND",N210,W8,N3)</f>
        <v>입력오류</v>
      </c>
      <c r="X210" s="23" t="str">
        <f ca="1">_xll.IMDP("BND",N210,X8,N3)</f>
        <v>입력오류</v>
      </c>
      <c r="Y210" s="2"/>
      <c r="AI210" s="21" t="str">
        <f ca="1">_xll.IMDP("BND",Z210,AI8,Z3)</f>
        <v>입력오류</v>
      </c>
      <c r="AJ210" s="23" t="str">
        <f ca="1">_xll.IMDP("BND",Z210,AJ8,Z3)</f>
        <v>입력오류</v>
      </c>
      <c r="AK210" s="2"/>
      <c r="AU210" s="21" t="str">
        <f ca="1">_xll.IMDP("BND",AL210,AU8,AL3)</f>
        <v>입력오류</v>
      </c>
      <c r="AV210" s="23" t="str">
        <f ca="1">_xll.IMDP("BND",AL210,AV8,AL3)</f>
        <v>입력오류</v>
      </c>
      <c r="AW210" s="2"/>
      <c r="BG210" s="21" t="str">
        <f ca="1">_xll.IMDP("BND",AX210,BG8,AX3)</f>
        <v>입력오류</v>
      </c>
      <c r="BH210" s="23" t="str">
        <f ca="1">_xll.IMDP("BND",AX210,BH8,AX3)</f>
        <v>입력오류</v>
      </c>
      <c r="BI210" s="2">
        <v>46198</v>
      </c>
      <c r="BJ210" s="3" t="s">
        <v>1584</v>
      </c>
      <c r="BK210" s="3" t="s">
        <v>929</v>
      </c>
      <c r="BL210" s="3" t="s">
        <v>1585</v>
      </c>
      <c r="BM210" s="3">
        <v>0</v>
      </c>
      <c r="BN210" s="3">
        <v>0.06</v>
      </c>
      <c r="BO210" s="3">
        <v>0</v>
      </c>
      <c r="BP210" s="3">
        <v>77335</v>
      </c>
      <c r="BQ210" s="3">
        <v>10084.25</v>
      </c>
      <c r="BR210" s="3">
        <v>2.0167000000000002</v>
      </c>
      <c r="BS210" s="21">
        <f ca="1">_xll.IMDP("BND",BJ210,BS8,BJ3)</f>
        <v>20280810</v>
      </c>
      <c r="BT210" s="23">
        <f ca="1">_xll.IMDP("BND",BJ210,BT8,BJ3)</f>
        <v>3.9990000000000001</v>
      </c>
      <c r="BU210" s="2"/>
      <c r="CE210" s="21" t="str">
        <f ca="1">_xll.IMDP("BND",BV210,CE8,BV3)</f>
        <v>입력오류</v>
      </c>
      <c r="CF210" s="23" t="str">
        <f ca="1">_xll.IMDP("BND",BV210,CF8,BV3)</f>
        <v>입력오류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">
        <v>46198</v>
      </c>
      <c r="CT210" s="3" t="s">
        <v>2538</v>
      </c>
      <c r="CU210" s="3" t="s">
        <v>2539</v>
      </c>
      <c r="CV210" s="3" t="s">
        <v>2540</v>
      </c>
      <c r="CW210" s="3">
        <v>0</v>
      </c>
      <c r="CX210" s="3">
        <v>0.16</v>
      </c>
      <c r="CY210" s="3">
        <v>0</v>
      </c>
      <c r="CZ210" s="3">
        <v>230509</v>
      </c>
      <c r="DC210" s="21" t="str">
        <f ca="1">_xll.IMDP("BND",CT210,DC8,CT3)</f>
        <v/>
      </c>
      <c r="DD210" s="23" t="str">
        <f ca="1">_xll.IMDP("BND",CT210,DD8,CT3)</f>
        <v/>
      </c>
      <c r="DE210" s="2"/>
      <c r="DO210" s="21" t="str">
        <f ca="1">_xll.IMDP("BND",DF210,DO8,DF3)</f>
        <v>입력오류</v>
      </c>
      <c r="DP210" s="23" t="str">
        <f ca="1">_xll.IMDP("BND",DF210,DP8,DF3)</f>
        <v>입력오류</v>
      </c>
      <c r="DQ210" s="2"/>
      <c r="EA210" s="21" t="str">
        <f ca="1">_xll.IMDP("BND",DR210,EA8,DR3)</f>
        <v>입력오류</v>
      </c>
      <c r="EB210" s="23" t="str">
        <f ca="1">_xll.IMDP("BND",DR210,EB8,DR3)</f>
        <v>입력오류</v>
      </c>
    </row>
    <row r="211" spans="1:132" ht="13.5" customHeight="1" x14ac:dyDescent="0.3">
      <c r="A211" s="2">
        <v>46198</v>
      </c>
      <c r="B211" s="3" t="s">
        <v>1974</v>
      </c>
      <c r="C211" s="3" t="s">
        <v>1564</v>
      </c>
      <c r="D211" s="3" t="s">
        <v>1975</v>
      </c>
      <c r="E211" s="3">
        <v>0</v>
      </c>
      <c r="F211" s="3">
        <v>0.23</v>
      </c>
      <c r="G211" s="3">
        <v>0</v>
      </c>
      <c r="H211" s="3">
        <v>256080</v>
      </c>
      <c r="I211" s="3">
        <v>9644.2999999999993</v>
      </c>
      <c r="J211" s="3">
        <v>1.8997999999999999</v>
      </c>
      <c r="K211" s="21">
        <f ca="1">_xll.IMDP("BND",B211,K8,B3)</f>
        <v>20280608</v>
      </c>
      <c r="L211" s="23">
        <f ca="1">_xll.IMDP("BND",B211,L8,B3)</f>
        <v>4.0220000000000002</v>
      </c>
      <c r="M211" s="2"/>
      <c r="W211" s="21" t="str">
        <f ca="1">_xll.IMDP("BND",N211,W8,N3)</f>
        <v>입력오류</v>
      </c>
      <c r="X211" s="23" t="str">
        <f ca="1">_xll.IMDP("BND",N211,X8,N3)</f>
        <v>입력오류</v>
      </c>
      <c r="Y211" s="2"/>
      <c r="AI211" s="21" t="str">
        <f ca="1">_xll.IMDP("BND",Z211,AI8,Z3)</f>
        <v>입력오류</v>
      </c>
      <c r="AJ211" s="23" t="str">
        <f ca="1">_xll.IMDP("BND",Z211,AJ8,Z3)</f>
        <v>입력오류</v>
      </c>
      <c r="AK211" s="2"/>
      <c r="AU211" s="21" t="str">
        <f ca="1">_xll.IMDP("BND",AL211,AU8,AL3)</f>
        <v>입력오류</v>
      </c>
      <c r="AV211" s="23" t="str">
        <f ca="1">_xll.IMDP("BND",AL211,AV8,AL3)</f>
        <v>입력오류</v>
      </c>
      <c r="AW211" s="2"/>
      <c r="BG211" s="21" t="str">
        <f ca="1">_xll.IMDP("BND",AX211,BG8,AX3)</f>
        <v>입력오류</v>
      </c>
      <c r="BH211" s="23" t="str">
        <f ca="1">_xll.IMDP("BND",AX211,BH8,AX3)</f>
        <v>입력오류</v>
      </c>
      <c r="BI211" s="2">
        <v>46198</v>
      </c>
      <c r="BJ211" s="3" t="s">
        <v>1586</v>
      </c>
      <c r="BK211" s="3" t="s">
        <v>1587</v>
      </c>
      <c r="BL211" s="3" t="s">
        <v>1588</v>
      </c>
      <c r="BM211" s="3">
        <v>0</v>
      </c>
      <c r="BN211" s="3">
        <v>0.06</v>
      </c>
      <c r="BO211" s="3">
        <v>0</v>
      </c>
      <c r="BP211" s="3">
        <v>77311</v>
      </c>
      <c r="BQ211" s="3">
        <v>10081.35</v>
      </c>
      <c r="BR211" s="3">
        <v>0.39679999999999999</v>
      </c>
      <c r="BS211" s="21">
        <f ca="1">_xll.IMDP("BND",BJ211,BS8,BJ3)</f>
        <v>20261119</v>
      </c>
      <c r="BT211" s="23">
        <f ca="1">_xll.IMDP("BND",BJ211,BT8,BJ3)</f>
        <v>3.3340000000000001</v>
      </c>
      <c r="BU211" s="2"/>
      <c r="CE211" s="21" t="str">
        <f ca="1">_xll.IMDP("BND",BV211,CE8,BV3)</f>
        <v>입력오류</v>
      </c>
      <c r="CF211" s="23" t="str">
        <f ca="1">_xll.IMDP("BND",BV211,CF8,BV3)</f>
        <v>입력오류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">
        <v>46198</v>
      </c>
      <c r="CT211" s="3" t="s">
        <v>2543</v>
      </c>
      <c r="CU211" s="3" t="s">
        <v>2539</v>
      </c>
      <c r="CV211" s="3" t="s">
        <v>2544</v>
      </c>
      <c r="CW211" s="3">
        <v>0</v>
      </c>
      <c r="CX211" s="3">
        <v>0.16</v>
      </c>
      <c r="CY211" s="3">
        <v>0</v>
      </c>
      <c r="CZ211" s="3">
        <v>230509</v>
      </c>
      <c r="DC211" s="21" t="str">
        <f ca="1">_xll.IMDP("BND",CT211,DC8,CT3)</f>
        <v/>
      </c>
      <c r="DD211" s="23" t="str">
        <f ca="1">_xll.IMDP("BND",CT211,DD8,CT3)</f>
        <v/>
      </c>
      <c r="DE211" s="2"/>
      <c r="DO211" s="21" t="str">
        <f ca="1">_xll.IMDP("BND",DF211,DO8,DF3)</f>
        <v>입력오류</v>
      </c>
      <c r="DP211" s="23" t="str">
        <f ca="1">_xll.IMDP("BND",DF211,DP8,DF3)</f>
        <v>입력오류</v>
      </c>
      <c r="DQ211" s="2"/>
      <c r="EA211" s="21" t="str">
        <f ca="1">_xll.IMDP("BND",DR211,EA8,DR3)</f>
        <v>입력오류</v>
      </c>
      <c r="EB211" s="23" t="str">
        <f ca="1">_xll.IMDP("BND",DR211,EB8,DR3)</f>
        <v>입력오류</v>
      </c>
    </row>
    <row r="212" spans="1:132" ht="13.5" customHeight="1" x14ac:dyDescent="0.3">
      <c r="A212" s="2">
        <v>46198</v>
      </c>
      <c r="B212" s="3" t="s">
        <v>1976</v>
      </c>
      <c r="C212" s="3" t="s">
        <v>302</v>
      </c>
      <c r="D212" s="3" t="s">
        <v>1977</v>
      </c>
      <c r="E212" s="3">
        <v>0</v>
      </c>
      <c r="F212" s="3">
        <v>0.23</v>
      </c>
      <c r="G212" s="3">
        <v>0</v>
      </c>
      <c r="H212" s="3">
        <v>255987</v>
      </c>
      <c r="I212" s="3">
        <v>9640.52</v>
      </c>
      <c r="J212" s="3">
        <v>3.4150999999999998</v>
      </c>
      <c r="K212" s="21">
        <f ca="1">_xll.IMDP("BND",B212,K8,B3)</f>
        <v>20300221</v>
      </c>
      <c r="L212" s="23">
        <f ca="1">_xll.IMDP("BND",B212,L8,B3)</f>
        <v>4.3490000000000002</v>
      </c>
      <c r="M212" s="2"/>
      <c r="W212" s="21" t="str">
        <f ca="1">_xll.IMDP("BND",N212,W8,N3)</f>
        <v>입력오류</v>
      </c>
      <c r="X212" s="23" t="str">
        <f ca="1">_xll.IMDP("BND",N212,X8,N3)</f>
        <v>입력오류</v>
      </c>
      <c r="Y212" s="2"/>
      <c r="AI212" s="21" t="str">
        <f ca="1">_xll.IMDP("BND",Z212,AI8,Z3)</f>
        <v>입력오류</v>
      </c>
      <c r="AJ212" s="23" t="str">
        <f ca="1">_xll.IMDP("BND",Z212,AJ8,Z3)</f>
        <v>입력오류</v>
      </c>
      <c r="AK212" s="2"/>
      <c r="AU212" s="21" t="str">
        <f ca="1">_xll.IMDP("BND",AL212,AU8,AL3)</f>
        <v>입력오류</v>
      </c>
      <c r="AV212" s="23" t="str">
        <f ca="1">_xll.IMDP("BND",AL212,AV8,AL3)</f>
        <v>입력오류</v>
      </c>
      <c r="AW212" s="2"/>
      <c r="BG212" s="21" t="str">
        <f ca="1">_xll.IMDP("BND",AX212,BG8,AX3)</f>
        <v>입력오류</v>
      </c>
      <c r="BH212" s="23" t="str">
        <f ca="1">_xll.IMDP("BND",AX212,BH8,AX3)</f>
        <v>입력오류</v>
      </c>
      <c r="BI212" s="2">
        <v>46198</v>
      </c>
      <c r="BJ212" s="3" t="s">
        <v>1589</v>
      </c>
      <c r="BK212" s="3" t="s">
        <v>564</v>
      </c>
      <c r="BL212" s="3" t="s">
        <v>1590</v>
      </c>
      <c r="BM212" s="3">
        <v>0</v>
      </c>
      <c r="BN212" s="3">
        <v>0.06</v>
      </c>
      <c r="BO212" s="3">
        <v>0</v>
      </c>
      <c r="BP212" s="3">
        <v>76889</v>
      </c>
      <c r="BQ212" s="3">
        <v>10025.73</v>
      </c>
      <c r="BR212" s="3">
        <v>3.9394999999999998</v>
      </c>
      <c r="BS212" s="21">
        <f ca="1">_xll.IMDP("BND",BJ212,BS8,BJ3)</f>
        <v>20300731</v>
      </c>
      <c r="BT212" s="23">
        <f ca="1">_xll.IMDP("BND",BJ212,BT8,BJ3)</f>
        <v>4.0839999999999996</v>
      </c>
      <c r="BU212" s="2"/>
      <c r="CE212" s="21" t="str">
        <f ca="1">_xll.IMDP("BND",BV212,CE8,BV3)</f>
        <v>입력오류</v>
      </c>
      <c r="CF212" s="23" t="str">
        <f ca="1">_xll.IMDP("BND",BV212,CF8,BV3)</f>
        <v>입력오류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">
        <v>46198</v>
      </c>
      <c r="CT212" s="3" t="s">
        <v>2551</v>
      </c>
      <c r="CU212" s="3" t="s">
        <v>1077</v>
      </c>
      <c r="CV212" s="3" t="s">
        <v>2552</v>
      </c>
      <c r="CW212" s="3">
        <v>0</v>
      </c>
      <c r="CX212" s="3">
        <v>0.16</v>
      </c>
      <c r="CY212" s="3">
        <v>0</v>
      </c>
      <c r="CZ212" s="3">
        <v>230254</v>
      </c>
      <c r="DA212" s="3">
        <v>9861.4599999999991</v>
      </c>
      <c r="DB212" s="3">
        <v>1.4473</v>
      </c>
      <c r="DC212" s="21">
        <f ca="1">_xll.IMDP("BND",CT212,DC8,CT3)</f>
        <v>20271224</v>
      </c>
      <c r="DD212" s="23">
        <f ca="1">_xll.IMDP("BND",CT212,DD8,CT3)</f>
        <v>4.1849999999999996</v>
      </c>
      <c r="DE212" s="2"/>
      <c r="DO212" s="21" t="str">
        <f ca="1">_xll.IMDP("BND",DF212,DO8,DF3)</f>
        <v>입력오류</v>
      </c>
      <c r="DP212" s="23" t="str">
        <f ca="1">_xll.IMDP("BND",DF212,DP8,DF3)</f>
        <v>입력오류</v>
      </c>
      <c r="DQ212" s="2"/>
      <c r="EA212" s="21" t="str">
        <f ca="1">_xll.IMDP("BND",DR212,EA8,DR3)</f>
        <v>입력오류</v>
      </c>
      <c r="EB212" s="23" t="str">
        <f ca="1">_xll.IMDP("BND",DR212,EB8,DR3)</f>
        <v>입력오류</v>
      </c>
    </row>
    <row r="213" spans="1:132" ht="13.5" customHeight="1" x14ac:dyDescent="0.3">
      <c r="A213" s="2">
        <v>46198</v>
      </c>
      <c r="B213" s="3" t="s">
        <v>1978</v>
      </c>
      <c r="C213" s="3" t="s">
        <v>1437</v>
      </c>
      <c r="D213" s="3" t="s">
        <v>1979</v>
      </c>
      <c r="E213" s="3">
        <v>0</v>
      </c>
      <c r="F213" s="3">
        <v>0.23</v>
      </c>
      <c r="G213" s="3">
        <v>0</v>
      </c>
      <c r="H213" s="3">
        <v>255835</v>
      </c>
      <c r="I213" s="3">
        <v>9634.34</v>
      </c>
      <c r="J213" s="3">
        <v>3.1667999999999998</v>
      </c>
      <c r="K213" s="21">
        <f ca="1">_xll.IMDP("BND",B213,K8,B3)</f>
        <v>20291112</v>
      </c>
      <c r="L213" s="23">
        <f ca="1">_xll.IMDP("BND",B213,L8,B3)</f>
        <v>4.1779999999999999</v>
      </c>
      <c r="M213" s="2"/>
      <c r="W213" s="21" t="str">
        <f ca="1">_xll.IMDP("BND",N213,W8,N3)</f>
        <v>입력오류</v>
      </c>
      <c r="X213" s="23" t="str">
        <f ca="1">_xll.IMDP("BND",N213,X8,N3)</f>
        <v>입력오류</v>
      </c>
      <c r="Y213" s="2"/>
      <c r="AI213" s="21" t="str">
        <f ca="1">_xll.IMDP("BND",Z213,AI8,Z3)</f>
        <v>입력오류</v>
      </c>
      <c r="AJ213" s="23" t="str">
        <f ca="1">_xll.IMDP("BND",Z213,AJ8,Z3)</f>
        <v>입력오류</v>
      </c>
      <c r="AK213" s="2"/>
      <c r="AU213" s="21" t="str">
        <f ca="1">_xll.IMDP("BND",AL213,AU8,AL3)</f>
        <v>입력오류</v>
      </c>
      <c r="AV213" s="23" t="str">
        <f ca="1">_xll.IMDP("BND",AL213,AV8,AL3)</f>
        <v>입력오류</v>
      </c>
      <c r="AW213" s="2"/>
      <c r="BG213" s="21" t="str">
        <f ca="1">_xll.IMDP("BND",AX213,BG8,AX3)</f>
        <v>입력오류</v>
      </c>
      <c r="BH213" s="23" t="str">
        <f ca="1">_xll.IMDP("BND",AX213,BH8,AX3)</f>
        <v>입력오류</v>
      </c>
      <c r="BI213" s="2">
        <v>46198</v>
      </c>
      <c r="BJ213" s="3" t="s">
        <v>1591</v>
      </c>
      <c r="BK213" s="3" t="s">
        <v>92</v>
      </c>
      <c r="BL213" s="3" t="s">
        <v>1592</v>
      </c>
      <c r="BM213" s="3">
        <v>0</v>
      </c>
      <c r="BN213" s="3">
        <v>0.06</v>
      </c>
      <c r="BO213" s="3">
        <v>0</v>
      </c>
      <c r="BP213" s="3">
        <v>76877</v>
      </c>
      <c r="BQ213" s="3">
        <v>10024.99</v>
      </c>
      <c r="BR213" s="3">
        <v>1.7235</v>
      </c>
      <c r="BS213" s="21">
        <f ca="1">_xll.IMDP("BND",BJ213,BS8,BJ3)</f>
        <v>20280414</v>
      </c>
      <c r="BT213" s="23">
        <f ca="1">_xll.IMDP("BND",BJ213,BT8,BJ3)</f>
        <v>3.992</v>
      </c>
      <c r="BU213" s="2"/>
      <c r="CE213" s="21" t="str">
        <f ca="1">_xll.IMDP("BND",BV213,CE8,BV3)</f>
        <v>입력오류</v>
      </c>
      <c r="CF213" s="23" t="str">
        <f ca="1">_xll.IMDP("BND",BV213,CF8,BV3)</f>
        <v>입력오류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">
        <v>46198</v>
      </c>
      <c r="CT213" s="3" t="s">
        <v>2553</v>
      </c>
      <c r="CU213" s="3" t="s">
        <v>1129</v>
      </c>
      <c r="CV213" s="3" t="s">
        <v>2554</v>
      </c>
      <c r="CW213" s="3">
        <v>0</v>
      </c>
      <c r="CX213" s="3">
        <v>0.16</v>
      </c>
      <c r="CY213" s="3">
        <v>0</v>
      </c>
      <c r="CZ213" s="3">
        <v>230235</v>
      </c>
      <c r="DC213" s="21" t="str">
        <f ca="1">_xll.IMDP("BND",CT213,DC8,CT3)</f>
        <v/>
      </c>
      <c r="DD213" s="23" t="str">
        <f ca="1">_xll.IMDP("BND",CT213,DD8,CT3)</f>
        <v/>
      </c>
      <c r="DE213" s="2"/>
      <c r="DO213" s="21" t="str">
        <f ca="1">_xll.IMDP("BND",DF213,DO8,DF3)</f>
        <v>입력오류</v>
      </c>
      <c r="DP213" s="23" t="str">
        <f ca="1">_xll.IMDP("BND",DF213,DP8,DF3)</f>
        <v>입력오류</v>
      </c>
      <c r="DQ213" s="2"/>
      <c r="EA213" s="21" t="str">
        <f ca="1">_xll.IMDP("BND",DR213,EA8,DR3)</f>
        <v>입력오류</v>
      </c>
      <c r="EB213" s="23" t="str">
        <f ca="1">_xll.IMDP("BND",DR213,EB8,DR3)</f>
        <v>입력오류</v>
      </c>
    </row>
    <row r="214" spans="1:132" ht="13.5" customHeight="1" x14ac:dyDescent="0.3">
      <c r="A214" s="2">
        <v>46198</v>
      </c>
      <c r="B214" s="3" t="s">
        <v>1980</v>
      </c>
      <c r="C214" s="3" t="s">
        <v>1668</v>
      </c>
      <c r="D214" s="3" t="s">
        <v>1981</v>
      </c>
      <c r="E214" s="3">
        <v>0</v>
      </c>
      <c r="F214" s="3">
        <v>0.23</v>
      </c>
      <c r="G214" s="3">
        <v>0</v>
      </c>
      <c r="H214" s="3">
        <v>255752</v>
      </c>
      <c r="I214" s="3">
        <v>9630.4500000000007</v>
      </c>
      <c r="J214" s="3">
        <v>3.2829000000000002</v>
      </c>
      <c r="K214" s="21">
        <f ca="1">_xll.IMDP("BND",B214,K8,B3)</f>
        <v>20291218</v>
      </c>
      <c r="L214" s="23">
        <f ca="1">_xll.IMDP("BND",B214,L8,B3)</f>
        <v>4.1230000000000002</v>
      </c>
      <c r="M214" s="2"/>
      <c r="W214" s="21" t="str">
        <f ca="1">_xll.IMDP("BND",N214,W8,N3)</f>
        <v>입력오류</v>
      </c>
      <c r="X214" s="23" t="str">
        <f ca="1">_xll.IMDP("BND",N214,X8,N3)</f>
        <v>입력오류</v>
      </c>
      <c r="Y214" s="2"/>
      <c r="AI214" s="21" t="str">
        <f ca="1">_xll.IMDP("BND",Z214,AI8,Z3)</f>
        <v>입력오류</v>
      </c>
      <c r="AJ214" s="23" t="str">
        <f ca="1">_xll.IMDP("BND",Z214,AJ8,Z3)</f>
        <v>입력오류</v>
      </c>
      <c r="AK214" s="2"/>
      <c r="AU214" s="21" t="str">
        <f ca="1">_xll.IMDP("BND",AL214,AU8,AL3)</f>
        <v>입력오류</v>
      </c>
      <c r="AV214" s="23" t="str">
        <f ca="1">_xll.IMDP("BND",AL214,AV8,AL3)</f>
        <v>입력오류</v>
      </c>
      <c r="AW214" s="2"/>
      <c r="BG214" s="21" t="str">
        <f ca="1">_xll.IMDP("BND",AX214,BG8,AX3)</f>
        <v>입력오류</v>
      </c>
      <c r="BH214" s="23" t="str">
        <f ca="1">_xll.IMDP("BND",AX214,BH8,AX3)</f>
        <v>입력오류</v>
      </c>
      <c r="BI214" s="2">
        <v>46198</v>
      </c>
      <c r="BJ214" s="3" t="s">
        <v>1593</v>
      </c>
      <c r="BK214" s="3" t="s">
        <v>850</v>
      </c>
      <c r="BL214" s="3" t="s">
        <v>1594</v>
      </c>
      <c r="BM214" s="3">
        <v>0</v>
      </c>
      <c r="BN214" s="3">
        <v>0.06</v>
      </c>
      <c r="BO214" s="3">
        <v>0</v>
      </c>
      <c r="BP214" s="3">
        <v>76565</v>
      </c>
      <c r="BQ214" s="3">
        <v>9983.91</v>
      </c>
      <c r="BR214" s="3">
        <v>1.4659</v>
      </c>
      <c r="BS214" s="21">
        <f ca="1">_xll.IMDP("BND",BJ214,BS8,BJ3)</f>
        <v>20271231</v>
      </c>
      <c r="BT214" s="23">
        <f ca="1">_xll.IMDP("BND",BJ214,BT8,BJ3)</f>
        <v>3.5990000000000002</v>
      </c>
      <c r="BU214" s="2"/>
      <c r="CE214" s="21" t="str">
        <f ca="1">_xll.IMDP("BND",BV214,CE8,BV3)</f>
        <v>입력오류</v>
      </c>
      <c r="CF214" s="23" t="str">
        <f ca="1">_xll.IMDP("BND",BV214,CF8,BV3)</f>
        <v>입력오류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">
        <v>46198</v>
      </c>
      <c r="CT214" s="3" t="s">
        <v>2555</v>
      </c>
      <c r="CU214" s="3" t="s">
        <v>2556</v>
      </c>
      <c r="CV214" s="3" t="s">
        <v>2557</v>
      </c>
      <c r="CW214" s="3">
        <v>0</v>
      </c>
      <c r="CX214" s="3">
        <v>0.16</v>
      </c>
      <c r="CY214" s="3">
        <v>0</v>
      </c>
      <c r="CZ214" s="3">
        <v>230081</v>
      </c>
      <c r="DC214" s="21" t="str">
        <f ca="1">_xll.IMDP("BND",CT214,DC8,CT3)</f>
        <v/>
      </c>
      <c r="DD214" s="23" t="str">
        <f ca="1">_xll.IMDP("BND",CT214,DD8,CT3)</f>
        <v/>
      </c>
      <c r="DE214" s="2"/>
      <c r="DO214" s="21" t="str">
        <f ca="1">_xll.IMDP("BND",DF214,DO8,DF3)</f>
        <v>입력오류</v>
      </c>
      <c r="DP214" s="23" t="str">
        <f ca="1">_xll.IMDP("BND",DF214,DP8,DF3)</f>
        <v>입력오류</v>
      </c>
      <c r="DQ214" s="2"/>
      <c r="EA214" s="21" t="str">
        <f ca="1">_xll.IMDP("BND",DR214,EA8,DR3)</f>
        <v>입력오류</v>
      </c>
      <c r="EB214" s="23" t="str">
        <f ca="1">_xll.IMDP("BND",DR214,EB8,DR3)</f>
        <v>입력오류</v>
      </c>
    </row>
    <row r="215" spans="1:132" ht="13.5" customHeight="1" x14ac:dyDescent="0.3">
      <c r="A215" s="2">
        <v>46198</v>
      </c>
      <c r="B215" s="3" t="s">
        <v>1982</v>
      </c>
      <c r="C215" s="3" t="s">
        <v>1281</v>
      </c>
      <c r="D215" s="3" t="s">
        <v>1983</v>
      </c>
      <c r="E215" s="3">
        <v>0</v>
      </c>
      <c r="F215" s="3">
        <v>0.23</v>
      </c>
      <c r="G215" s="3">
        <v>0</v>
      </c>
      <c r="H215" s="3">
        <v>255617</v>
      </c>
      <c r="I215" s="3">
        <v>9626.56</v>
      </c>
      <c r="J215" s="3">
        <v>2.6655000000000002</v>
      </c>
      <c r="K215" s="21">
        <f ca="1">_xll.IMDP("BND",B215,K8,B3)</f>
        <v>20290331</v>
      </c>
      <c r="L215" s="23">
        <f ca="1">_xll.IMDP("BND",B215,L8,B3)</f>
        <v>3.7770000000000001</v>
      </c>
      <c r="M215" s="2"/>
      <c r="W215" s="21" t="str">
        <f ca="1">_xll.IMDP("BND",N215,W8,N3)</f>
        <v>입력오류</v>
      </c>
      <c r="X215" s="23" t="str">
        <f ca="1">_xll.IMDP("BND",N215,X8,N3)</f>
        <v>입력오류</v>
      </c>
      <c r="Y215" s="2"/>
      <c r="AI215" s="21" t="str">
        <f ca="1">_xll.IMDP("BND",Z215,AI8,Z3)</f>
        <v>입력오류</v>
      </c>
      <c r="AJ215" s="23" t="str">
        <f ca="1">_xll.IMDP("BND",Z215,AJ8,Z3)</f>
        <v>입력오류</v>
      </c>
      <c r="AK215" s="2"/>
      <c r="AU215" s="21" t="str">
        <f ca="1">_xll.IMDP("BND",AL215,AU8,AL3)</f>
        <v>입력오류</v>
      </c>
      <c r="AV215" s="23" t="str">
        <f ca="1">_xll.IMDP("BND",AL215,AV8,AL3)</f>
        <v>입력오류</v>
      </c>
      <c r="AW215" s="2"/>
      <c r="BG215" s="21" t="str">
        <f ca="1">_xll.IMDP("BND",AX215,BG8,AX3)</f>
        <v>입력오류</v>
      </c>
      <c r="BH215" s="23" t="str">
        <f ca="1">_xll.IMDP("BND",AX215,BH8,AX3)</f>
        <v>입력오류</v>
      </c>
      <c r="BI215" s="2">
        <v>46198</v>
      </c>
      <c r="BJ215" s="3" t="s">
        <v>1595</v>
      </c>
      <c r="BK215" s="3" t="s">
        <v>255</v>
      </c>
      <c r="BL215" s="3" t="s">
        <v>1596</v>
      </c>
      <c r="BM215" s="3">
        <v>0</v>
      </c>
      <c r="BN215" s="3">
        <v>0.06</v>
      </c>
      <c r="BO215" s="3">
        <v>0</v>
      </c>
      <c r="BP215" s="3">
        <v>76473</v>
      </c>
      <c r="BQ215" s="3">
        <v>9971.94</v>
      </c>
      <c r="BR215" s="3">
        <v>0.38179999999999997</v>
      </c>
      <c r="BS215" s="21">
        <f ca="1">_xll.IMDP("BND",BJ215,BS8,BJ3)</f>
        <v>20261114</v>
      </c>
      <c r="BT215" s="23">
        <f ca="1">_xll.IMDP("BND",BJ215,BT8,BJ3)</f>
        <v>3.1480000000000001</v>
      </c>
      <c r="BU215" s="2"/>
      <c r="CE215" s="21" t="str">
        <f ca="1">_xll.IMDP("BND",BV215,CE8,BV3)</f>
        <v>입력오류</v>
      </c>
      <c r="CF215" s="23" t="str">
        <f ca="1">_xll.IMDP("BND",BV215,CF8,BV3)</f>
        <v>입력오류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">
        <v>46198</v>
      </c>
      <c r="CT215" s="3" t="s">
        <v>2558</v>
      </c>
      <c r="CU215" s="3" t="s">
        <v>2559</v>
      </c>
      <c r="CV215" s="3" t="s">
        <v>2560</v>
      </c>
      <c r="CW215" s="3">
        <v>0</v>
      </c>
      <c r="CX215" s="3">
        <v>0.16</v>
      </c>
      <c r="CY215" s="3">
        <v>0</v>
      </c>
      <c r="CZ215" s="3">
        <v>230081</v>
      </c>
      <c r="DC215" s="21" t="str">
        <f ca="1">_xll.IMDP("BND",CT215,DC8,CT3)</f>
        <v/>
      </c>
      <c r="DD215" s="23" t="str">
        <f ca="1">_xll.IMDP("BND",CT215,DD8,CT3)</f>
        <v/>
      </c>
      <c r="DE215" s="2"/>
      <c r="DO215" s="21" t="str">
        <f ca="1">_xll.IMDP("BND",DF215,DO8,DF3)</f>
        <v>입력오류</v>
      </c>
      <c r="DP215" s="23" t="str">
        <f ca="1">_xll.IMDP("BND",DF215,DP8,DF3)</f>
        <v>입력오류</v>
      </c>
      <c r="DQ215" s="2"/>
      <c r="EA215" s="21" t="str">
        <f ca="1">_xll.IMDP("BND",DR215,EA8,DR3)</f>
        <v>입력오류</v>
      </c>
      <c r="EB215" s="23" t="str">
        <f ca="1">_xll.IMDP("BND",DR215,EB8,DR3)</f>
        <v>입력오류</v>
      </c>
    </row>
    <row r="216" spans="1:132" ht="13.5" customHeight="1" x14ac:dyDescent="0.3">
      <c r="A216" s="2">
        <v>46198</v>
      </c>
      <c r="B216" s="3" t="s">
        <v>1984</v>
      </c>
      <c r="C216" s="3" t="s">
        <v>1985</v>
      </c>
      <c r="D216" s="3" t="s">
        <v>1986</v>
      </c>
      <c r="E216" s="3">
        <v>0</v>
      </c>
      <c r="F216" s="3">
        <v>0.23</v>
      </c>
      <c r="G216" s="3">
        <v>0</v>
      </c>
      <c r="H216" s="3">
        <v>255556</v>
      </c>
      <c r="I216" s="3">
        <v>9623.36</v>
      </c>
      <c r="J216" s="3">
        <v>3.4005999999999998</v>
      </c>
      <c r="K216" s="21">
        <f ca="1">_xll.IMDP("BND",B216,K8,B3)</f>
        <v>20300211</v>
      </c>
      <c r="L216" s="23">
        <f ca="1">_xll.IMDP("BND",B216,L8,B3)</f>
        <v>4.2329999999999997</v>
      </c>
      <c r="M216" s="2"/>
      <c r="W216" s="21" t="str">
        <f ca="1">_xll.IMDP("BND",N216,W8,N3)</f>
        <v>입력오류</v>
      </c>
      <c r="X216" s="23" t="str">
        <f ca="1">_xll.IMDP("BND",N216,X8,N3)</f>
        <v>입력오류</v>
      </c>
      <c r="Y216" s="2"/>
      <c r="AI216" s="21" t="str">
        <f ca="1">_xll.IMDP("BND",Z216,AI8,Z3)</f>
        <v>입력오류</v>
      </c>
      <c r="AJ216" s="23" t="str">
        <f ca="1">_xll.IMDP("BND",Z216,AJ8,Z3)</f>
        <v>입력오류</v>
      </c>
      <c r="AK216" s="2"/>
      <c r="AU216" s="21" t="str">
        <f ca="1">_xll.IMDP("BND",AL216,AU8,AL3)</f>
        <v>입력오류</v>
      </c>
      <c r="AV216" s="23" t="str">
        <f ca="1">_xll.IMDP("BND",AL216,AV8,AL3)</f>
        <v>입력오류</v>
      </c>
      <c r="AW216" s="2"/>
      <c r="BG216" s="21" t="str">
        <f ca="1">_xll.IMDP("BND",AX216,BG8,AX3)</f>
        <v>입력오류</v>
      </c>
      <c r="BH216" s="23" t="str">
        <f ca="1">_xll.IMDP("BND",AX216,BH8,AX3)</f>
        <v>입력오류</v>
      </c>
      <c r="BI216" s="2">
        <v>46198</v>
      </c>
      <c r="BJ216" s="3" t="s">
        <v>1597</v>
      </c>
      <c r="BK216" s="3" t="s">
        <v>305</v>
      </c>
      <c r="BL216" s="3" t="s">
        <v>1598</v>
      </c>
      <c r="BM216" s="3">
        <v>0</v>
      </c>
      <c r="BN216" s="3">
        <v>0.06</v>
      </c>
      <c r="BO216" s="3">
        <v>0</v>
      </c>
      <c r="BP216" s="3">
        <v>76160</v>
      </c>
      <c r="BQ216" s="3">
        <v>9930.3700000000008</v>
      </c>
      <c r="BR216" s="3">
        <v>2.3490000000000002</v>
      </c>
      <c r="BS216" s="21">
        <f ca="1">_xll.IMDP("BND",BJ216,BS8,BJ3)</f>
        <v>20281215</v>
      </c>
      <c r="BT216" s="23">
        <f ca="1">_xll.IMDP("BND",BJ216,BT8,BJ3)</f>
        <v>4.0739999999999998</v>
      </c>
      <c r="BU216" s="2"/>
      <c r="CE216" s="21" t="str">
        <f ca="1">_xll.IMDP("BND",BV216,CE8,BV3)</f>
        <v>입력오류</v>
      </c>
      <c r="CF216" s="23" t="str">
        <f ca="1">_xll.IMDP("BND",BV216,CF8,BV3)</f>
        <v>입력오류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">
        <v>46198</v>
      </c>
      <c r="CT216" s="3" t="s">
        <v>2561</v>
      </c>
      <c r="CU216" s="3" t="s">
        <v>2562</v>
      </c>
      <c r="CV216" s="3" t="s">
        <v>2563</v>
      </c>
      <c r="CW216" s="3">
        <v>0</v>
      </c>
      <c r="CX216" s="3">
        <v>0.16</v>
      </c>
      <c r="CY216" s="3">
        <v>0</v>
      </c>
      <c r="CZ216" s="3">
        <v>230035</v>
      </c>
      <c r="DC216" s="21" t="str">
        <f ca="1">_xll.IMDP("BND",CT216,DC8,CT3)</f>
        <v/>
      </c>
      <c r="DD216" s="23" t="str">
        <f ca="1">_xll.IMDP("BND",CT216,DD8,CT3)</f>
        <v/>
      </c>
      <c r="DE216" s="2"/>
      <c r="DO216" s="21" t="str">
        <f ca="1">_xll.IMDP("BND",DF216,DO8,DF3)</f>
        <v>입력오류</v>
      </c>
      <c r="DP216" s="23" t="str">
        <f ca="1">_xll.IMDP("BND",DF216,DP8,DF3)</f>
        <v>입력오류</v>
      </c>
      <c r="DQ216" s="2"/>
      <c r="EA216" s="21" t="str">
        <f ca="1">_xll.IMDP("BND",DR216,EA8,DR3)</f>
        <v>입력오류</v>
      </c>
      <c r="EB216" s="23" t="str">
        <f ca="1">_xll.IMDP("BND",DR216,EB8,DR3)</f>
        <v>입력오류</v>
      </c>
    </row>
    <row r="217" spans="1:132" ht="13.5" customHeight="1" x14ac:dyDescent="0.3">
      <c r="A217" s="2">
        <v>46198</v>
      </c>
      <c r="B217" s="3" t="s">
        <v>1987</v>
      </c>
      <c r="C217" s="3" t="s">
        <v>131</v>
      </c>
      <c r="D217" s="3" t="s">
        <v>1988</v>
      </c>
      <c r="E217" s="3">
        <v>0</v>
      </c>
      <c r="F217" s="3">
        <v>0.23</v>
      </c>
      <c r="G217" s="3">
        <v>0</v>
      </c>
      <c r="H217" s="3">
        <v>254936</v>
      </c>
      <c r="I217" s="3">
        <v>9600.98</v>
      </c>
      <c r="J217" s="3">
        <v>1.1718999999999999</v>
      </c>
      <c r="K217" s="21">
        <f ca="1">_xll.IMDP("BND",B217,K8,B3)</f>
        <v>20270910</v>
      </c>
      <c r="L217" s="23">
        <f ca="1">_xll.IMDP("BND",B217,L8,B3)</f>
        <v>3.411</v>
      </c>
      <c r="M217" s="2"/>
      <c r="W217" s="21" t="str">
        <f ca="1">_xll.IMDP("BND",N217,W8,N3)</f>
        <v>입력오류</v>
      </c>
      <c r="X217" s="23" t="str">
        <f ca="1">_xll.IMDP("BND",N217,X8,N3)</f>
        <v>입력오류</v>
      </c>
      <c r="Y217" s="2"/>
      <c r="AI217" s="21" t="str">
        <f ca="1">_xll.IMDP("BND",Z217,AI8,Z3)</f>
        <v>입력오류</v>
      </c>
      <c r="AJ217" s="23" t="str">
        <f ca="1">_xll.IMDP("BND",Z217,AJ8,Z3)</f>
        <v>입력오류</v>
      </c>
      <c r="AK217" s="2"/>
      <c r="AU217" s="21" t="str">
        <f ca="1">_xll.IMDP("BND",AL217,AU8,AL3)</f>
        <v>입력오류</v>
      </c>
      <c r="AV217" s="23" t="str">
        <f ca="1">_xll.IMDP("BND",AL217,AV8,AL3)</f>
        <v>입력오류</v>
      </c>
      <c r="AW217" s="2"/>
      <c r="BG217" s="21" t="str">
        <f ca="1">_xll.IMDP("BND",AX217,BG8,AX3)</f>
        <v>입력오류</v>
      </c>
      <c r="BH217" s="23" t="str">
        <f ca="1">_xll.IMDP("BND",AX217,BH8,AX3)</f>
        <v>입력오류</v>
      </c>
      <c r="BI217" s="2">
        <v>46198</v>
      </c>
      <c r="BJ217" s="3" t="s">
        <v>1599</v>
      </c>
      <c r="BK217" s="3" t="s">
        <v>1600</v>
      </c>
      <c r="BL217" s="3" t="s">
        <v>1601</v>
      </c>
      <c r="BM217" s="3">
        <v>0</v>
      </c>
      <c r="BN217" s="3">
        <v>0.06</v>
      </c>
      <c r="BO217" s="3">
        <v>0</v>
      </c>
      <c r="BP217" s="3">
        <v>74900</v>
      </c>
      <c r="BQ217" s="3">
        <v>9767.09</v>
      </c>
      <c r="BR217" s="3">
        <v>2.1797</v>
      </c>
      <c r="BS217" s="21">
        <f ca="1">_xll.IMDP("BND",BJ217,BS8,BJ3)</f>
        <v>20280930</v>
      </c>
      <c r="BT217" s="23">
        <f ca="1">_xll.IMDP("BND",BJ217,BT8,BJ3)</f>
        <v>4.032</v>
      </c>
      <c r="BU217" s="2"/>
      <c r="CE217" s="21" t="str">
        <f ca="1">_xll.IMDP("BND",BV217,CE8,BV3)</f>
        <v>입력오류</v>
      </c>
      <c r="CF217" s="23" t="str">
        <f ca="1">_xll.IMDP("BND",BV217,CF8,BV3)</f>
        <v>입력오류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">
        <v>46198</v>
      </c>
      <c r="CT217" s="3" t="s">
        <v>2564</v>
      </c>
      <c r="CU217" s="3" t="s">
        <v>2562</v>
      </c>
      <c r="CV217" s="3" t="s">
        <v>2565</v>
      </c>
      <c r="CW217" s="3">
        <v>0</v>
      </c>
      <c r="CX217" s="3">
        <v>0.16</v>
      </c>
      <c r="CY217" s="3">
        <v>0</v>
      </c>
      <c r="CZ217" s="3">
        <v>230035</v>
      </c>
      <c r="DC217" s="21" t="str">
        <f ca="1">_xll.IMDP("BND",CT217,DC8,CT3)</f>
        <v/>
      </c>
      <c r="DD217" s="23" t="str">
        <f ca="1">_xll.IMDP("BND",CT217,DD8,CT3)</f>
        <v/>
      </c>
      <c r="DE217" s="2"/>
      <c r="DO217" s="21" t="str">
        <f ca="1">_xll.IMDP("BND",DF217,DO8,DF3)</f>
        <v>입력오류</v>
      </c>
      <c r="DP217" s="23" t="str">
        <f ca="1">_xll.IMDP("BND",DF217,DP8,DF3)</f>
        <v>입력오류</v>
      </c>
      <c r="DQ217" s="2"/>
      <c r="EA217" s="21" t="str">
        <f ca="1">_xll.IMDP("BND",DR217,EA8,DR3)</f>
        <v>입력오류</v>
      </c>
      <c r="EB217" s="23" t="str">
        <f ca="1">_xll.IMDP("BND",DR217,EB8,DR3)</f>
        <v>입력오류</v>
      </c>
    </row>
    <row r="218" spans="1:132" ht="13.5" customHeight="1" x14ac:dyDescent="0.3">
      <c r="A218" s="2">
        <v>46198</v>
      </c>
      <c r="B218" s="3" t="s">
        <v>1989</v>
      </c>
      <c r="C218" s="3" t="s">
        <v>542</v>
      </c>
      <c r="D218" s="3" t="s">
        <v>1990</v>
      </c>
      <c r="E218" s="3">
        <v>0</v>
      </c>
      <c r="F218" s="3">
        <v>0.23</v>
      </c>
      <c r="G218" s="3">
        <v>0</v>
      </c>
      <c r="H218" s="3">
        <v>254240</v>
      </c>
      <c r="I218" s="3">
        <v>9574.2099999999991</v>
      </c>
      <c r="J218" s="3">
        <v>3.7198000000000002</v>
      </c>
      <c r="K218" s="21">
        <f ca="1">_xll.IMDP("BND",B218,K8,B3)</f>
        <v>20300711</v>
      </c>
      <c r="L218" s="23">
        <f ca="1">_xll.IMDP("BND",B218,L8,B3)</f>
        <v>4.26</v>
      </c>
      <c r="M218" s="2"/>
      <c r="W218" s="21" t="str">
        <f ca="1">_xll.IMDP("BND",N218,W8,N3)</f>
        <v>입력오류</v>
      </c>
      <c r="X218" s="23" t="str">
        <f ca="1">_xll.IMDP("BND",N218,X8,N3)</f>
        <v>입력오류</v>
      </c>
      <c r="Y218" s="2"/>
      <c r="AI218" s="21" t="str">
        <f ca="1">_xll.IMDP("BND",Z218,AI8,Z3)</f>
        <v>입력오류</v>
      </c>
      <c r="AJ218" s="23" t="str">
        <f ca="1">_xll.IMDP("BND",Z218,AJ8,Z3)</f>
        <v>입력오류</v>
      </c>
      <c r="AK218" s="2"/>
      <c r="AU218" s="21" t="str">
        <f ca="1">_xll.IMDP("BND",AL218,AU8,AL3)</f>
        <v>입력오류</v>
      </c>
      <c r="AV218" s="23" t="str">
        <f ca="1">_xll.IMDP("BND",AL218,AV8,AL3)</f>
        <v>입력오류</v>
      </c>
      <c r="AW218" s="2"/>
      <c r="BG218" s="21" t="str">
        <f ca="1">_xll.IMDP("BND",AX218,BG8,AX3)</f>
        <v>입력오류</v>
      </c>
      <c r="BH218" s="23" t="str">
        <f ca="1">_xll.IMDP("BND",AX218,BH8,AX3)</f>
        <v>입력오류</v>
      </c>
      <c r="BI218" s="2">
        <v>46198</v>
      </c>
      <c r="BJ218" s="3" t="s">
        <v>1293</v>
      </c>
      <c r="BK218" s="3" t="s">
        <v>1294</v>
      </c>
      <c r="BL218" s="3" t="s">
        <v>1295</v>
      </c>
      <c r="BM218" s="3">
        <v>0</v>
      </c>
      <c r="BN218" s="3">
        <v>0.06</v>
      </c>
      <c r="BO218" s="3">
        <v>0</v>
      </c>
      <c r="BP218" s="3">
        <v>73949</v>
      </c>
      <c r="BQ218" s="3">
        <v>9642.73</v>
      </c>
      <c r="BR218" s="3">
        <v>3.3422000000000001</v>
      </c>
      <c r="BS218" s="21">
        <f ca="1">_xll.IMDP("BND",BJ218,BS8,BJ3)</f>
        <v>20300124</v>
      </c>
      <c r="BT218" s="23">
        <f ca="1">_xll.IMDP("BND",BJ218,BT8,BJ3)</f>
        <v>4.3929999999999998</v>
      </c>
      <c r="BU218" s="2"/>
      <c r="CE218" s="21" t="str">
        <f ca="1">_xll.IMDP("BND",BV218,CE8,BV3)</f>
        <v>입력오류</v>
      </c>
      <c r="CF218" s="23" t="str">
        <f ca="1">_xll.IMDP("BND",BV218,CF8,BV3)</f>
        <v>입력오류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">
        <v>46198</v>
      </c>
      <c r="CT218" s="3" t="s">
        <v>2573</v>
      </c>
      <c r="CU218" s="3" t="s">
        <v>2567</v>
      </c>
      <c r="CV218" s="3" t="s">
        <v>2574</v>
      </c>
      <c r="CW218" s="3">
        <v>0</v>
      </c>
      <c r="CX218" s="3">
        <v>0.16</v>
      </c>
      <c r="CY218" s="3">
        <v>0</v>
      </c>
      <c r="CZ218" s="3">
        <v>229934</v>
      </c>
      <c r="DC218" s="21" t="str">
        <f ca="1">_xll.IMDP("BND",CT218,DC8,CT3)</f>
        <v/>
      </c>
      <c r="DD218" s="23" t="str">
        <f ca="1">_xll.IMDP("BND",CT218,DD8,CT3)</f>
        <v/>
      </c>
      <c r="DE218" s="2"/>
      <c r="DO218" s="21" t="str">
        <f ca="1">_xll.IMDP("BND",DF218,DO8,DF3)</f>
        <v>입력오류</v>
      </c>
      <c r="DP218" s="23" t="str">
        <f ca="1">_xll.IMDP("BND",DF218,DP8,DF3)</f>
        <v>입력오류</v>
      </c>
      <c r="DQ218" s="2"/>
      <c r="EA218" s="21" t="str">
        <f ca="1">_xll.IMDP("BND",DR218,EA8,DR3)</f>
        <v>입력오류</v>
      </c>
      <c r="EB218" s="23" t="str">
        <f ca="1">_xll.IMDP("BND",DR218,EB8,DR3)</f>
        <v>입력오류</v>
      </c>
    </row>
    <row r="219" spans="1:132" ht="13.5" customHeight="1" x14ac:dyDescent="0.3">
      <c r="A219" s="2">
        <v>46198</v>
      </c>
      <c r="B219" s="3" t="s">
        <v>1991</v>
      </c>
      <c r="C219" s="3" t="s">
        <v>1587</v>
      </c>
      <c r="D219" s="3" t="s">
        <v>1992</v>
      </c>
      <c r="E219" s="3">
        <v>0</v>
      </c>
      <c r="F219" s="3">
        <v>0.23</v>
      </c>
      <c r="G219" s="3">
        <v>0</v>
      </c>
      <c r="H219" s="3">
        <v>254172</v>
      </c>
      <c r="I219" s="3">
        <v>9572.5499999999993</v>
      </c>
      <c r="J219" s="3">
        <v>3.3304999999999998</v>
      </c>
      <c r="K219" s="21">
        <f ca="1">_xll.IMDP("BND",B219,K8,B3)</f>
        <v>20300114</v>
      </c>
      <c r="L219" s="23">
        <f ca="1">_xll.IMDP("BND",B219,L8,B3)</f>
        <v>4.3639999999999999</v>
      </c>
      <c r="M219" s="2"/>
      <c r="W219" s="21" t="str">
        <f ca="1">_xll.IMDP("BND",N219,W8,N3)</f>
        <v>입력오류</v>
      </c>
      <c r="X219" s="23" t="str">
        <f ca="1">_xll.IMDP("BND",N219,X8,N3)</f>
        <v>입력오류</v>
      </c>
      <c r="Y219" s="2"/>
      <c r="AI219" s="21" t="str">
        <f ca="1">_xll.IMDP("BND",Z219,AI8,Z3)</f>
        <v>입력오류</v>
      </c>
      <c r="AJ219" s="23" t="str">
        <f ca="1">_xll.IMDP("BND",Z219,AJ8,Z3)</f>
        <v>입력오류</v>
      </c>
      <c r="AK219" s="2"/>
      <c r="AU219" s="21" t="str">
        <f ca="1">_xll.IMDP("BND",AL219,AU8,AL3)</f>
        <v>입력오류</v>
      </c>
      <c r="AV219" s="23" t="str">
        <f ca="1">_xll.IMDP("BND",AL219,AV8,AL3)</f>
        <v>입력오류</v>
      </c>
      <c r="AW219" s="2"/>
      <c r="BG219" s="21" t="str">
        <f ca="1">_xll.IMDP("BND",AX219,BG8,AX3)</f>
        <v>입력오류</v>
      </c>
      <c r="BH219" s="23" t="str">
        <f ca="1">_xll.IMDP("BND",AX219,BH8,AX3)</f>
        <v>입력오류</v>
      </c>
      <c r="BI219" s="2">
        <v>46198</v>
      </c>
      <c r="BJ219" s="3" t="s">
        <v>1602</v>
      </c>
      <c r="BK219" s="3" t="s">
        <v>1603</v>
      </c>
      <c r="BL219" s="3" t="s">
        <v>1604</v>
      </c>
      <c r="BM219" s="3">
        <v>0</v>
      </c>
      <c r="BN219" s="3">
        <v>0.05</v>
      </c>
      <c r="BO219" s="3">
        <v>0</v>
      </c>
      <c r="BP219" s="3">
        <v>68807</v>
      </c>
      <c r="BQ219" s="3">
        <v>9969.4500000000007</v>
      </c>
      <c r="BR219" s="3">
        <v>0.24160000000000001</v>
      </c>
      <c r="BS219" s="21">
        <f ca="1">_xll.IMDP("BND",BJ219,BS8,BJ3)</f>
        <v>20260922</v>
      </c>
      <c r="BT219" s="23">
        <f ca="1">_xll.IMDP("BND",BJ219,BT8,BJ3)</f>
        <v>2.9670000000000001</v>
      </c>
      <c r="BU219" s="2"/>
      <c r="CE219" s="21" t="str">
        <f ca="1">_xll.IMDP("BND",BV219,CE8,BV3)</f>
        <v>입력오류</v>
      </c>
      <c r="CF219" s="23" t="str">
        <f ca="1">_xll.IMDP("BND",BV219,CF8,BV3)</f>
        <v>입력오류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">
        <v>46198</v>
      </c>
      <c r="CT219" s="3" t="s">
        <v>2569</v>
      </c>
      <c r="CU219" s="3" t="s">
        <v>2567</v>
      </c>
      <c r="CV219" s="3" t="s">
        <v>2570</v>
      </c>
      <c r="CW219" s="3">
        <v>0</v>
      </c>
      <c r="CX219" s="3">
        <v>0.16</v>
      </c>
      <c r="CY219" s="3">
        <v>0</v>
      </c>
      <c r="CZ219" s="3">
        <v>229934</v>
      </c>
      <c r="DC219" s="21" t="str">
        <f ca="1">_xll.IMDP("BND",CT219,DC8,CT3)</f>
        <v/>
      </c>
      <c r="DD219" s="23" t="str">
        <f ca="1">_xll.IMDP("BND",CT219,DD8,CT3)</f>
        <v/>
      </c>
      <c r="DE219" s="2"/>
      <c r="DO219" s="21" t="str">
        <f ca="1">_xll.IMDP("BND",DF219,DO8,DF3)</f>
        <v>입력오류</v>
      </c>
      <c r="DP219" s="23" t="str">
        <f ca="1">_xll.IMDP("BND",DF219,DP8,DF3)</f>
        <v>입력오류</v>
      </c>
      <c r="DQ219" s="2"/>
      <c r="EA219" s="21" t="str">
        <f ca="1">_xll.IMDP("BND",DR219,EA8,DR3)</f>
        <v>입력오류</v>
      </c>
      <c r="EB219" s="23" t="str">
        <f ca="1">_xll.IMDP("BND",DR219,EB8,DR3)</f>
        <v>입력오류</v>
      </c>
    </row>
    <row r="220" spans="1:132" ht="13.5" customHeight="1" x14ac:dyDescent="0.3">
      <c r="A220" s="2">
        <v>46198</v>
      </c>
      <c r="B220" s="3" t="s">
        <v>1993</v>
      </c>
      <c r="C220" s="3" t="s">
        <v>1994</v>
      </c>
      <c r="D220" s="3" t="s">
        <v>1995</v>
      </c>
      <c r="E220" s="3">
        <v>0</v>
      </c>
      <c r="F220" s="3">
        <v>0.23</v>
      </c>
      <c r="G220" s="3">
        <v>0</v>
      </c>
      <c r="H220" s="3">
        <v>254154</v>
      </c>
      <c r="I220" s="3">
        <v>9572.66</v>
      </c>
      <c r="J220" s="3">
        <v>3.452</v>
      </c>
      <c r="K220" s="21">
        <f ca="1">_xll.IMDP("BND",B220,K8,B3)</f>
        <v>20300304</v>
      </c>
      <c r="L220" s="23">
        <f ca="1">_xll.IMDP("BND",B220,L8,B3)</f>
        <v>4.452</v>
      </c>
      <c r="M220" s="2"/>
      <c r="W220" s="21" t="str">
        <f ca="1">_xll.IMDP("BND",N220,W8,N3)</f>
        <v>입력오류</v>
      </c>
      <c r="X220" s="23" t="str">
        <f ca="1">_xll.IMDP("BND",N220,X8,N3)</f>
        <v>입력오류</v>
      </c>
      <c r="Y220" s="2"/>
      <c r="AI220" s="21" t="str">
        <f ca="1">_xll.IMDP("BND",Z220,AI8,Z3)</f>
        <v>입력오류</v>
      </c>
      <c r="AJ220" s="23" t="str">
        <f ca="1">_xll.IMDP("BND",Z220,AJ8,Z3)</f>
        <v>입력오류</v>
      </c>
      <c r="AK220" s="2"/>
      <c r="AU220" s="21" t="str">
        <f ca="1">_xll.IMDP("BND",AL220,AU8,AL3)</f>
        <v>입력오류</v>
      </c>
      <c r="AV220" s="23" t="str">
        <f ca="1">_xll.IMDP("BND",AL220,AV8,AL3)</f>
        <v>입력오류</v>
      </c>
      <c r="AW220" s="2"/>
      <c r="BG220" s="21" t="str">
        <f ca="1">_xll.IMDP("BND",AX220,BG8,AX3)</f>
        <v>입력오류</v>
      </c>
      <c r="BH220" s="23" t="str">
        <f ca="1">_xll.IMDP("BND",AX220,BH8,AX3)</f>
        <v>입력오류</v>
      </c>
      <c r="BI220" s="2">
        <v>46198</v>
      </c>
      <c r="BJ220" s="3" t="s">
        <v>739</v>
      </c>
      <c r="BK220" s="3" t="s">
        <v>29</v>
      </c>
      <c r="BL220" s="3" t="s">
        <v>740</v>
      </c>
      <c r="BM220" s="3">
        <v>0</v>
      </c>
      <c r="BN220" s="3">
        <v>0.05</v>
      </c>
      <c r="BO220" s="3">
        <v>0</v>
      </c>
      <c r="BP220" s="3">
        <v>65110</v>
      </c>
      <c r="BQ220" s="3">
        <v>8323.86</v>
      </c>
      <c r="BR220" s="3">
        <v>9.5386000000000006</v>
      </c>
      <c r="BS220" s="21">
        <f ca="1">_xll.IMDP("BND",BJ220,BS8,BJ3)</f>
        <v>20370910</v>
      </c>
      <c r="BT220" s="23">
        <f ca="1">_xll.IMDP("BND",BJ220,BT8,BJ3)</f>
        <v>4.2140000000000004</v>
      </c>
      <c r="BU220" s="2"/>
      <c r="CE220" s="21" t="str">
        <f ca="1">_xll.IMDP("BND",BV220,CE8,BV3)</f>
        <v>입력오류</v>
      </c>
      <c r="CF220" s="23" t="str">
        <f ca="1">_xll.IMDP("BND",BV220,CF8,BV3)</f>
        <v>입력오류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">
        <v>46198</v>
      </c>
      <c r="CT220" s="3" t="s">
        <v>2575</v>
      </c>
      <c r="CU220" s="3" t="s">
        <v>2567</v>
      </c>
      <c r="CV220" s="3" t="s">
        <v>2576</v>
      </c>
      <c r="CW220" s="3">
        <v>0</v>
      </c>
      <c r="CX220" s="3">
        <v>0.16</v>
      </c>
      <c r="CY220" s="3">
        <v>0</v>
      </c>
      <c r="CZ220" s="3">
        <v>229934</v>
      </c>
      <c r="DC220" s="21" t="str">
        <f ca="1">_xll.IMDP("BND",CT220,DC8,CT3)</f>
        <v/>
      </c>
      <c r="DD220" s="23" t="str">
        <f ca="1">_xll.IMDP("BND",CT220,DD8,CT3)</f>
        <v/>
      </c>
      <c r="DE220" s="2"/>
      <c r="DO220" s="21" t="str">
        <f ca="1">_xll.IMDP("BND",DF220,DO8,DF3)</f>
        <v>입력오류</v>
      </c>
      <c r="DP220" s="23" t="str">
        <f ca="1">_xll.IMDP("BND",DF220,DP8,DF3)</f>
        <v>입력오류</v>
      </c>
      <c r="DQ220" s="2"/>
      <c r="EA220" s="21" t="str">
        <f ca="1">_xll.IMDP("BND",DR220,EA8,DR3)</f>
        <v>입력오류</v>
      </c>
      <c r="EB220" s="23" t="str">
        <f ca="1">_xll.IMDP("BND",DR220,EB8,DR3)</f>
        <v>입력오류</v>
      </c>
    </row>
    <row r="221" spans="1:132" ht="13.5" customHeight="1" x14ac:dyDescent="0.3">
      <c r="A221" s="2">
        <v>46198</v>
      </c>
      <c r="B221" s="3" t="s">
        <v>1996</v>
      </c>
      <c r="C221" s="3" t="s">
        <v>1997</v>
      </c>
      <c r="D221" s="3" t="s">
        <v>1998</v>
      </c>
      <c r="E221" s="3">
        <v>0</v>
      </c>
      <c r="F221" s="3">
        <v>0.23</v>
      </c>
      <c r="G221" s="3">
        <v>0</v>
      </c>
      <c r="H221" s="3">
        <v>253835</v>
      </c>
      <c r="I221" s="3">
        <v>9560.2099999999991</v>
      </c>
      <c r="J221" s="3">
        <v>3.5411000000000001</v>
      </c>
      <c r="K221" s="21">
        <f ca="1">_xll.IMDP("BND",B221,K8,B3)</f>
        <v>20300417</v>
      </c>
      <c r="L221" s="23">
        <f ca="1">_xll.IMDP("BND",B221,L8,B3)</f>
        <v>4.5430000000000001</v>
      </c>
      <c r="M221" s="2"/>
      <c r="W221" s="21" t="str">
        <f ca="1">_xll.IMDP("BND",N221,W8,N3)</f>
        <v>입력오류</v>
      </c>
      <c r="X221" s="23" t="str">
        <f ca="1">_xll.IMDP("BND",N221,X8,N3)</f>
        <v>입력오류</v>
      </c>
      <c r="Y221" s="2"/>
      <c r="AI221" s="21" t="str">
        <f ca="1">_xll.IMDP("BND",Z221,AI8,Z3)</f>
        <v>입력오류</v>
      </c>
      <c r="AJ221" s="23" t="str">
        <f ca="1">_xll.IMDP("BND",Z221,AJ8,Z3)</f>
        <v>입력오류</v>
      </c>
      <c r="AK221" s="2"/>
      <c r="AU221" s="21" t="str">
        <f ca="1">_xll.IMDP("BND",AL221,AU8,AL3)</f>
        <v>입력오류</v>
      </c>
      <c r="AV221" s="23" t="str">
        <f ca="1">_xll.IMDP("BND",AL221,AV8,AL3)</f>
        <v>입력오류</v>
      </c>
      <c r="AW221" s="2"/>
      <c r="BG221" s="21" t="str">
        <f ca="1">_xll.IMDP("BND",AX221,BG8,AX3)</f>
        <v>입력오류</v>
      </c>
      <c r="BH221" s="23" t="str">
        <f ca="1">_xll.IMDP("BND",AX221,BH8,AX3)</f>
        <v>입력오류</v>
      </c>
      <c r="BI221" s="2">
        <v>46198</v>
      </c>
      <c r="BJ221" s="3" t="s">
        <v>893</v>
      </c>
      <c r="BK221" s="3" t="s">
        <v>894</v>
      </c>
      <c r="BL221" s="3" t="s">
        <v>895</v>
      </c>
      <c r="BM221" s="3">
        <v>0</v>
      </c>
      <c r="BN221" s="3">
        <v>0.05</v>
      </c>
      <c r="BO221" s="3">
        <v>0</v>
      </c>
      <c r="BP221" s="3">
        <v>58771</v>
      </c>
      <c r="BQ221" s="3">
        <v>10081.6</v>
      </c>
      <c r="BR221" s="3">
        <v>1.5682</v>
      </c>
      <c r="BS221" s="21">
        <f ca="1">_xll.IMDP("BND",BJ221,BS8,BJ3)</f>
        <v>20280214</v>
      </c>
      <c r="BT221" s="23">
        <f ca="1">_xll.IMDP("BND",BJ221,BT8,BJ3)</f>
        <v>4.0549999999999997</v>
      </c>
      <c r="BU221" s="2"/>
      <c r="CE221" s="21" t="str">
        <f ca="1">_xll.IMDP("BND",BV221,CE8,BV3)</f>
        <v>입력오류</v>
      </c>
      <c r="CF221" s="23" t="str">
        <f ca="1">_xll.IMDP("BND",BV221,CF8,BV3)</f>
        <v>입력오류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">
        <v>46198</v>
      </c>
      <c r="CT221" s="3" t="s">
        <v>2566</v>
      </c>
      <c r="CU221" s="3" t="s">
        <v>2567</v>
      </c>
      <c r="CV221" s="3" t="s">
        <v>2568</v>
      </c>
      <c r="CW221" s="3">
        <v>0</v>
      </c>
      <c r="CX221" s="3">
        <v>0.16</v>
      </c>
      <c r="CY221" s="3">
        <v>0</v>
      </c>
      <c r="CZ221" s="3">
        <v>229934</v>
      </c>
      <c r="DC221" s="21" t="str">
        <f ca="1">_xll.IMDP("BND",CT221,DC8,CT3)</f>
        <v/>
      </c>
      <c r="DD221" s="23" t="str">
        <f ca="1">_xll.IMDP("BND",CT221,DD8,CT3)</f>
        <v/>
      </c>
      <c r="DE221" s="2"/>
      <c r="DO221" s="21" t="str">
        <f ca="1">_xll.IMDP("BND",DF221,DO8,DF3)</f>
        <v>입력오류</v>
      </c>
      <c r="DP221" s="23" t="str">
        <f ca="1">_xll.IMDP("BND",DF221,DP8,DF3)</f>
        <v>입력오류</v>
      </c>
      <c r="DQ221" s="2"/>
      <c r="EA221" s="21" t="str">
        <f ca="1">_xll.IMDP("BND",DR221,EA8,DR3)</f>
        <v>입력오류</v>
      </c>
      <c r="EB221" s="23" t="str">
        <f ca="1">_xll.IMDP("BND",DR221,EB8,DR3)</f>
        <v>입력오류</v>
      </c>
    </row>
    <row r="222" spans="1:132" ht="13.5" customHeight="1" x14ac:dyDescent="0.3">
      <c r="A222" s="2">
        <v>46198</v>
      </c>
      <c r="B222" s="3" t="s">
        <v>1999</v>
      </c>
      <c r="C222" s="3" t="s">
        <v>2000</v>
      </c>
      <c r="D222" s="3" t="s">
        <v>2001</v>
      </c>
      <c r="E222" s="3">
        <v>0</v>
      </c>
      <c r="F222" s="3">
        <v>0.23</v>
      </c>
      <c r="G222" s="3">
        <v>0</v>
      </c>
      <c r="H222" s="3">
        <v>253496</v>
      </c>
      <c r="I222" s="3">
        <v>9545.7800000000007</v>
      </c>
      <c r="J222" s="3">
        <v>3.5247999999999999</v>
      </c>
      <c r="K222" s="21">
        <f ca="1">_xll.IMDP("BND",B222,K8,B3)</f>
        <v>20300408</v>
      </c>
      <c r="L222" s="23">
        <f ca="1">_xll.IMDP("BND",B222,L8,B3)</f>
        <v>4.2009999999999996</v>
      </c>
      <c r="M222" s="2"/>
      <c r="W222" s="21" t="str">
        <f ca="1">_xll.IMDP("BND",N222,W8,N3)</f>
        <v>입력오류</v>
      </c>
      <c r="X222" s="23" t="str">
        <f ca="1">_xll.IMDP("BND",N222,X8,N3)</f>
        <v>입력오류</v>
      </c>
      <c r="Y222" s="2"/>
      <c r="AI222" s="21" t="str">
        <f ca="1">_xll.IMDP("BND",Z222,AI8,Z3)</f>
        <v>입력오류</v>
      </c>
      <c r="AJ222" s="23" t="str">
        <f ca="1">_xll.IMDP("BND",Z222,AJ8,Z3)</f>
        <v>입력오류</v>
      </c>
      <c r="AK222" s="2"/>
      <c r="AU222" s="21" t="str">
        <f ca="1">_xll.IMDP("BND",AL222,AU8,AL3)</f>
        <v>입력오류</v>
      </c>
      <c r="AV222" s="23" t="str">
        <f ca="1">_xll.IMDP("BND",AL222,AV8,AL3)</f>
        <v>입력오류</v>
      </c>
      <c r="AW222" s="2"/>
      <c r="BG222" s="21" t="str">
        <f ca="1">_xll.IMDP("BND",AX222,BG8,AX3)</f>
        <v>입력오류</v>
      </c>
      <c r="BH222" s="23" t="str">
        <f ca="1">_xll.IMDP("BND",AX222,BH8,AX3)</f>
        <v>입력오류</v>
      </c>
      <c r="BI222" s="2">
        <v>46198</v>
      </c>
      <c r="BJ222" s="3" t="s">
        <v>1605</v>
      </c>
      <c r="BK222" s="3" t="s">
        <v>1606</v>
      </c>
      <c r="BL222" s="3" t="s">
        <v>1607</v>
      </c>
      <c r="BM222" s="3">
        <v>0</v>
      </c>
      <c r="BN222" s="3">
        <v>0.05</v>
      </c>
      <c r="BO222" s="3">
        <v>0</v>
      </c>
      <c r="BP222" s="3">
        <v>58545</v>
      </c>
      <c r="BQ222" s="3">
        <v>10043.030000000001</v>
      </c>
      <c r="BR222" s="3">
        <v>1.0223</v>
      </c>
      <c r="BS222" s="21">
        <f ca="1">_xll.IMDP("BND",BJ222,BS8,BJ3)</f>
        <v>20270715</v>
      </c>
      <c r="BT222" s="23">
        <f ca="1">_xll.IMDP("BND",BJ222,BT8,BJ3)</f>
        <v>4.0490000000000004</v>
      </c>
      <c r="BU222" s="2"/>
      <c r="CE222" s="21" t="str">
        <f ca="1">_xll.IMDP("BND",BV222,CE8,BV3)</f>
        <v>입력오류</v>
      </c>
      <c r="CF222" s="23" t="str">
        <f ca="1">_xll.IMDP("BND",BV222,CF8,BV3)</f>
        <v>입력오류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">
        <v>46198</v>
      </c>
      <c r="CT222" s="3" t="s">
        <v>2571</v>
      </c>
      <c r="CU222" s="3" t="s">
        <v>2567</v>
      </c>
      <c r="CV222" s="3" t="s">
        <v>2572</v>
      </c>
      <c r="CW222" s="3">
        <v>0</v>
      </c>
      <c r="CX222" s="3">
        <v>0.16</v>
      </c>
      <c r="CY222" s="3">
        <v>0</v>
      </c>
      <c r="CZ222" s="3">
        <v>229934</v>
      </c>
      <c r="DC222" s="21" t="str">
        <f ca="1">_xll.IMDP("BND",CT222,DC8,CT3)</f>
        <v/>
      </c>
      <c r="DD222" s="23" t="str">
        <f ca="1">_xll.IMDP("BND",CT222,DD8,CT3)</f>
        <v/>
      </c>
      <c r="DE222" s="2"/>
      <c r="DO222" s="21" t="str">
        <f ca="1">_xll.IMDP("BND",DF222,DO8,DF3)</f>
        <v>입력오류</v>
      </c>
      <c r="DP222" s="23" t="str">
        <f ca="1">_xll.IMDP("BND",DF222,DP8,DF3)</f>
        <v>입력오류</v>
      </c>
      <c r="DQ222" s="2"/>
      <c r="EA222" s="21" t="str">
        <f ca="1">_xll.IMDP("BND",DR222,EA8,DR3)</f>
        <v>입력오류</v>
      </c>
      <c r="EB222" s="23" t="str">
        <f ca="1">_xll.IMDP("BND",DR222,EB8,DR3)</f>
        <v>입력오류</v>
      </c>
    </row>
    <row r="223" spans="1:132" ht="13.5" customHeight="1" x14ac:dyDescent="0.3">
      <c r="A223" s="2">
        <v>46198</v>
      </c>
      <c r="B223" s="3" t="s">
        <v>2002</v>
      </c>
      <c r="C223" s="3" t="s">
        <v>542</v>
      </c>
      <c r="D223" s="3" t="s">
        <v>2003</v>
      </c>
      <c r="E223" s="3">
        <v>0</v>
      </c>
      <c r="F223" s="3">
        <v>0.23</v>
      </c>
      <c r="G223" s="3">
        <v>0</v>
      </c>
      <c r="H223" s="3">
        <v>253396</v>
      </c>
      <c r="I223" s="3">
        <v>9542.0400000000009</v>
      </c>
      <c r="J223" s="3">
        <v>3.8046000000000002</v>
      </c>
      <c r="K223" s="21">
        <f ca="1">_xll.IMDP("BND",B223,K8,B3)</f>
        <v>20300812</v>
      </c>
      <c r="L223" s="23">
        <f ca="1">_xll.IMDP("BND",B223,L8,B3)</f>
        <v>4.2679999999999998</v>
      </c>
      <c r="M223" s="2"/>
      <c r="W223" s="21" t="str">
        <f ca="1">_xll.IMDP("BND",N223,W8,N3)</f>
        <v>입력오류</v>
      </c>
      <c r="X223" s="23" t="str">
        <f ca="1">_xll.IMDP("BND",N223,X8,N3)</f>
        <v>입력오류</v>
      </c>
      <c r="Y223" s="2"/>
      <c r="AI223" s="21" t="str">
        <f ca="1">_xll.IMDP("BND",Z223,AI8,Z3)</f>
        <v>입력오류</v>
      </c>
      <c r="AJ223" s="23" t="str">
        <f ca="1">_xll.IMDP("BND",Z223,AJ8,Z3)</f>
        <v>입력오류</v>
      </c>
      <c r="AK223" s="2"/>
      <c r="AU223" s="21" t="str">
        <f ca="1">_xll.IMDP("BND",AL223,AU8,AL3)</f>
        <v>입력오류</v>
      </c>
      <c r="AV223" s="23" t="str">
        <f ca="1">_xll.IMDP("BND",AL223,AV8,AL3)</f>
        <v>입력오류</v>
      </c>
      <c r="AW223" s="2"/>
      <c r="BG223" s="21" t="str">
        <f ca="1">_xll.IMDP("BND",AX223,BG8,AX3)</f>
        <v>입력오류</v>
      </c>
      <c r="BH223" s="23" t="str">
        <f ca="1">_xll.IMDP("BND",AX223,BH8,AX3)</f>
        <v>입력오류</v>
      </c>
      <c r="BI223" s="2">
        <v>46198</v>
      </c>
      <c r="BJ223" s="3" t="s">
        <v>1608</v>
      </c>
      <c r="BK223" s="3" t="s">
        <v>1609</v>
      </c>
      <c r="BL223" s="3" t="s">
        <v>1610</v>
      </c>
      <c r="BM223" s="3">
        <v>0</v>
      </c>
      <c r="BN223" s="3">
        <v>0.05</v>
      </c>
      <c r="BO223" s="3">
        <v>0</v>
      </c>
      <c r="BP223" s="3">
        <v>58295</v>
      </c>
      <c r="BQ223" s="3">
        <v>9999.2099999999991</v>
      </c>
      <c r="BR223" s="3">
        <v>0.94340000000000002</v>
      </c>
      <c r="BS223" s="21">
        <f ca="1">_xll.IMDP("BND",BJ223,BS8,BJ3)</f>
        <v>20270612</v>
      </c>
      <c r="BT223" s="23">
        <f ca="1">_xll.IMDP("BND",BJ223,BT8,BJ3)</f>
        <v>3.7229999999999999</v>
      </c>
      <c r="BU223" s="2"/>
      <c r="CE223" s="21" t="str">
        <f ca="1">_xll.IMDP("BND",BV223,CE8,BV3)</f>
        <v>입력오류</v>
      </c>
      <c r="CF223" s="23" t="str">
        <f ca="1">_xll.IMDP("BND",BV223,CF8,BV3)</f>
        <v>입력오류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">
        <v>46198</v>
      </c>
      <c r="CT223" s="3" t="s">
        <v>2577</v>
      </c>
      <c r="CU223" s="3" t="s">
        <v>2462</v>
      </c>
      <c r="CV223" s="3" t="s">
        <v>2578</v>
      </c>
      <c r="CW223" s="3">
        <v>0</v>
      </c>
      <c r="CX223" s="3">
        <v>0.16</v>
      </c>
      <c r="CY223" s="3">
        <v>0</v>
      </c>
      <c r="CZ223" s="3">
        <v>229744</v>
      </c>
      <c r="DC223" s="21" t="str">
        <f ca="1">_xll.IMDP("BND",CT223,DC8,CT3)</f>
        <v/>
      </c>
      <c r="DD223" s="23" t="str">
        <f ca="1">_xll.IMDP("BND",CT223,DD8,CT3)</f>
        <v/>
      </c>
      <c r="DE223" s="2"/>
      <c r="DO223" s="21" t="str">
        <f ca="1">_xll.IMDP("BND",DF223,DO8,DF3)</f>
        <v>입력오류</v>
      </c>
      <c r="DP223" s="23" t="str">
        <f ca="1">_xll.IMDP("BND",DF223,DP8,DF3)</f>
        <v>입력오류</v>
      </c>
      <c r="DQ223" s="2"/>
      <c r="EA223" s="21" t="str">
        <f ca="1">_xll.IMDP("BND",DR223,EA8,DR3)</f>
        <v>입력오류</v>
      </c>
      <c r="EB223" s="23" t="str">
        <f ca="1">_xll.IMDP("BND",DR223,EB8,DR3)</f>
        <v>입력오류</v>
      </c>
    </row>
    <row r="224" spans="1:132" ht="13.5" customHeight="1" x14ac:dyDescent="0.3">
      <c r="A224" s="2">
        <v>46198</v>
      </c>
      <c r="B224" s="3" t="s">
        <v>2004</v>
      </c>
      <c r="C224" s="3" t="s">
        <v>518</v>
      </c>
      <c r="D224" s="3" t="s">
        <v>2005</v>
      </c>
      <c r="E224" s="3">
        <v>0</v>
      </c>
      <c r="F224" s="3">
        <v>0.23</v>
      </c>
      <c r="G224" s="3">
        <v>0</v>
      </c>
      <c r="H224" s="3">
        <v>253250</v>
      </c>
      <c r="I224" s="3">
        <v>9536.59</v>
      </c>
      <c r="J224" s="3">
        <v>3.4268999999999998</v>
      </c>
      <c r="K224" s="21">
        <f ca="1">_xll.IMDP("BND",B224,K8,B3)</f>
        <v>20300227</v>
      </c>
      <c r="L224" s="23">
        <f ca="1">_xll.IMDP("BND",B224,L8,B3)</f>
        <v>4.1660000000000004</v>
      </c>
      <c r="M224" s="2"/>
      <c r="W224" s="21" t="str">
        <f ca="1">_xll.IMDP("BND",N224,W8,N3)</f>
        <v>입력오류</v>
      </c>
      <c r="X224" s="23" t="str">
        <f ca="1">_xll.IMDP("BND",N224,X8,N3)</f>
        <v>입력오류</v>
      </c>
      <c r="Y224" s="2"/>
      <c r="AI224" s="21" t="str">
        <f ca="1">_xll.IMDP("BND",Z224,AI8,Z3)</f>
        <v>입력오류</v>
      </c>
      <c r="AJ224" s="23" t="str">
        <f ca="1">_xll.IMDP("BND",Z224,AJ8,Z3)</f>
        <v>입력오류</v>
      </c>
      <c r="AK224" s="2"/>
      <c r="AU224" s="21" t="str">
        <f ca="1">_xll.IMDP("BND",AL224,AU8,AL3)</f>
        <v>입력오류</v>
      </c>
      <c r="AV224" s="23" t="str">
        <f ca="1">_xll.IMDP("BND",AL224,AV8,AL3)</f>
        <v>입력오류</v>
      </c>
      <c r="AW224" s="2"/>
      <c r="BG224" s="21" t="str">
        <f ca="1">_xll.IMDP("BND",AX224,BG8,AX3)</f>
        <v>입력오류</v>
      </c>
      <c r="BH224" s="23" t="str">
        <f ca="1">_xll.IMDP("BND",AX224,BH8,AX3)</f>
        <v>입력오류</v>
      </c>
      <c r="BI224" s="2">
        <v>46198</v>
      </c>
      <c r="BJ224" s="3" t="s">
        <v>1611</v>
      </c>
      <c r="BK224" s="3" t="s">
        <v>1612</v>
      </c>
      <c r="BL224" s="3" t="s">
        <v>1613</v>
      </c>
      <c r="BM224" s="3">
        <v>0</v>
      </c>
      <c r="BN224" s="3">
        <v>0.05</v>
      </c>
      <c r="BO224" s="3">
        <v>0</v>
      </c>
      <c r="BP224" s="3">
        <v>58170</v>
      </c>
      <c r="BQ224" s="3">
        <v>9978.17</v>
      </c>
      <c r="BR224" s="3">
        <v>1.2352000000000001</v>
      </c>
      <c r="BS224" s="21">
        <f ca="1">_xll.IMDP("BND",BJ224,BS8,BJ3)</f>
        <v>20271004</v>
      </c>
      <c r="BT224" s="23">
        <f ca="1">_xll.IMDP("BND",BJ224,BT8,BJ3)</f>
        <v>3.88</v>
      </c>
      <c r="BU224" s="2"/>
      <c r="CE224" s="21" t="str">
        <f ca="1">_xll.IMDP("BND",BV224,CE8,BV3)</f>
        <v>입력오류</v>
      </c>
      <c r="CF224" s="23" t="str">
        <f ca="1">_xll.IMDP("BND",BV224,CF8,BV3)</f>
        <v>입력오류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">
        <v>46198</v>
      </c>
      <c r="CT224" s="3" t="s">
        <v>2579</v>
      </c>
      <c r="CU224" s="3" t="s">
        <v>2462</v>
      </c>
      <c r="CV224" s="3" t="s">
        <v>2580</v>
      </c>
      <c r="CW224" s="3">
        <v>0</v>
      </c>
      <c r="CX224" s="3">
        <v>0.16</v>
      </c>
      <c r="CY224" s="3">
        <v>0</v>
      </c>
      <c r="CZ224" s="3">
        <v>229744</v>
      </c>
      <c r="DC224" s="21" t="str">
        <f ca="1">_xll.IMDP("BND",CT224,DC8,CT3)</f>
        <v/>
      </c>
      <c r="DD224" s="23" t="str">
        <f ca="1">_xll.IMDP("BND",CT224,DD8,CT3)</f>
        <v/>
      </c>
      <c r="DE224" s="2"/>
      <c r="DO224" s="21" t="str">
        <f ca="1">_xll.IMDP("BND",DF224,DO8,DF3)</f>
        <v>입력오류</v>
      </c>
      <c r="DP224" s="23" t="str">
        <f ca="1">_xll.IMDP("BND",DF224,DP8,DF3)</f>
        <v>입력오류</v>
      </c>
      <c r="DQ224" s="2"/>
      <c r="EA224" s="21" t="str">
        <f ca="1">_xll.IMDP("BND",DR224,EA8,DR3)</f>
        <v>입력오류</v>
      </c>
      <c r="EB224" s="23" t="str">
        <f ca="1">_xll.IMDP("BND",DR224,EB8,DR3)</f>
        <v>입력오류</v>
      </c>
    </row>
    <row r="225" spans="1:132" ht="13.5" customHeight="1" x14ac:dyDescent="0.3">
      <c r="A225" s="2">
        <v>46198</v>
      </c>
      <c r="B225" s="3" t="s">
        <v>2011</v>
      </c>
      <c r="C225" s="3" t="s">
        <v>131</v>
      </c>
      <c r="D225" s="3" t="s">
        <v>2012</v>
      </c>
      <c r="E225" s="3">
        <v>0</v>
      </c>
      <c r="F225" s="3">
        <v>0.23</v>
      </c>
      <c r="G225" s="3">
        <v>0</v>
      </c>
      <c r="H225" s="3">
        <v>252508</v>
      </c>
      <c r="I225" s="3">
        <v>9509.73</v>
      </c>
      <c r="J225" s="3">
        <v>1.4118999999999999</v>
      </c>
      <c r="K225" s="21">
        <f ca="1">_xll.IMDP("BND",B225,K8,B3)</f>
        <v>20271210</v>
      </c>
      <c r="L225" s="23">
        <f ca="1">_xll.IMDP("BND",B225,L8,B3)</f>
        <v>3.492</v>
      </c>
      <c r="M225" s="2"/>
      <c r="W225" s="21" t="str">
        <f ca="1">_xll.IMDP("BND",N225,W8,N3)</f>
        <v>입력오류</v>
      </c>
      <c r="X225" s="23" t="str">
        <f ca="1">_xll.IMDP("BND",N225,X8,N3)</f>
        <v>입력오류</v>
      </c>
      <c r="Y225" s="2"/>
      <c r="AI225" s="21" t="str">
        <f ca="1">_xll.IMDP("BND",Z225,AI8,Z3)</f>
        <v>입력오류</v>
      </c>
      <c r="AJ225" s="23" t="str">
        <f ca="1">_xll.IMDP("BND",Z225,AJ8,Z3)</f>
        <v>입력오류</v>
      </c>
      <c r="AK225" s="2"/>
      <c r="AU225" s="21" t="str">
        <f ca="1">_xll.IMDP("BND",AL225,AU8,AL3)</f>
        <v>입력오류</v>
      </c>
      <c r="AV225" s="23" t="str">
        <f ca="1">_xll.IMDP("BND",AL225,AV8,AL3)</f>
        <v>입력오류</v>
      </c>
      <c r="AW225" s="2"/>
      <c r="BG225" s="21" t="str">
        <f ca="1">_xll.IMDP("BND",AX225,BG8,AX3)</f>
        <v>입력오류</v>
      </c>
      <c r="BH225" s="23" t="str">
        <f ca="1">_xll.IMDP("BND",AX225,BH8,AX3)</f>
        <v>입력오류</v>
      </c>
      <c r="BI225" s="2">
        <v>46198</v>
      </c>
      <c r="BJ225" s="3" t="s">
        <v>1617</v>
      </c>
      <c r="BK225" s="3" t="s">
        <v>1618</v>
      </c>
      <c r="BL225" s="3" t="s">
        <v>1619</v>
      </c>
      <c r="BM225" s="3">
        <v>0</v>
      </c>
      <c r="BN225" s="3">
        <v>0.05</v>
      </c>
      <c r="BO225" s="3">
        <v>0</v>
      </c>
      <c r="BP225" s="3">
        <v>58167</v>
      </c>
      <c r="BQ225" s="3">
        <v>9110.4699999999993</v>
      </c>
      <c r="BR225" s="3">
        <v>7.4915000000000003</v>
      </c>
      <c r="BS225" s="21">
        <f ca="1">_xll.IMDP("BND",BJ225,BS8,BJ3)</f>
        <v>20350330</v>
      </c>
      <c r="BT225" s="23">
        <f ca="1">_xll.IMDP("BND",BJ225,BT8,BJ3)</f>
        <v>4.3150000000000004</v>
      </c>
      <c r="BU225" s="2"/>
      <c r="CE225" s="21" t="str">
        <f ca="1">_xll.IMDP("BND",BV225,CE8,BV3)</f>
        <v>입력오류</v>
      </c>
      <c r="CF225" s="23" t="str">
        <f ca="1">_xll.IMDP("BND",BV225,CF8,BV3)</f>
        <v>입력오류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">
        <v>46198</v>
      </c>
      <c r="CT225" s="3" t="s">
        <v>2589</v>
      </c>
      <c r="CU225" s="3" t="s">
        <v>2481</v>
      </c>
      <c r="CV225" s="3" t="s">
        <v>2590</v>
      </c>
      <c r="CW225" s="3">
        <v>0</v>
      </c>
      <c r="CX225" s="3">
        <v>0.16</v>
      </c>
      <c r="CY225" s="3">
        <v>0</v>
      </c>
      <c r="CZ225" s="3">
        <v>229671</v>
      </c>
      <c r="DC225" s="21" t="str">
        <f ca="1">_xll.IMDP("BND",CT225,DC8,CT3)</f>
        <v/>
      </c>
      <c r="DD225" s="23" t="str">
        <f ca="1">_xll.IMDP("BND",CT225,DD8,CT3)</f>
        <v/>
      </c>
      <c r="DE225" s="2"/>
      <c r="DO225" s="21" t="str">
        <f ca="1">_xll.IMDP("BND",DF225,DO8,DF3)</f>
        <v>입력오류</v>
      </c>
      <c r="DP225" s="23" t="str">
        <f ca="1">_xll.IMDP("BND",DF225,DP8,DF3)</f>
        <v>입력오류</v>
      </c>
      <c r="DQ225" s="2"/>
      <c r="EA225" s="21" t="str">
        <f ca="1">_xll.IMDP("BND",DR225,EA8,DR3)</f>
        <v>입력오류</v>
      </c>
      <c r="EB225" s="23" t="str">
        <f ca="1">_xll.IMDP("BND",DR225,EB8,DR3)</f>
        <v>입력오류</v>
      </c>
    </row>
    <row r="226" spans="1:132" ht="13.5" customHeight="1" x14ac:dyDescent="0.3">
      <c r="A226" s="2">
        <v>46198</v>
      </c>
      <c r="B226" s="3" t="s">
        <v>2006</v>
      </c>
      <c r="C226" s="3" t="s">
        <v>787</v>
      </c>
      <c r="D226" s="3" t="s">
        <v>2007</v>
      </c>
      <c r="E226" s="3">
        <v>0</v>
      </c>
      <c r="F226" s="3">
        <v>0.23</v>
      </c>
      <c r="G226" s="3">
        <v>0</v>
      </c>
      <c r="H226" s="3">
        <v>252456</v>
      </c>
      <c r="I226" s="3">
        <v>9508.06</v>
      </c>
      <c r="J226" s="3">
        <v>3.6313</v>
      </c>
      <c r="K226" s="21">
        <f ca="1">_xll.IMDP("BND",B226,K8,B3)</f>
        <v>20300514</v>
      </c>
      <c r="L226" s="23">
        <f ca="1">_xll.IMDP("BND",B226,L8,B3)</f>
        <v>4.3769999999999998</v>
      </c>
      <c r="M226" s="2"/>
      <c r="W226" s="21" t="str">
        <f ca="1">_xll.IMDP("BND",N226,W8,N3)</f>
        <v>입력오류</v>
      </c>
      <c r="X226" s="23" t="str">
        <f ca="1">_xll.IMDP("BND",N226,X8,N3)</f>
        <v>입력오류</v>
      </c>
      <c r="Y226" s="2"/>
      <c r="AI226" s="21" t="str">
        <f ca="1">_xll.IMDP("BND",Z226,AI8,Z3)</f>
        <v>입력오류</v>
      </c>
      <c r="AJ226" s="23" t="str">
        <f ca="1">_xll.IMDP("BND",Z226,AJ8,Z3)</f>
        <v>입력오류</v>
      </c>
      <c r="AK226" s="2"/>
      <c r="AU226" s="21" t="str">
        <f ca="1">_xll.IMDP("BND",AL226,AU8,AL3)</f>
        <v>입력오류</v>
      </c>
      <c r="AV226" s="23" t="str">
        <f ca="1">_xll.IMDP("BND",AL226,AV8,AL3)</f>
        <v>입력오류</v>
      </c>
      <c r="AW226" s="2"/>
      <c r="BG226" s="21" t="str">
        <f ca="1">_xll.IMDP("BND",AX226,BG8,AX3)</f>
        <v>입력오류</v>
      </c>
      <c r="BH226" s="23" t="str">
        <f ca="1">_xll.IMDP("BND",AX226,BH8,AX3)</f>
        <v>입력오류</v>
      </c>
      <c r="BI226" s="2">
        <v>46198</v>
      </c>
      <c r="BJ226" s="3" t="s">
        <v>215</v>
      </c>
      <c r="BK226" s="3" t="s">
        <v>216</v>
      </c>
      <c r="BL226" s="3" t="s">
        <v>766</v>
      </c>
      <c r="BM226" s="3">
        <v>0</v>
      </c>
      <c r="BN226" s="3">
        <v>0.05</v>
      </c>
      <c r="BO226" s="3">
        <v>0</v>
      </c>
      <c r="BP226" s="3">
        <v>58164</v>
      </c>
      <c r="BQ226" s="3">
        <v>9979.8700000000008</v>
      </c>
      <c r="BR226" s="3">
        <v>4.8524000000000003</v>
      </c>
      <c r="BS226" s="21">
        <f ca="1">_xll.IMDP("BND",BJ226,BS8,BJ3)</f>
        <v>20311210</v>
      </c>
      <c r="BT226" s="23">
        <f ca="1">_xll.IMDP("BND",BJ226,BT8,BJ3)</f>
        <v>4.0739999999999998</v>
      </c>
      <c r="BU226" s="2"/>
      <c r="CE226" s="21" t="str">
        <f ca="1">_xll.IMDP("BND",BV226,CE8,BV3)</f>
        <v>입력오류</v>
      </c>
      <c r="CF226" s="23" t="str">
        <f ca="1">_xll.IMDP("BND",BV226,CF8,BV3)</f>
        <v>입력오류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">
        <v>46198</v>
      </c>
      <c r="CT226" s="3" t="s">
        <v>2587</v>
      </c>
      <c r="CU226" s="3" t="s">
        <v>2481</v>
      </c>
      <c r="CV226" s="3" t="s">
        <v>2588</v>
      </c>
      <c r="CW226" s="3">
        <v>0</v>
      </c>
      <c r="CX226" s="3">
        <v>0.16</v>
      </c>
      <c r="CY226" s="3">
        <v>0</v>
      </c>
      <c r="CZ226" s="3">
        <v>229671</v>
      </c>
      <c r="DC226" s="21" t="str">
        <f ca="1">_xll.IMDP("BND",CT226,DC8,CT3)</f>
        <v/>
      </c>
      <c r="DD226" s="23" t="str">
        <f ca="1">_xll.IMDP("BND",CT226,DD8,CT3)</f>
        <v/>
      </c>
      <c r="DE226" s="2"/>
      <c r="DO226" s="21" t="str">
        <f ca="1">_xll.IMDP("BND",DF226,DO8,DF3)</f>
        <v>입력오류</v>
      </c>
      <c r="DP226" s="23" t="str">
        <f ca="1">_xll.IMDP("BND",DF226,DP8,DF3)</f>
        <v>입력오류</v>
      </c>
      <c r="DQ226" s="2"/>
      <c r="EA226" s="21" t="str">
        <f ca="1">_xll.IMDP("BND",DR226,EA8,DR3)</f>
        <v>입력오류</v>
      </c>
      <c r="EB226" s="23" t="str">
        <f ca="1">_xll.IMDP("BND",DR226,EB8,DR3)</f>
        <v>입력오류</v>
      </c>
    </row>
    <row r="227" spans="1:132" ht="13.5" customHeight="1" x14ac:dyDescent="0.3">
      <c r="A227" s="2">
        <v>46198</v>
      </c>
      <c r="B227" s="3" t="s">
        <v>2008</v>
      </c>
      <c r="C227" s="3" t="s">
        <v>2009</v>
      </c>
      <c r="D227" s="3" t="s">
        <v>2010</v>
      </c>
      <c r="E227" s="3">
        <v>0</v>
      </c>
      <c r="F227" s="3">
        <v>0.23</v>
      </c>
      <c r="G227" s="3">
        <v>0</v>
      </c>
      <c r="H227" s="3">
        <v>252442</v>
      </c>
      <c r="I227" s="3">
        <v>9507.5300000000007</v>
      </c>
      <c r="J227" s="3">
        <v>3.6511999999999998</v>
      </c>
      <c r="K227" s="21">
        <f ca="1">_xll.IMDP("BND",B227,K8,B3)</f>
        <v>20300522</v>
      </c>
      <c r="L227" s="23">
        <f ca="1">_xll.IMDP("BND",B227,L8,B3)</f>
        <v>4.3780000000000001</v>
      </c>
      <c r="M227" s="2"/>
      <c r="W227" s="21" t="str">
        <f ca="1">_xll.IMDP("BND",N227,W8,N3)</f>
        <v>입력오류</v>
      </c>
      <c r="X227" s="23" t="str">
        <f ca="1">_xll.IMDP("BND",N227,X8,N3)</f>
        <v>입력오류</v>
      </c>
      <c r="Y227" s="2"/>
      <c r="AI227" s="21" t="str">
        <f ca="1">_xll.IMDP("BND",Z227,AI8,Z3)</f>
        <v>입력오류</v>
      </c>
      <c r="AJ227" s="23" t="str">
        <f ca="1">_xll.IMDP("BND",Z227,AJ8,Z3)</f>
        <v>입력오류</v>
      </c>
      <c r="AK227" s="2"/>
      <c r="AU227" s="21" t="str">
        <f ca="1">_xll.IMDP("BND",AL227,AU8,AL3)</f>
        <v>입력오류</v>
      </c>
      <c r="AV227" s="23" t="str">
        <f ca="1">_xll.IMDP("BND",AL227,AV8,AL3)</f>
        <v>입력오류</v>
      </c>
      <c r="AW227" s="2"/>
      <c r="BG227" s="21" t="str">
        <f ca="1">_xll.IMDP("BND",AX227,BG8,AX3)</f>
        <v>입력오류</v>
      </c>
      <c r="BH227" s="23" t="str">
        <f ca="1">_xll.IMDP("BND",AX227,BH8,AX3)</f>
        <v>입력오류</v>
      </c>
      <c r="BI227" s="2">
        <v>46198</v>
      </c>
      <c r="BJ227" s="3" t="s">
        <v>1614</v>
      </c>
      <c r="BK227" s="3" t="s">
        <v>1615</v>
      </c>
      <c r="BL227" s="3" t="s">
        <v>1616</v>
      </c>
      <c r="BM227" s="3">
        <v>0</v>
      </c>
      <c r="BN227" s="3">
        <v>0.05</v>
      </c>
      <c r="BO227" s="3">
        <v>0</v>
      </c>
      <c r="BP227" s="3">
        <v>58157</v>
      </c>
      <c r="BQ227" s="3">
        <v>9975.82</v>
      </c>
      <c r="BR227" s="3">
        <v>1.2273000000000001</v>
      </c>
      <c r="BS227" s="21">
        <f ca="1">_xll.IMDP("BND",BJ227,BS8,BJ3)</f>
        <v>20271001</v>
      </c>
      <c r="BT227" s="23">
        <f ca="1">_xll.IMDP("BND",BJ227,BT8,BJ3)</f>
        <v>4.03</v>
      </c>
      <c r="BU227" s="2"/>
      <c r="CE227" s="21" t="str">
        <f ca="1">_xll.IMDP("BND",BV227,CE8,BV3)</f>
        <v>입력오류</v>
      </c>
      <c r="CF227" s="23" t="str">
        <f ca="1">_xll.IMDP("BND",BV227,CF8,BV3)</f>
        <v>입력오류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">
        <v>46198</v>
      </c>
      <c r="CT227" s="3" t="s">
        <v>2585</v>
      </c>
      <c r="CU227" s="3" t="s">
        <v>2481</v>
      </c>
      <c r="CV227" s="3" t="s">
        <v>2586</v>
      </c>
      <c r="CW227" s="3">
        <v>0</v>
      </c>
      <c r="CX227" s="3">
        <v>0.16</v>
      </c>
      <c r="CY227" s="3">
        <v>0</v>
      </c>
      <c r="CZ227" s="3">
        <v>229671</v>
      </c>
      <c r="DC227" s="21" t="str">
        <f ca="1">_xll.IMDP("BND",CT227,DC8,CT3)</f>
        <v/>
      </c>
      <c r="DD227" s="23" t="str">
        <f ca="1">_xll.IMDP("BND",CT227,DD8,CT3)</f>
        <v/>
      </c>
      <c r="DE227" s="2"/>
      <c r="DO227" s="21" t="str">
        <f ca="1">_xll.IMDP("BND",DF227,DO8,DF3)</f>
        <v>입력오류</v>
      </c>
      <c r="DP227" s="23" t="str">
        <f ca="1">_xll.IMDP("BND",DF227,DP8,DF3)</f>
        <v>입력오류</v>
      </c>
      <c r="DQ227" s="2"/>
      <c r="EA227" s="21" t="str">
        <f ca="1">_xll.IMDP("BND",DR227,EA8,DR3)</f>
        <v>입력오류</v>
      </c>
      <c r="EB227" s="23" t="str">
        <f ca="1">_xll.IMDP("BND",DR227,EB8,DR3)</f>
        <v>입력오류</v>
      </c>
    </row>
    <row r="228" spans="1:132" ht="13.5" customHeight="1" x14ac:dyDescent="0.3">
      <c r="A228" s="2">
        <v>46198</v>
      </c>
      <c r="B228" s="3" t="s">
        <v>2717</v>
      </c>
      <c r="C228" s="3" t="s">
        <v>2718</v>
      </c>
      <c r="D228" s="3" t="s">
        <v>2719</v>
      </c>
      <c r="E228" s="3">
        <v>0</v>
      </c>
      <c r="F228" s="3">
        <v>0.23</v>
      </c>
      <c r="G228" s="3">
        <v>0</v>
      </c>
      <c r="H228" s="3">
        <v>252356</v>
      </c>
      <c r="I228" s="3">
        <v>9502.24</v>
      </c>
      <c r="J228" s="3">
        <v>3.8065000000000002</v>
      </c>
      <c r="K228" s="21">
        <f ca="1">_xll.IMDP("BND",B228,K8,B3)</f>
        <v>20300724</v>
      </c>
      <c r="L228" s="23">
        <f ca="1">_xll.IMDP("BND",B228,L8,B3)</f>
        <v>4.2329999999999997</v>
      </c>
      <c r="M228" s="2"/>
      <c r="W228" s="21" t="str">
        <f ca="1">_xll.IMDP("BND",N228,W8,N3)</f>
        <v>입력오류</v>
      </c>
      <c r="X228" s="23" t="str">
        <f ca="1">_xll.IMDP("BND",N228,X8,N3)</f>
        <v>입력오류</v>
      </c>
      <c r="Y228" s="2"/>
      <c r="AI228" s="21" t="str">
        <f ca="1">_xll.IMDP("BND",Z228,AI8,Z3)</f>
        <v>입력오류</v>
      </c>
      <c r="AJ228" s="23" t="str">
        <f ca="1">_xll.IMDP("BND",Z228,AJ8,Z3)</f>
        <v>입력오류</v>
      </c>
      <c r="AK228" s="2"/>
      <c r="AU228" s="21" t="str">
        <f ca="1">_xll.IMDP("BND",AL228,AU8,AL3)</f>
        <v>입력오류</v>
      </c>
      <c r="AV228" s="23" t="str">
        <f ca="1">_xll.IMDP("BND",AL228,AV8,AL3)</f>
        <v>입력오류</v>
      </c>
      <c r="AW228" s="2"/>
      <c r="BG228" s="21" t="str">
        <f ca="1">_xll.IMDP("BND",AX228,BG8,AX3)</f>
        <v>입력오류</v>
      </c>
      <c r="BH228" s="23" t="str">
        <f ca="1">_xll.IMDP("BND",AX228,BH8,AX3)</f>
        <v>입력오류</v>
      </c>
      <c r="BI228" s="2">
        <v>46198</v>
      </c>
      <c r="BJ228" s="3" t="s">
        <v>1620</v>
      </c>
      <c r="BK228" s="3" t="s">
        <v>1621</v>
      </c>
      <c r="BL228" s="3" t="s">
        <v>1622</v>
      </c>
      <c r="BM228" s="3">
        <v>0</v>
      </c>
      <c r="BN228" s="3">
        <v>0.05</v>
      </c>
      <c r="BO228" s="3">
        <v>0</v>
      </c>
      <c r="BP228" s="3">
        <v>57972</v>
      </c>
      <c r="BQ228" s="3">
        <v>9944.65</v>
      </c>
      <c r="BR228" s="3">
        <v>1.1787000000000001</v>
      </c>
      <c r="BS228" s="21">
        <f ca="1">_xll.IMDP("BND",BJ228,BS8,BJ3)</f>
        <v>20270910</v>
      </c>
      <c r="BT228" s="23">
        <f ca="1">_xll.IMDP("BND",BJ228,BT8,BJ3)</f>
        <v>4.0519999999999996</v>
      </c>
      <c r="BU228" s="2"/>
      <c r="CE228" s="21" t="str">
        <f ca="1">_xll.IMDP("BND",BV228,CE8,BV3)</f>
        <v>입력오류</v>
      </c>
      <c r="CF228" s="23" t="str">
        <f ca="1">_xll.IMDP("BND",BV228,CF8,BV3)</f>
        <v>입력오류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">
        <v>46198</v>
      </c>
      <c r="CT228" s="3" t="s">
        <v>2591</v>
      </c>
      <c r="CU228" s="3" t="s">
        <v>2481</v>
      </c>
      <c r="CV228" s="3" t="s">
        <v>2592</v>
      </c>
      <c r="CW228" s="3">
        <v>0</v>
      </c>
      <c r="CX228" s="3">
        <v>0.16</v>
      </c>
      <c r="CY228" s="3">
        <v>0</v>
      </c>
      <c r="CZ228" s="3">
        <v>229671</v>
      </c>
      <c r="DC228" s="21" t="str">
        <f ca="1">_xll.IMDP("BND",CT228,DC8,CT3)</f>
        <v/>
      </c>
      <c r="DD228" s="23" t="str">
        <f ca="1">_xll.IMDP("BND",CT228,DD8,CT3)</f>
        <v/>
      </c>
      <c r="DE228" s="2"/>
      <c r="DO228" s="21" t="str">
        <f ca="1">_xll.IMDP("BND",DF228,DO8,DF3)</f>
        <v>입력오류</v>
      </c>
      <c r="DP228" s="23" t="str">
        <f ca="1">_xll.IMDP("BND",DF228,DP8,DF3)</f>
        <v>입력오류</v>
      </c>
      <c r="DQ228" s="2"/>
      <c r="EA228" s="21" t="str">
        <f ca="1">_xll.IMDP("BND",DR228,EA8,DR3)</f>
        <v>입력오류</v>
      </c>
      <c r="EB228" s="23" t="str">
        <f ca="1">_xll.IMDP("BND",DR228,EB8,DR3)</f>
        <v>입력오류</v>
      </c>
    </row>
    <row r="229" spans="1:132" ht="13.5" customHeight="1" x14ac:dyDescent="0.3">
      <c r="A229" s="2">
        <v>46198</v>
      </c>
      <c r="B229" s="3" t="s">
        <v>2013</v>
      </c>
      <c r="C229" s="3" t="s">
        <v>496</v>
      </c>
      <c r="D229" s="3" t="s">
        <v>2014</v>
      </c>
      <c r="E229" s="3">
        <v>0</v>
      </c>
      <c r="F229" s="3">
        <v>0.23</v>
      </c>
      <c r="G229" s="3">
        <v>0</v>
      </c>
      <c r="H229" s="3">
        <v>251215</v>
      </c>
      <c r="I229" s="3">
        <v>9459.25</v>
      </c>
      <c r="J229" s="3">
        <v>3.9159999999999999</v>
      </c>
      <c r="K229" s="21">
        <f ca="1">_xll.IMDP("BND",B229,K8,B3)</f>
        <v>20300909</v>
      </c>
      <c r="L229" s="23">
        <f ca="1">_xll.IMDP("BND",B229,L8,B3)</f>
        <v>4.4059999999999997</v>
      </c>
      <c r="M229" s="2"/>
      <c r="W229" s="21" t="str">
        <f ca="1">_xll.IMDP("BND",N229,W8,N3)</f>
        <v>입력오류</v>
      </c>
      <c r="X229" s="23" t="str">
        <f ca="1">_xll.IMDP("BND",N229,X8,N3)</f>
        <v>입력오류</v>
      </c>
      <c r="Y229" s="2"/>
      <c r="AI229" s="21" t="str">
        <f ca="1">_xll.IMDP("BND",Z229,AI8,Z3)</f>
        <v>입력오류</v>
      </c>
      <c r="AJ229" s="23" t="str">
        <f ca="1">_xll.IMDP("BND",Z229,AJ8,Z3)</f>
        <v>입력오류</v>
      </c>
      <c r="AK229" s="2"/>
      <c r="AU229" s="21" t="str">
        <f ca="1">_xll.IMDP("BND",AL229,AU8,AL3)</f>
        <v>입력오류</v>
      </c>
      <c r="AV229" s="23" t="str">
        <f ca="1">_xll.IMDP("BND",AL229,AV8,AL3)</f>
        <v>입력오류</v>
      </c>
      <c r="AW229" s="2"/>
      <c r="BG229" s="21" t="str">
        <f ca="1">_xll.IMDP("BND",AX229,BG8,AX3)</f>
        <v>입력오류</v>
      </c>
      <c r="BH229" s="23" t="str">
        <f ca="1">_xll.IMDP("BND",AX229,BH8,AX3)</f>
        <v>입력오류</v>
      </c>
      <c r="BI229" s="2">
        <v>46198</v>
      </c>
      <c r="BJ229" s="3" t="s">
        <v>1623</v>
      </c>
      <c r="BK229" s="3" t="s">
        <v>185</v>
      </c>
      <c r="BL229" s="3" t="s">
        <v>1624</v>
      </c>
      <c r="BM229" s="3">
        <v>0</v>
      </c>
      <c r="BN229" s="3">
        <v>0.05</v>
      </c>
      <c r="BO229" s="3">
        <v>0</v>
      </c>
      <c r="BP229" s="3">
        <v>57796</v>
      </c>
      <c r="BQ229" s="3">
        <v>9914.24</v>
      </c>
      <c r="BR229" s="3">
        <v>1.0703</v>
      </c>
      <c r="BS229" s="21">
        <f ca="1">_xll.IMDP("BND",BJ229,BS8,BJ3)</f>
        <v>20270730</v>
      </c>
      <c r="BT229" s="23">
        <f ca="1">_xll.IMDP("BND",BJ229,BT8,BJ3)</f>
        <v>3.9049999999999998</v>
      </c>
      <c r="BU229" s="2"/>
      <c r="CE229" s="21" t="str">
        <f ca="1">_xll.IMDP("BND",BV229,CE8,BV3)</f>
        <v>입력오류</v>
      </c>
      <c r="CF229" s="23" t="str">
        <f ca="1">_xll.IMDP("BND",BV229,CF8,BV3)</f>
        <v>입력오류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">
        <v>46198</v>
      </c>
      <c r="CT229" s="3" t="s">
        <v>2581</v>
      </c>
      <c r="CU229" s="3" t="s">
        <v>2522</v>
      </c>
      <c r="CV229" s="3" t="s">
        <v>2582</v>
      </c>
      <c r="CW229" s="3">
        <v>0</v>
      </c>
      <c r="CX229" s="3">
        <v>0.16</v>
      </c>
      <c r="CY229" s="3">
        <v>0</v>
      </c>
      <c r="CZ229" s="3">
        <v>229633</v>
      </c>
      <c r="DC229" s="21" t="str">
        <f ca="1">_xll.IMDP("BND",CT229,DC8,CT3)</f>
        <v/>
      </c>
      <c r="DD229" s="23" t="str">
        <f ca="1">_xll.IMDP("BND",CT229,DD8,CT3)</f>
        <v/>
      </c>
      <c r="DE229" s="2"/>
      <c r="DO229" s="21" t="str">
        <f ca="1">_xll.IMDP("BND",DF229,DO8,DF3)</f>
        <v>입력오류</v>
      </c>
      <c r="DP229" s="23" t="str">
        <f ca="1">_xll.IMDP("BND",DF229,DP8,DF3)</f>
        <v>입력오류</v>
      </c>
      <c r="DQ229" s="2"/>
      <c r="EA229" s="21" t="str">
        <f ca="1">_xll.IMDP("BND",DR229,EA8,DR3)</f>
        <v>입력오류</v>
      </c>
      <c r="EB229" s="23" t="str">
        <f ca="1">_xll.IMDP("BND",DR229,EB8,DR3)</f>
        <v>입력오류</v>
      </c>
    </row>
    <row r="230" spans="1:132" ht="13.5" customHeight="1" x14ac:dyDescent="0.3">
      <c r="A230" s="2">
        <v>46198</v>
      </c>
      <c r="B230" s="3" t="s">
        <v>2015</v>
      </c>
      <c r="C230" s="3" t="s">
        <v>784</v>
      </c>
      <c r="D230" s="3" t="s">
        <v>2016</v>
      </c>
      <c r="E230" s="3">
        <v>0</v>
      </c>
      <c r="F230" s="3">
        <v>0.23</v>
      </c>
      <c r="G230" s="3">
        <v>0</v>
      </c>
      <c r="H230" s="3">
        <v>250843</v>
      </c>
      <c r="I230" s="3">
        <v>9445.86</v>
      </c>
      <c r="J230" s="3">
        <v>3.9054000000000002</v>
      </c>
      <c r="K230" s="21">
        <f ca="1">_xll.IMDP("BND",B230,K8,B3)</f>
        <v>20300902</v>
      </c>
      <c r="L230" s="23">
        <f ca="1">_xll.IMDP("BND",B230,L8,B3)</f>
        <v>4.3579999999999997</v>
      </c>
      <c r="M230" s="2"/>
      <c r="W230" s="21" t="str">
        <f ca="1">_xll.IMDP("BND",N230,W8,N3)</f>
        <v>입력오류</v>
      </c>
      <c r="X230" s="23" t="str">
        <f ca="1">_xll.IMDP("BND",N230,X8,N3)</f>
        <v>입력오류</v>
      </c>
      <c r="Y230" s="2"/>
      <c r="AI230" s="21" t="str">
        <f ca="1">_xll.IMDP("BND",Z230,AI8,Z3)</f>
        <v>입력오류</v>
      </c>
      <c r="AJ230" s="23" t="str">
        <f ca="1">_xll.IMDP("BND",Z230,AJ8,Z3)</f>
        <v>입력오류</v>
      </c>
      <c r="AK230" s="2"/>
      <c r="AU230" s="21" t="str">
        <f ca="1">_xll.IMDP("BND",AL230,AU8,AL3)</f>
        <v>입력오류</v>
      </c>
      <c r="AV230" s="23" t="str">
        <f ca="1">_xll.IMDP("BND",AL230,AV8,AL3)</f>
        <v>입력오류</v>
      </c>
      <c r="AW230" s="2"/>
      <c r="BG230" s="21" t="str">
        <f ca="1">_xll.IMDP("BND",AX230,BG8,AX3)</f>
        <v>입력오류</v>
      </c>
      <c r="BH230" s="23" t="str">
        <f ca="1">_xll.IMDP("BND",AX230,BH8,AX3)</f>
        <v>입력오류</v>
      </c>
      <c r="BI230" s="2">
        <v>46198</v>
      </c>
      <c r="BJ230" s="3" t="s">
        <v>1625</v>
      </c>
      <c r="BK230" s="3" t="s">
        <v>616</v>
      </c>
      <c r="BL230" s="3" t="s">
        <v>1626</v>
      </c>
      <c r="BM230" s="3">
        <v>0</v>
      </c>
      <c r="BN230" s="3">
        <v>0.05</v>
      </c>
      <c r="BO230" s="3">
        <v>0</v>
      </c>
      <c r="BP230" s="3">
        <v>57786</v>
      </c>
      <c r="BQ230" s="3">
        <v>9912.44</v>
      </c>
      <c r="BR230" s="3">
        <v>1.3731</v>
      </c>
      <c r="BS230" s="21">
        <f ca="1">_xll.IMDP("BND",BJ230,BS8,BJ3)</f>
        <v>20271125</v>
      </c>
      <c r="BT230" s="23">
        <f ca="1">_xll.IMDP("BND",BJ230,BT8,BJ3)</f>
        <v>4.133</v>
      </c>
      <c r="BU230" s="2"/>
      <c r="CE230" s="21" t="str">
        <f ca="1">_xll.IMDP("BND",BV230,CE8,BV3)</f>
        <v>입력오류</v>
      </c>
      <c r="CF230" s="23" t="str">
        <f ca="1">_xll.IMDP("BND",BV230,CF8,BV3)</f>
        <v>입력오류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">
        <v>46198</v>
      </c>
      <c r="CT230" s="3" t="s">
        <v>2583</v>
      </c>
      <c r="CU230" s="3" t="s">
        <v>2522</v>
      </c>
      <c r="CV230" s="3" t="s">
        <v>2584</v>
      </c>
      <c r="CW230" s="3">
        <v>0</v>
      </c>
      <c r="CX230" s="3">
        <v>0.16</v>
      </c>
      <c r="CY230" s="3">
        <v>0</v>
      </c>
      <c r="CZ230" s="3">
        <v>229633</v>
      </c>
      <c r="DC230" s="21" t="str">
        <f ca="1">_xll.IMDP("BND",CT230,DC8,CT3)</f>
        <v/>
      </c>
      <c r="DD230" s="23" t="str">
        <f ca="1">_xll.IMDP("BND",CT230,DD8,CT3)</f>
        <v/>
      </c>
      <c r="DE230" s="2"/>
      <c r="DO230" s="21" t="str">
        <f ca="1">_xll.IMDP("BND",DF230,DO8,DF3)</f>
        <v>입력오류</v>
      </c>
      <c r="DP230" s="23" t="str">
        <f ca="1">_xll.IMDP("BND",DF230,DP8,DF3)</f>
        <v>입력오류</v>
      </c>
      <c r="DQ230" s="2"/>
      <c r="EA230" s="21" t="str">
        <f ca="1">_xll.IMDP("BND",DR230,EA8,DR3)</f>
        <v>입력오류</v>
      </c>
      <c r="EB230" s="23" t="str">
        <f ca="1">_xll.IMDP("BND",DR230,EB8,DR3)</f>
        <v>입력오류</v>
      </c>
    </row>
    <row r="231" spans="1:132" ht="13.5" customHeight="1" x14ac:dyDescent="0.3">
      <c r="A231" s="2">
        <v>46198</v>
      </c>
      <c r="B231" s="3" t="s">
        <v>153</v>
      </c>
      <c r="C231" s="3" t="s">
        <v>154</v>
      </c>
      <c r="D231" s="3" t="s">
        <v>2017</v>
      </c>
      <c r="E231" s="3">
        <v>0</v>
      </c>
      <c r="F231" s="3">
        <v>0.22</v>
      </c>
      <c r="G231" s="3">
        <v>0</v>
      </c>
      <c r="H231" s="3">
        <v>250176</v>
      </c>
      <c r="I231" s="3">
        <v>9423.2099999999991</v>
      </c>
      <c r="J231" s="3">
        <v>4.9692999999999996</v>
      </c>
      <c r="K231" s="21">
        <f ca="1">_xll.IMDP("BND",B231,K8,B3)</f>
        <v>20320112</v>
      </c>
      <c r="L231" s="23">
        <f ca="1">_xll.IMDP("BND",B231,L8,B3)</f>
        <v>4.3499999999999996</v>
      </c>
      <c r="M231" s="2"/>
      <c r="W231" s="21" t="str">
        <f ca="1">_xll.IMDP("BND",N231,W8,N3)</f>
        <v>입력오류</v>
      </c>
      <c r="X231" s="23" t="str">
        <f ca="1">_xll.IMDP("BND",N231,X8,N3)</f>
        <v>입력오류</v>
      </c>
      <c r="Y231" s="2"/>
      <c r="AI231" s="21" t="str">
        <f ca="1">_xll.IMDP("BND",Z231,AI8,Z3)</f>
        <v>입력오류</v>
      </c>
      <c r="AJ231" s="23" t="str">
        <f ca="1">_xll.IMDP("BND",Z231,AJ8,Z3)</f>
        <v>입력오류</v>
      </c>
      <c r="AK231" s="2"/>
      <c r="AU231" s="21" t="str">
        <f ca="1">_xll.IMDP("BND",AL231,AU8,AL3)</f>
        <v>입력오류</v>
      </c>
      <c r="AV231" s="23" t="str">
        <f ca="1">_xll.IMDP("BND",AL231,AV8,AL3)</f>
        <v>입력오류</v>
      </c>
      <c r="AW231" s="2"/>
      <c r="BG231" s="21" t="str">
        <f ca="1">_xll.IMDP("BND",AX231,BG8,AX3)</f>
        <v>입력오류</v>
      </c>
      <c r="BH231" s="23" t="str">
        <f ca="1">_xll.IMDP("BND",AX231,BH8,AX3)</f>
        <v>입력오류</v>
      </c>
      <c r="BI231" s="2">
        <v>46198</v>
      </c>
      <c r="BJ231" s="3" t="s">
        <v>1627</v>
      </c>
      <c r="BK231" s="3" t="s">
        <v>1628</v>
      </c>
      <c r="BL231" s="3" t="s">
        <v>1629</v>
      </c>
      <c r="BM231" s="3">
        <v>0</v>
      </c>
      <c r="BN231" s="3">
        <v>0.05</v>
      </c>
      <c r="BO231" s="3">
        <v>0</v>
      </c>
      <c r="BP231" s="3">
        <v>57679</v>
      </c>
      <c r="BQ231" s="3">
        <v>9894.61</v>
      </c>
      <c r="BR231" s="3">
        <v>1.3753</v>
      </c>
      <c r="BS231" s="21">
        <f ca="1">_xll.IMDP("BND",BJ231,BS8,BJ3)</f>
        <v>20271125</v>
      </c>
      <c r="BT231" s="23">
        <f ca="1">_xll.IMDP("BND",BJ231,BT8,BJ3)</f>
        <v>4.1440000000000001</v>
      </c>
      <c r="BU231" s="2"/>
      <c r="CE231" s="21" t="str">
        <f ca="1">_xll.IMDP("BND",BV231,CE8,BV3)</f>
        <v>입력오류</v>
      </c>
      <c r="CF231" s="23" t="str">
        <f ca="1">_xll.IMDP("BND",BV231,CF8,BV3)</f>
        <v>입력오류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">
        <v>46198</v>
      </c>
      <c r="CT231" s="3" t="s">
        <v>2593</v>
      </c>
      <c r="CU231" s="3" t="s">
        <v>2481</v>
      </c>
      <c r="CV231" s="3" t="s">
        <v>2594</v>
      </c>
      <c r="CW231" s="3">
        <v>0</v>
      </c>
      <c r="CX231" s="3">
        <v>0.16</v>
      </c>
      <c r="CY231" s="3">
        <v>0</v>
      </c>
      <c r="CZ231" s="3">
        <v>229523</v>
      </c>
      <c r="DC231" s="21" t="str">
        <f ca="1">_xll.IMDP("BND",CT231,DC8,CT3)</f>
        <v/>
      </c>
      <c r="DD231" s="23" t="str">
        <f ca="1">_xll.IMDP("BND",CT231,DD8,CT3)</f>
        <v/>
      </c>
      <c r="DE231" s="2"/>
      <c r="DO231" s="21" t="str">
        <f ca="1">_xll.IMDP("BND",DF231,DO8,DF3)</f>
        <v>입력오류</v>
      </c>
      <c r="DP231" s="23" t="str">
        <f ca="1">_xll.IMDP("BND",DF231,DP8,DF3)</f>
        <v>입력오류</v>
      </c>
      <c r="DQ231" s="2"/>
      <c r="EA231" s="21" t="str">
        <f ca="1">_xll.IMDP("BND",DR231,EA8,DR3)</f>
        <v>입력오류</v>
      </c>
      <c r="EB231" s="23" t="str">
        <f ca="1">_xll.IMDP("BND",DR231,EB8,DR3)</f>
        <v>입력오류</v>
      </c>
    </row>
    <row r="232" spans="1:132" ht="13.5" customHeight="1" x14ac:dyDescent="0.3">
      <c r="A232" s="2">
        <v>46198</v>
      </c>
      <c r="B232" s="3" t="s">
        <v>2018</v>
      </c>
      <c r="C232" s="3" t="s">
        <v>558</v>
      </c>
      <c r="D232" s="3" t="s">
        <v>2019</v>
      </c>
      <c r="E232" s="3">
        <v>0</v>
      </c>
      <c r="F232" s="3">
        <v>0.22</v>
      </c>
      <c r="G232" s="3">
        <v>0</v>
      </c>
      <c r="H232" s="3">
        <v>248879</v>
      </c>
      <c r="I232" s="3">
        <v>9372.84</v>
      </c>
      <c r="J232" s="3">
        <v>12.117800000000001</v>
      </c>
      <c r="K232" s="21">
        <f ca="1">_xll.IMDP("BND",B232,K8,B3)</f>
        <v>20430623</v>
      </c>
      <c r="L232" s="23">
        <f ca="1">_xll.IMDP("BND",B232,L8,B3)</f>
        <v>4.4580000000000002</v>
      </c>
      <c r="M232" s="2"/>
      <c r="W232" s="21" t="str">
        <f ca="1">_xll.IMDP("BND",N232,W8,N3)</f>
        <v>입력오류</v>
      </c>
      <c r="X232" s="23" t="str">
        <f ca="1">_xll.IMDP("BND",N232,X8,N3)</f>
        <v>입력오류</v>
      </c>
      <c r="Y232" s="2"/>
      <c r="AI232" s="21" t="str">
        <f ca="1">_xll.IMDP("BND",Z232,AI8,Z3)</f>
        <v>입력오류</v>
      </c>
      <c r="AJ232" s="23" t="str">
        <f ca="1">_xll.IMDP("BND",Z232,AJ8,Z3)</f>
        <v>입력오류</v>
      </c>
      <c r="AK232" s="2"/>
      <c r="AU232" s="21" t="str">
        <f ca="1">_xll.IMDP("BND",AL232,AU8,AL3)</f>
        <v>입력오류</v>
      </c>
      <c r="AV232" s="23" t="str">
        <f ca="1">_xll.IMDP("BND",AL232,AV8,AL3)</f>
        <v>입력오류</v>
      </c>
      <c r="AW232" s="2"/>
      <c r="BG232" s="21" t="str">
        <f ca="1">_xll.IMDP("BND",AX232,BG8,AX3)</f>
        <v>입력오류</v>
      </c>
      <c r="BH232" s="23" t="str">
        <f ca="1">_xll.IMDP("BND",AX232,BH8,AX3)</f>
        <v>입력오류</v>
      </c>
      <c r="BI232" s="2">
        <v>46198</v>
      </c>
      <c r="BJ232" s="3" t="s">
        <v>1630</v>
      </c>
      <c r="BK232" s="3" t="s">
        <v>148</v>
      </c>
      <c r="BL232" s="3" t="s">
        <v>1631</v>
      </c>
      <c r="BM232" s="3">
        <v>0</v>
      </c>
      <c r="BN232" s="3">
        <v>0.05</v>
      </c>
      <c r="BO232" s="3">
        <v>0</v>
      </c>
      <c r="BP232" s="3">
        <v>57663</v>
      </c>
      <c r="BQ232" s="3">
        <v>9891.2999999999993</v>
      </c>
      <c r="BR232" s="3">
        <v>1.3003</v>
      </c>
      <c r="BS232" s="21">
        <f ca="1">_xll.IMDP("BND",BJ232,BS8,BJ3)</f>
        <v>20271027</v>
      </c>
      <c r="BT232" s="23">
        <f ca="1">_xll.IMDP("BND",BJ232,BT8,BJ3)</f>
        <v>3.9929999999999999</v>
      </c>
      <c r="BU232" s="2"/>
      <c r="CE232" s="21" t="str">
        <f ca="1">_xll.IMDP("BND",BV232,CE8,BV3)</f>
        <v>입력오류</v>
      </c>
      <c r="CF232" s="23" t="str">
        <f ca="1">_xll.IMDP("BND",BV232,CF8,BV3)</f>
        <v>입력오류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">
        <v>46198</v>
      </c>
      <c r="CT232" s="3" t="s">
        <v>2595</v>
      </c>
      <c r="CU232" s="3" t="s">
        <v>2481</v>
      </c>
      <c r="CV232" s="3" t="s">
        <v>2596</v>
      </c>
      <c r="CW232" s="3">
        <v>0</v>
      </c>
      <c r="CX232" s="3">
        <v>0.16</v>
      </c>
      <c r="CY232" s="3">
        <v>0</v>
      </c>
      <c r="CZ232" s="3">
        <v>229523</v>
      </c>
      <c r="DC232" s="21" t="str">
        <f ca="1">_xll.IMDP("BND",CT232,DC8,CT3)</f>
        <v/>
      </c>
      <c r="DD232" s="23" t="str">
        <f ca="1">_xll.IMDP("BND",CT232,DD8,CT3)</f>
        <v/>
      </c>
      <c r="DE232" s="2"/>
      <c r="DO232" s="21" t="str">
        <f ca="1">_xll.IMDP("BND",DF232,DO8,DF3)</f>
        <v>입력오류</v>
      </c>
      <c r="DP232" s="23" t="str">
        <f ca="1">_xll.IMDP("BND",DF232,DP8,DF3)</f>
        <v>입력오류</v>
      </c>
      <c r="DQ232" s="2"/>
      <c r="EA232" s="21" t="str">
        <f ca="1">_xll.IMDP("BND",DR232,EA8,DR3)</f>
        <v>입력오류</v>
      </c>
      <c r="EB232" s="23" t="str">
        <f ca="1">_xll.IMDP("BND",DR232,EB8,DR3)</f>
        <v>입력오류</v>
      </c>
    </row>
    <row r="233" spans="1:132" ht="13.5" customHeight="1" x14ac:dyDescent="0.3">
      <c r="A233" s="2">
        <v>46198</v>
      </c>
      <c r="B233" s="3" t="s">
        <v>2020</v>
      </c>
      <c r="C233" s="3" t="s">
        <v>2021</v>
      </c>
      <c r="D233" s="3" t="s">
        <v>2022</v>
      </c>
      <c r="E233" s="3">
        <v>0</v>
      </c>
      <c r="F233" s="3">
        <v>0.22</v>
      </c>
      <c r="G233" s="3">
        <v>0</v>
      </c>
      <c r="H233" s="3">
        <v>248557</v>
      </c>
      <c r="I233" s="3">
        <v>9361.52</v>
      </c>
      <c r="J233" s="3">
        <v>3.1476999999999999</v>
      </c>
      <c r="K233" s="21">
        <f ca="1">_xll.IMDP("BND",B233,K8,B3)</f>
        <v>20291014</v>
      </c>
      <c r="L233" s="23">
        <f ca="1">_xll.IMDP("BND",B233,L8,B3)</f>
        <v>4.3339999999999996</v>
      </c>
      <c r="M233" s="2"/>
      <c r="W233" s="21" t="str">
        <f ca="1">_xll.IMDP("BND",N233,W8,N3)</f>
        <v>입력오류</v>
      </c>
      <c r="X233" s="23" t="str">
        <f ca="1">_xll.IMDP("BND",N233,X8,N3)</f>
        <v>입력오류</v>
      </c>
      <c r="Y233" s="2"/>
      <c r="AI233" s="21" t="str">
        <f ca="1">_xll.IMDP("BND",Z233,AI8,Z3)</f>
        <v>입력오류</v>
      </c>
      <c r="AJ233" s="23" t="str">
        <f ca="1">_xll.IMDP("BND",Z233,AJ8,Z3)</f>
        <v>입력오류</v>
      </c>
      <c r="AK233" s="2"/>
      <c r="AU233" s="21" t="str">
        <f ca="1">_xll.IMDP("BND",AL233,AU8,AL3)</f>
        <v>입력오류</v>
      </c>
      <c r="AV233" s="23" t="str">
        <f ca="1">_xll.IMDP("BND",AL233,AV8,AL3)</f>
        <v>입력오류</v>
      </c>
      <c r="AW233" s="2"/>
      <c r="BG233" s="21" t="str">
        <f ca="1">_xll.IMDP("BND",AX233,BG8,AX3)</f>
        <v>입력오류</v>
      </c>
      <c r="BH233" s="23" t="str">
        <f ca="1">_xll.IMDP("BND",AX233,BH8,AX3)</f>
        <v>입력오류</v>
      </c>
      <c r="BI233" s="2">
        <v>46198</v>
      </c>
      <c r="BJ233" s="3" t="s">
        <v>1632</v>
      </c>
      <c r="BK233" s="3" t="s">
        <v>408</v>
      </c>
      <c r="BL233" s="3" t="s">
        <v>1633</v>
      </c>
      <c r="BM233" s="3">
        <v>0</v>
      </c>
      <c r="BN233" s="3">
        <v>0.05</v>
      </c>
      <c r="BO233" s="3">
        <v>0</v>
      </c>
      <c r="BP233" s="3">
        <v>57658</v>
      </c>
      <c r="BQ233" s="3">
        <v>9889.82</v>
      </c>
      <c r="BR233" s="3">
        <v>1.3372999999999999</v>
      </c>
      <c r="BS233" s="21">
        <f ca="1">_xll.IMDP("BND",BJ233,BS8,BJ3)</f>
        <v>20271110</v>
      </c>
      <c r="BT233" s="23">
        <f ca="1">_xll.IMDP("BND",BJ233,BT8,BJ3)</f>
        <v>3.9319999999999999</v>
      </c>
      <c r="BU233" s="2"/>
      <c r="CE233" s="21" t="str">
        <f ca="1">_xll.IMDP("BND",BV233,CE8,BV3)</f>
        <v>입력오류</v>
      </c>
      <c r="CF233" s="23" t="str">
        <f ca="1">_xll.IMDP("BND",BV233,CF8,BV3)</f>
        <v>입력오류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">
        <v>46198</v>
      </c>
      <c r="CT233" s="3" t="s">
        <v>2597</v>
      </c>
      <c r="CU233" s="3" t="s">
        <v>363</v>
      </c>
      <c r="CV233" s="3" t="s">
        <v>2598</v>
      </c>
      <c r="CW233" s="3">
        <v>0</v>
      </c>
      <c r="CX233" s="3">
        <v>0.16</v>
      </c>
      <c r="CY233" s="3">
        <v>0</v>
      </c>
      <c r="CZ233" s="3">
        <v>229216</v>
      </c>
      <c r="DC233" s="21" t="str">
        <f ca="1">_xll.IMDP("BND",CT233,DC8,CT3)</f>
        <v/>
      </c>
      <c r="DD233" s="23" t="str">
        <f ca="1">_xll.IMDP("BND",CT233,DD8,CT3)</f>
        <v/>
      </c>
      <c r="DE233" s="2"/>
      <c r="DO233" s="21" t="str">
        <f ca="1">_xll.IMDP("BND",DF233,DO8,DF3)</f>
        <v>입력오류</v>
      </c>
      <c r="DP233" s="23" t="str">
        <f ca="1">_xll.IMDP("BND",DF233,DP8,DF3)</f>
        <v>입력오류</v>
      </c>
      <c r="DQ233" s="2"/>
      <c r="EA233" s="21" t="str">
        <f ca="1">_xll.IMDP("BND",DR233,EA8,DR3)</f>
        <v>입력오류</v>
      </c>
      <c r="EB233" s="23" t="str">
        <f ca="1">_xll.IMDP("BND",DR233,EB8,DR3)</f>
        <v>입력오류</v>
      </c>
    </row>
    <row r="234" spans="1:132" ht="13.5" customHeight="1" x14ac:dyDescent="0.3">
      <c r="A234" s="2">
        <v>46198</v>
      </c>
      <c r="B234" s="3" t="s">
        <v>2023</v>
      </c>
      <c r="C234" s="3" t="s">
        <v>1281</v>
      </c>
      <c r="D234" s="3" t="s">
        <v>2024</v>
      </c>
      <c r="E234" s="3">
        <v>0</v>
      </c>
      <c r="F234" s="3">
        <v>0.22</v>
      </c>
      <c r="G234" s="3">
        <v>0</v>
      </c>
      <c r="H234" s="3">
        <v>248449</v>
      </c>
      <c r="I234" s="3">
        <v>9356.36</v>
      </c>
      <c r="J234" s="3">
        <v>3.3062</v>
      </c>
      <c r="K234" s="21">
        <f ca="1">_xll.IMDP("BND",B234,K8,B3)</f>
        <v>20291130</v>
      </c>
      <c r="L234" s="23">
        <f ca="1">_xll.IMDP("BND",B234,L8,B3)</f>
        <v>3.887</v>
      </c>
      <c r="M234" s="2"/>
      <c r="W234" s="21" t="str">
        <f ca="1">_xll.IMDP("BND",N234,W8,N3)</f>
        <v>입력오류</v>
      </c>
      <c r="X234" s="23" t="str">
        <f ca="1">_xll.IMDP("BND",N234,X8,N3)</f>
        <v>입력오류</v>
      </c>
      <c r="Y234" s="2"/>
      <c r="AI234" s="21" t="str">
        <f ca="1">_xll.IMDP("BND",Z234,AI8,Z3)</f>
        <v>입력오류</v>
      </c>
      <c r="AJ234" s="23" t="str">
        <f ca="1">_xll.IMDP("BND",Z234,AJ8,Z3)</f>
        <v>입력오류</v>
      </c>
      <c r="AK234" s="2"/>
      <c r="AU234" s="21" t="str">
        <f ca="1">_xll.IMDP("BND",AL234,AU8,AL3)</f>
        <v>입력오류</v>
      </c>
      <c r="AV234" s="23" t="str">
        <f ca="1">_xll.IMDP("BND",AL234,AV8,AL3)</f>
        <v>입력오류</v>
      </c>
      <c r="AW234" s="2"/>
      <c r="BG234" s="21" t="str">
        <f ca="1">_xll.IMDP("BND",AX234,BG8,AX3)</f>
        <v>입력오류</v>
      </c>
      <c r="BH234" s="23" t="str">
        <f ca="1">_xll.IMDP("BND",AX234,BH8,AX3)</f>
        <v>입력오류</v>
      </c>
      <c r="BI234" s="2">
        <v>46198</v>
      </c>
      <c r="BJ234" s="3" t="s">
        <v>1634</v>
      </c>
      <c r="BK234" s="3" t="s">
        <v>1635</v>
      </c>
      <c r="BL234" s="3" t="s">
        <v>1636</v>
      </c>
      <c r="BM234" s="3">
        <v>0</v>
      </c>
      <c r="BN234" s="3">
        <v>0.05</v>
      </c>
      <c r="BO234" s="3">
        <v>0</v>
      </c>
      <c r="BP234" s="3">
        <v>57605</v>
      </c>
      <c r="BQ234" s="3">
        <v>9882.3700000000008</v>
      </c>
      <c r="BR234" s="3">
        <v>1.524</v>
      </c>
      <c r="BS234" s="21">
        <f ca="1">_xll.IMDP("BND",BJ234,BS8,BJ3)</f>
        <v>20280123</v>
      </c>
      <c r="BT234" s="23">
        <f ca="1">_xll.IMDP("BND",BJ234,BT8,BJ3)</f>
        <v>4.1379999999999999</v>
      </c>
      <c r="BU234" s="2"/>
      <c r="CE234" s="21" t="str">
        <f ca="1">_xll.IMDP("BND",BV234,CE8,BV3)</f>
        <v>입력오류</v>
      </c>
      <c r="CF234" s="23" t="str">
        <f ca="1">_xll.IMDP("BND",BV234,CF8,BV3)</f>
        <v>입력오류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">
        <v>46198</v>
      </c>
      <c r="CT234" s="3" t="s">
        <v>2599</v>
      </c>
      <c r="CU234" s="3" t="s">
        <v>2600</v>
      </c>
      <c r="CV234" s="3" t="s">
        <v>2601</v>
      </c>
      <c r="CW234" s="3">
        <v>0</v>
      </c>
      <c r="CX234" s="3">
        <v>0.16</v>
      </c>
      <c r="CY234" s="3">
        <v>0</v>
      </c>
      <c r="CZ234" s="3">
        <v>229216</v>
      </c>
      <c r="DC234" s="21" t="str">
        <f ca="1">_xll.IMDP("BND",CT234,DC8,CT3)</f>
        <v/>
      </c>
      <c r="DD234" s="23" t="str">
        <f ca="1">_xll.IMDP("BND",CT234,DD8,CT3)</f>
        <v/>
      </c>
      <c r="DE234" s="2"/>
      <c r="DO234" s="21" t="str">
        <f ca="1">_xll.IMDP("BND",DF234,DO8,DF3)</f>
        <v>입력오류</v>
      </c>
      <c r="DP234" s="23" t="str">
        <f ca="1">_xll.IMDP("BND",DF234,DP8,DF3)</f>
        <v>입력오류</v>
      </c>
      <c r="DQ234" s="2"/>
      <c r="EA234" s="21" t="str">
        <f ca="1">_xll.IMDP("BND",DR234,EA8,DR3)</f>
        <v>입력오류</v>
      </c>
      <c r="EB234" s="23" t="str">
        <f ca="1">_xll.IMDP("BND",DR234,EB8,DR3)</f>
        <v>입력오류</v>
      </c>
    </row>
    <row r="235" spans="1:132" ht="13.5" customHeight="1" x14ac:dyDescent="0.3">
      <c r="A235" s="2">
        <v>46198</v>
      </c>
      <c r="B235" s="3" t="s">
        <v>2025</v>
      </c>
      <c r="C235" s="3" t="s">
        <v>518</v>
      </c>
      <c r="D235" s="3" t="s">
        <v>2026</v>
      </c>
      <c r="E235" s="3">
        <v>0</v>
      </c>
      <c r="F235" s="3">
        <v>0.22</v>
      </c>
      <c r="G235" s="3">
        <v>0</v>
      </c>
      <c r="H235" s="3">
        <v>247283</v>
      </c>
      <c r="I235" s="3">
        <v>9313.76</v>
      </c>
      <c r="J235" s="3">
        <v>12.1279</v>
      </c>
      <c r="K235" s="21">
        <f ca="1">_xll.IMDP("BND",B235,K8,B3)</f>
        <v>20430608</v>
      </c>
      <c r="L235" s="23">
        <f ca="1">_xll.IMDP("BND",B235,L8,B3)</f>
        <v>4.444</v>
      </c>
      <c r="M235" s="2"/>
      <c r="W235" s="21" t="str">
        <f ca="1">_xll.IMDP("BND",N235,W8,N3)</f>
        <v>입력오류</v>
      </c>
      <c r="X235" s="23" t="str">
        <f ca="1">_xll.IMDP("BND",N235,X8,N3)</f>
        <v>입력오류</v>
      </c>
      <c r="Y235" s="2"/>
      <c r="AI235" s="21" t="str">
        <f ca="1">_xll.IMDP("BND",Z235,AI8,Z3)</f>
        <v>입력오류</v>
      </c>
      <c r="AJ235" s="23" t="str">
        <f ca="1">_xll.IMDP("BND",Z235,AJ8,Z3)</f>
        <v>입력오류</v>
      </c>
      <c r="AK235" s="2"/>
      <c r="AU235" s="21" t="str">
        <f ca="1">_xll.IMDP("BND",AL235,AU8,AL3)</f>
        <v>입력오류</v>
      </c>
      <c r="AV235" s="23" t="str">
        <f ca="1">_xll.IMDP("BND",AL235,AV8,AL3)</f>
        <v>입력오류</v>
      </c>
      <c r="AW235" s="2"/>
      <c r="BG235" s="21" t="str">
        <f ca="1">_xll.IMDP("BND",AX235,BG8,AX3)</f>
        <v>입력오류</v>
      </c>
      <c r="BH235" s="23" t="str">
        <f ca="1">_xll.IMDP("BND",AX235,BH8,AX3)</f>
        <v>입력오류</v>
      </c>
      <c r="BI235" s="2">
        <v>46198</v>
      </c>
      <c r="BJ235" s="3" t="s">
        <v>1637</v>
      </c>
      <c r="BK235" s="3" t="s">
        <v>1056</v>
      </c>
      <c r="BL235" s="3" t="s">
        <v>1638</v>
      </c>
      <c r="BM235" s="3">
        <v>0</v>
      </c>
      <c r="BN235" s="3">
        <v>0.05</v>
      </c>
      <c r="BO235" s="3">
        <v>0</v>
      </c>
      <c r="BP235" s="3">
        <v>57575</v>
      </c>
      <c r="BQ235" s="3">
        <v>9876.33</v>
      </c>
      <c r="BR235" s="3">
        <v>1.1382000000000001</v>
      </c>
      <c r="BS235" s="21">
        <f ca="1">_xll.IMDP("BND",BJ235,BS8,BJ3)</f>
        <v>20270825</v>
      </c>
      <c r="BT235" s="23">
        <f ca="1">_xll.IMDP("BND",BJ235,BT8,BJ3)</f>
        <v>4.077</v>
      </c>
      <c r="BU235" s="2"/>
      <c r="CE235" s="21" t="str">
        <f ca="1">_xll.IMDP("BND",BV235,CE8,BV3)</f>
        <v>입력오류</v>
      </c>
      <c r="CF235" s="23" t="str">
        <f ca="1">_xll.IMDP("BND",BV235,CF8,BV3)</f>
        <v>입력오류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">
        <v>46198</v>
      </c>
      <c r="CT235" s="3" t="s">
        <v>2604</v>
      </c>
      <c r="CU235" s="3" t="s">
        <v>2600</v>
      </c>
      <c r="CV235" s="3" t="s">
        <v>2605</v>
      </c>
      <c r="CW235" s="3">
        <v>0</v>
      </c>
      <c r="CX235" s="3">
        <v>0.16</v>
      </c>
      <c r="CY235" s="3">
        <v>0</v>
      </c>
      <c r="CZ235" s="3">
        <v>229216</v>
      </c>
      <c r="DC235" s="21" t="str">
        <f ca="1">_xll.IMDP("BND",CT235,DC8,CT3)</f>
        <v/>
      </c>
      <c r="DD235" s="23" t="str">
        <f ca="1">_xll.IMDP("BND",CT235,DD8,CT3)</f>
        <v/>
      </c>
      <c r="DE235" s="2"/>
      <c r="DO235" s="21" t="str">
        <f ca="1">_xll.IMDP("BND",DF235,DO8,DF3)</f>
        <v>입력오류</v>
      </c>
      <c r="DP235" s="23" t="str">
        <f ca="1">_xll.IMDP("BND",DF235,DP8,DF3)</f>
        <v>입력오류</v>
      </c>
      <c r="DQ235" s="2"/>
      <c r="EA235" s="21" t="str">
        <f ca="1">_xll.IMDP("BND",DR235,EA8,DR3)</f>
        <v>입력오류</v>
      </c>
      <c r="EB235" s="23" t="str">
        <f ca="1">_xll.IMDP("BND",DR235,EB8,DR3)</f>
        <v>입력오류</v>
      </c>
    </row>
    <row r="236" spans="1:132" ht="13.5" customHeight="1" x14ac:dyDescent="0.3">
      <c r="A236" s="2">
        <v>46198</v>
      </c>
      <c r="B236" s="3" t="s">
        <v>2029</v>
      </c>
      <c r="C236" s="3" t="s">
        <v>1896</v>
      </c>
      <c r="D236" s="3" t="s">
        <v>2030</v>
      </c>
      <c r="E236" s="3">
        <v>0</v>
      </c>
      <c r="F236" s="3">
        <v>0.22</v>
      </c>
      <c r="G236" s="3">
        <v>0</v>
      </c>
      <c r="H236" s="3">
        <v>242915</v>
      </c>
      <c r="I236" s="3">
        <v>9077.6299999999992</v>
      </c>
      <c r="J236" s="3">
        <v>7.5145999999999997</v>
      </c>
      <c r="K236" s="21">
        <f ca="1">_xll.IMDP("BND",B236,K8,B3)</f>
        <v>20350323</v>
      </c>
      <c r="L236" s="23">
        <f ca="1">_xll.IMDP("BND",B236,L8,B3)</f>
        <v>4.2770000000000001</v>
      </c>
      <c r="M236" s="2"/>
      <c r="W236" s="21" t="str">
        <f ca="1">_xll.IMDP("BND",N236,W8,N3)</f>
        <v>입력오류</v>
      </c>
      <c r="X236" s="23" t="str">
        <f ca="1">_xll.IMDP("BND",N236,X8,N3)</f>
        <v>입력오류</v>
      </c>
      <c r="Y236" s="2"/>
      <c r="AI236" s="21" t="str">
        <f ca="1">_xll.IMDP("BND",Z236,AI8,Z3)</f>
        <v>입력오류</v>
      </c>
      <c r="AJ236" s="23" t="str">
        <f ca="1">_xll.IMDP("BND",Z236,AJ8,Z3)</f>
        <v>입력오류</v>
      </c>
      <c r="AK236" s="2"/>
      <c r="AU236" s="21" t="str">
        <f ca="1">_xll.IMDP("BND",AL236,AU8,AL3)</f>
        <v>입력오류</v>
      </c>
      <c r="AV236" s="23" t="str">
        <f ca="1">_xll.IMDP("BND",AL236,AV8,AL3)</f>
        <v>입력오류</v>
      </c>
      <c r="AW236" s="2"/>
      <c r="BG236" s="21" t="str">
        <f ca="1">_xll.IMDP("BND",AX236,BG8,AX3)</f>
        <v>입력오류</v>
      </c>
      <c r="BH236" s="23" t="str">
        <f ca="1">_xll.IMDP("BND",AX236,BH8,AX3)</f>
        <v>입력오류</v>
      </c>
      <c r="BI236" s="2">
        <v>46198</v>
      </c>
      <c r="BJ236" s="3" t="s">
        <v>1639</v>
      </c>
      <c r="BK236" s="3" t="s">
        <v>1640</v>
      </c>
      <c r="BL236" s="3" t="s">
        <v>1641</v>
      </c>
      <c r="BM236" s="3">
        <v>0</v>
      </c>
      <c r="BN236" s="3">
        <v>0.05</v>
      </c>
      <c r="BO236" s="3">
        <v>0</v>
      </c>
      <c r="BP236" s="3">
        <v>57482</v>
      </c>
      <c r="BQ236" s="3">
        <v>9860.61</v>
      </c>
      <c r="BR236" s="3">
        <v>1.5731999999999999</v>
      </c>
      <c r="BS236" s="21">
        <f ca="1">_xll.IMDP("BND",BJ236,BS8,BJ3)</f>
        <v>20280209</v>
      </c>
      <c r="BT236" s="23">
        <f ca="1">_xll.IMDP("BND",BJ236,BT8,BJ3)</f>
        <v>4.194</v>
      </c>
      <c r="BU236" s="2"/>
      <c r="CE236" s="21" t="str">
        <f ca="1">_xll.IMDP("BND",BV236,CE8,BV3)</f>
        <v>입력오류</v>
      </c>
      <c r="CF236" s="23" t="str">
        <f ca="1">_xll.IMDP("BND",BV236,CF8,BV3)</f>
        <v>입력오류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">
        <v>46198</v>
      </c>
      <c r="CT236" s="3" t="s">
        <v>2602</v>
      </c>
      <c r="CU236" s="3" t="s">
        <v>363</v>
      </c>
      <c r="CV236" s="3" t="s">
        <v>2603</v>
      </c>
      <c r="CW236" s="3">
        <v>0</v>
      </c>
      <c r="CX236" s="3">
        <v>0.16</v>
      </c>
      <c r="CY236" s="3">
        <v>0</v>
      </c>
      <c r="CZ236" s="3">
        <v>229216</v>
      </c>
      <c r="DC236" s="21" t="str">
        <f ca="1">_xll.IMDP("BND",CT236,DC8,CT3)</f>
        <v/>
      </c>
      <c r="DD236" s="23" t="str">
        <f ca="1">_xll.IMDP("BND",CT236,DD8,CT3)</f>
        <v/>
      </c>
      <c r="DE236" s="2"/>
      <c r="DO236" s="21" t="str">
        <f ca="1">_xll.IMDP("BND",DF236,DO8,DF3)</f>
        <v>입력오류</v>
      </c>
      <c r="DP236" s="23" t="str">
        <f ca="1">_xll.IMDP("BND",DF236,DP8,DF3)</f>
        <v>입력오류</v>
      </c>
      <c r="DQ236" s="2"/>
      <c r="EA236" s="21" t="str">
        <f ca="1">_xll.IMDP("BND",DR236,EA8,DR3)</f>
        <v>입력오류</v>
      </c>
      <c r="EB236" s="23" t="str">
        <f ca="1">_xll.IMDP("BND",DR236,EB8,DR3)</f>
        <v>입력오류</v>
      </c>
    </row>
    <row r="237" spans="1:132" ht="13.5" customHeight="1" x14ac:dyDescent="0.3">
      <c r="A237" s="2">
        <v>46198</v>
      </c>
      <c r="B237" s="3" t="s">
        <v>2031</v>
      </c>
      <c r="C237" s="3" t="s">
        <v>200</v>
      </c>
      <c r="D237" s="3" t="s">
        <v>2032</v>
      </c>
      <c r="E237" s="3">
        <v>0</v>
      </c>
      <c r="F237" s="3">
        <v>0.22</v>
      </c>
      <c r="G237" s="3">
        <v>0</v>
      </c>
      <c r="H237" s="3">
        <v>240819</v>
      </c>
      <c r="I237" s="3">
        <v>9069.1</v>
      </c>
      <c r="J237" s="3">
        <v>4.6517999999999997</v>
      </c>
      <c r="K237" s="21">
        <f ca="1">_xll.IMDP("BND",B237,K8,B3)</f>
        <v>20310616</v>
      </c>
      <c r="L237" s="23">
        <f ca="1">_xll.IMDP("BND",B237,L8,B3)</f>
        <v>4.3609999999999998</v>
      </c>
      <c r="M237" s="2"/>
      <c r="W237" s="21" t="str">
        <f ca="1">_xll.IMDP("BND",N237,W8,N3)</f>
        <v>입력오류</v>
      </c>
      <c r="X237" s="23" t="str">
        <f ca="1">_xll.IMDP("BND",N237,X8,N3)</f>
        <v>입력오류</v>
      </c>
      <c r="Y237" s="2"/>
      <c r="AI237" s="21" t="str">
        <f ca="1">_xll.IMDP("BND",Z237,AI8,Z3)</f>
        <v>입력오류</v>
      </c>
      <c r="AJ237" s="23" t="str">
        <f ca="1">_xll.IMDP("BND",Z237,AJ8,Z3)</f>
        <v>입력오류</v>
      </c>
      <c r="AK237" s="2"/>
      <c r="AU237" s="21" t="str">
        <f ca="1">_xll.IMDP("BND",AL237,AU8,AL3)</f>
        <v>입력오류</v>
      </c>
      <c r="AV237" s="23" t="str">
        <f ca="1">_xll.IMDP("BND",AL237,AV8,AL3)</f>
        <v>입력오류</v>
      </c>
      <c r="AW237" s="2"/>
      <c r="BG237" s="21" t="str">
        <f ca="1">_xll.IMDP("BND",AX237,BG8,AX3)</f>
        <v>입력오류</v>
      </c>
      <c r="BH237" s="23" t="str">
        <f ca="1">_xll.IMDP("BND",AX237,BH8,AX3)</f>
        <v>입력오류</v>
      </c>
      <c r="BI237" s="2">
        <v>46198</v>
      </c>
      <c r="BJ237" s="3" t="s">
        <v>1642</v>
      </c>
      <c r="BK237" s="3" t="s">
        <v>1432</v>
      </c>
      <c r="BL237" s="3" t="s">
        <v>1643</v>
      </c>
      <c r="BM237" s="3">
        <v>0</v>
      </c>
      <c r="BN237" s="3">
        <v>0.05</v>
      </c>
      <c r="BO237" s="3">
        <v>0</v>
      </c>
      <c r="BP237" s="3">
        <v>57466</v>
      </c>
      <c r="BQ237" s="3">
        <v>9858.07</v>
      </c>
      <c r="BR237" s="3">
        <v>1.0837000000000001</v>
      </c>
      <c r="BS237" s="21">
        <f ca="1">_xll.IMDP("BND",BJ237,BS8,BJ3)</f>
        <v>20270804</v>
      </c>
      <c r="BT237" s="23">
        <f ca="1">_xll.IMDP("BND",BJ237,BT8,BJ3)</f>
        <v>4.3179999999999996</v>
      </c>
      <c r="BU237" s="2"/>
      <c r="CE237" s="21" t="str">
        <f ca="1">_xll.IMDP("BND",BV237,CE8,BV3)</f>
        <v>입력오류</v>
      </c>
      <c r="CF237" s="23" t="str">
        <f ca="1">_xll.IMDP("BND",BV237,CF8,BV3)</f>
        <v>입력오류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">
        <v>46198</v>
      </c>
      <c r="CT237" s="3" t="s">
        <v>2606</v>
      </c>
      <c r="CU237" s="3" t="s">
        <v>2227</v>
      </c>
      <c r="CV237" s="3" t="s">
        <v>2607</v>
      </c>
      <c r="CW237" s="3">
        <v>0</v>
      </c>
      <c r="CX237" s="3">
        <v>0.15</v>
      </c>
      <c r="CY237" s="3">
        <v>0</v>
      </c>
      <c r="CZ237" s="3">
        <v>217486</v>
      </c>
      <c r="DA237" s="3">
        <v>9313.84</v>
      </c>
      <c r="DB237" s="3">
        <v>3.1223999999999998</v>
      </c>
      <c r="DC237" s="21">
        <f ca="1">_xll.IMDP("BND",CT237,DC8,CT3)</f>
        <v>20290924</v>
      </c>
      <c r="DD237" s="23">
        <f ca="1">_xll.IMDP("BND",CT237,DD8,CT3)</f>
        <v>4.1710000000000003</v>
      </c>
      <c r="DE237" s="2"/>
      <c r="DO237" s="21" t="str">
        <f ca="1">_xll.IMDP("BND",DF237,DO8,DF3)</f>
        <v>입력오류</v>
      </c>
      <c r="DP237" s="23" t="str">
        <f ca="1">_xll.IMDP("BND",DF237,DP8,DF3)</f>
        <v>입력오류</v>
      </c>
      <c r="DQ237" s="2"/>
      <c r="EA237" s="21" t="str">
        <f ca="1">_xll.IMDP("BND",DR237,EA8,DR3)</f>
        <v>입력오류</v>
      </c>
      <c r="EB237" s="23" t="str">
        <f ca="1">_xll.IMDP("BND",DR237,EB8,DR3)</f>
        <v>입력오류</v>
      </c>
    </row>
    <row r="238" spans="1:132" ht="13.5" customHeight="1" x14ac:dyDescent="0.3">
      <c r="A238" s="2">
        <v>46198</v>
      </c>
      <c r="B238" s="3" t="s">
        <v>2033</v>
      </c>
      <c r="C238" s="3" t="s">
        <v>2034</v>
      </c>
      <c r="D238" s="3" t="s">
        <v>2035</v>
      </c>
      <c r="E238" s="3">
        <v>0</v>
      </c>
      <c r="F238" s="3">
        <v>0.22</v>
      </c>
      <c r="G238" s="3">
        <v>0</v>
      </c>
      <c r="H238" s="3">
        <v>240579</v>
      </c>
      <c r="I238" s="3">
        <v>10066.89</v>
      </c>
      <c r="J238" s="3">
        <v>0.28029999999999999</v>
      </c>
      <c r="K238" s="21">
        <f ca="1">_xll.IMDP("BND",B238,K8,B3)</f>
        <v>20261007</v>
      </c>
      <c r="L238" s="23">
        <f ca="1">_xll.IMDP("BND",B238,L8,B3)</f>
        <v>3.1869999999999998</v>
      </c>
      <c r="M238" s="2"/>
      <c r="W238" s="21" t="str">
        <f ca="1">_xll.IMDP("BND",N238,W8,N3)</f>
        <v>입력오류</v>
      </c>
      <c r="X238" s="23" t="str">
        <f ca="1">_xll.IMDP("BND",N238,X8,N3)</f>
        <v>입력오류</v>
      </c>
      <c r="Y238" s="2"/>
      <c r="AI238" s="21" t="str">
        <f ca="1">_xll.IMDP("BND",Z238,AI8,Z3)</f>
        <v>입력오류</v>
      </c>
      <c r="AJ238" s="23" t="str">
        <f ca="1">_xll.IMDP("BND",Z238,AJ8,Z3)</f>
        <v>입력오류</v>
      </c>
      <c r="AK238" s="2"/>
      <c r="AU238" s="21" t="str">
        <f ca="1">_xll.IMDP("BND",AL238,AU8,AL3)</f>
        <v>입력오류</v>
      </c>
      <c r="AV238" s="23" t="str">
        <f ca="1">_xll.IMDP("BND",AL238,AV8,AL3)</f>
        <v>입력오류</v>
      </c>
      <c r="AW238" s="2"/>
      <c r="BG238" s="21" t="str">
        <f ca="1">_xll.IMDP("BND",AX238,BG8,AX3)</f>
        <v>입력오류</v>
      </c>
      <c r="BH238" s="23" t="str">
        <f ca="1">_xll.IMDP("BND",AX238,BH8,AX3)</f>
        <v>입력오류</v>
      </c>
      <c r="BI238" s="2">
        <v>46198</v>
      </c>
      <c r="BJ238" s="3" t="s">
        <v>1644</v>
      </c>
      <c r="BK238" s="3" t="s">
        <v>1645</v>
      </c>
      <c r="BL238" s="3" t="s">
        <v>1646</v>
      </c>
      <c r="BM238" s="3">
        <v>0</v>
      </c>
      <c r="BN238" s="3">
        <v>0.05</v>
      </c>
      <c r="BO238" s="3">
        <v>0</v>
      </c>
      <c r="BP238" s="3">
        <v>57422</v>
      </c>
      <c r="BQ238" s="3">
        <v>9850.19</v>
      </c>
      <c r="BR238" s="3">
        <v>1.4461999999999999</v>
      </c>
      <c r="BS238" s="21">
        <f ca="1">_xll.IMDP("BND",BJ238,BS8,BJ3)</f>
        <v>20271223</v>
      </c>
      <c r="BT238" s="23">
        <f ca="1">_xll.IMDP("BND",BJ238,BT8,BJ3)</f>
        <v>4.258</v>
      </c>
      <c r="BU238" s="2"/>
      <c r="CE238" s="21" t="str">
        <f ca="1">_xll.IMDP("BND",BV238,CE8,BV3)</f>
        <v>입력오류</v>
      </c>
      <c r="CF238" s="23" t="str">
        <f ca="1">_xll.IMDP("BND",BV238,CF8,BV3)</f>
        <v>입력오류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">
        <v>46198</v>
      </c>
      <c r="CT238" s="3" t="s">
        <v>2608</v>
      </c>
      <c r="CU238" s="3" t="s">
        <v>131</v>
      </c>
      <c r="CV238" s="3" t="s">
        <v>2609</v>
      </c>
      <c r="CW238" s="3">
        <v>0</v>
      </c>
      <c r="CX238" s="3">
        <v>0.14000000000000001</v>
      </c>
      <c r="CY238" s="3">
        <v>0</v>
      </c>
      <c r="CZ238" s="3">
        <v>206584</v>
      </c>
      <c r="DA238" s="3">
        <v>8847.74</v>
      </c>
      <c r="DB238" s="3">
        <v>3.0926999999999998</v>
      </c>
      <c r="DC238" s="21">
        <f ca="1">_xll.IMDP("BND",CT238,DC8,CT3)</f>
        <v>20290910</v>
      </c>
      <c r="DD238" s="23">
        <f ca="1">_xll.IMDP("BND",CT238,DD8,CT3)</f>
        <v>3.8820000000000001</v>
      </c>
      <c r="DE238" s="2"/>
      <c r="DO238" s="21" t="str">
        <f ca="1">_xll.IMDP("BND",DF238,DO8,DF3)</f>
        <v>입력오류</v>
      </c>
      <c r="DP238" s="23" t="str">
        <f ca="1">_xll.IMDP("BND",DF238,DP8,DF3)</f>
        <v>입력오류</v>
      </c>
      <c r="DQ238" s="2"/>
      <c r="EA238" s="21" t="str">
        <f ca="1">_xll.IMDP("BND",DR238,EA8,DR3)</f>
        <v>입력오류</v>
      </c>
      <c r="EB238" s="23" t="str">
        <f ca="1">_xll.IMDP("BND",DR238,EB8,DR3)</f>
        <v>입력오류</v>
      </c>
    </row>
    <row r="239" spans="1:132" ht="13.5" customHeight="1" x14ac:dyDescent="0.3">
      <c r="A239" s="2">
        <v>46198</v>
      </c>
      <c r="B239" s="3" t="s">
        <v>2039</v>
      </c>
      <c r="C239" s="3" t="s">
        <v>1385</v>
      </c>
      <c r="D239" s="3" t="s">
        <v>2040</v>
      </c>
      <c r="E239" s="3">
        <v>0</v>
      </c>
      <c r="F239" s="3">
        <v>0.22</v>
      </c>
      <c r="G239" s="3">
        <v>0</v>
      </c>
      <c r="H239" s="3">
        <v>240173</v>
      </c>
      <c r="I239" s="3">
        <v>10049.9</v>
      </c>
      <c r="J239" s="3">
        <v>0.26800000000000002</v>
      </c>
      <c r="K239" s="21">
        <f ca="1">_xll.IMDP("BND",B239,K8,B3)</f>
        <v>20261002</v>
      </c>
      <c r="L239" s="23">
        <f ca="1">_xll.IMDP("BND",B239,L8,B3)</f>
        <v>3.2429999999999999</v>
      </c>
      <c r="M239" s="2"/>
      <c r="W239" s="21" t="str">
        <f ca="1">_xll.IMDP("BND",N239,W8,N3)</f>
        <v>입력오류</v>
      </c>
      <c r="X239" s="23" t="str">
        <f ca="1">_xll.IMDP("BND",N239,X8,N3)</f>
        <v>입력오류</v>
      </c>
      <c r="Y239" s="2"/>
      <c r="AI239" s="21" t="str">
        <f ca="1">_xll.IMDP("BND",Z239,AI8,Z3)</f>
        <v>입력오류</v>
      </c>
      <c r="AJ239" s="23" t="str">
        <f ca="1">_xll.IMDP("BND",Z239,AJ8,Z3)</f>
        <v>입력오류</v>
      </c>
      <c r="AK239" s="2"/>
      <c r="AU239" s="21" t="str">
        <f ca="1">_xll.IMDP("BND",AL239,AU8,AL3)</f>
        <v>입력오류</v>
      </c>
      <c r="AV239" s="23" t="str">
        <f ca="1">_xll.IMDP("BND",AL239,AV8,AL3)</f>
        <v>입력오류</v>
      </c>
      <c r="AW239" s="2"/>
      <c r="BG239" s="21" t="str">
        <f ca="1">_xll.IMDP("BND",AX239,BG8,AX3)</f>
        <v>입력오류</v>
      </c>
      <c r="BH239" s="23" t="str">
        <f ca="1">_xll.IMDP("BND",AX239,BH8,AX3)</f>
        <v>입력오류</v>
      </c>
      <c r="BI239" s="2">
        <v>46198</v>
      </c>
      <c r="BJ239" s="3" t="s">
        <v>1647</v>
      </c>
      <c r="BK239" s="3" t="s">
        <v>610</v>
      </c>
      <c r="BL239" s="3" t="s">
        <v>1648</v>
      </c>
      <c r="BM239" s="3">
        <v>0</v>
      </c>
      <c r="BN239" s="3">
        <v>0.05</v>
      </c>
      <c r="BO239" s="3">
        <v>0</v>
      </c>
      <c r="BP239" s="3">
        <v>57409</v>
      </c>
      <c r="BQ239" s="3">
        <v>9847.31</v>
      </c>
      <c r="BR239" s="3">
        <v>1.2013</v>
      </c>
      <c r="BS239" s="21">
        <f ca="1">_xll.IMDP("BND",BJ239,BS8,BJ3)</f>
        <v>20270917</v>
      </c>
      <c r="BT239" s="23">
        <f ca="1">_xll.IMDP("BND",BJ239,BT8,BJ3)</f>
        <v>4.1340000000000003</v>
      </c>
      <c r="BU239" s="2"/>
      <c r="CE239" s="21" t="str">
        <f ca="1">_xll.IMDP("BND",BV239,CE8,BV3)</f>
        <v>입력오류</v>
      </c>
      <c r="CF239" s="23" t="str">
        <f ca="1">_xll.IMDP("BND",BV239,CF8,BV3)</f>
        <v>입력오류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">
        <v>46198</v>
      </c>
      <c r="CT239" s="3" t="s">
        <v>2610</v>
      </c>
      <c r="CU239" s="3" t="s">
        <v>2611</v>
      </c>
      <c r="CV239" s="3" t="s">
        <v>2612</v>
      </c>
      <c r="CW239" s="3">
        <v>0</v>
      </c>
      <c r="CX239" s="3">
        <v>0.13</v>
      </c>
      <c r="CY239" s="3">
        <v>0</v>
      </c>
      <c r="CZ239" s="3">
        <v>186126</v>
      </c>
      <c r="DA239" s="3">
        <v>10220.1</v>
      </c>
      <c r="DB239" s="3">
        <v>1.3057000000000001</v>
      </c>
      <c r="DC239" s="21">
        <f ca="1">_xll.IMDP("BND",CT239,DC8,CT3)</f>
        <v>20271031</v>
      </c>
      <c r="DD239" s="23">
        <f ca="1">_xll.IMDP("BND",CT239,DD8,CT3)</f>
        <v>3.5169999999999999</v>
      </c>
      <c r="DE239" s="2"/>
      <c r="DO239" s="21" t="str">
        <f ca="1">_xll.IMDP("BND",DF239,DO8,DF3)</f>
        <v>입력오류</v>
      </c>
      <c r="DP239" s="23" t="str">
        <f ca="1">_xll.IMDP("BND",DF239,DP8,DF3)</f>
        <v>입력오류</v>
      </c>
      <c r="DQ239" s="2"/>
      <c r="EA239" s="21" t="str">
        <f ca="1">_xll.IMDP("BND",DR239,EA8,DR3)</f>
        <v>입력오류</v>
      </c>
      <c r="EB239" s="23" t="str">
        <f ca="1">_xll.IMDP("BND",DR239,EB8,DR3)</f>
        <v>입력오류</v>
      </c>
    </row>
    <row r="240" spans="1:132" ht="13.5" customHeight="1" x14ac:dyDescent="0.3">
      <c r="A240" s="2">
        <v>46198</v>
      </c>
      <c r="B240" s="3" t="s">
        <v>2036</v>
      </c>
      <c r="C240" s="3" t="s">
        <v>2037</v>
      </c>
      <c r="D240" s="3" t="s">
        <v>2038</v>
      </c>
      <c r="E240" s="3">
        <v>0</v>
      </c>
      <c r="F240" s="3">
        <v>0.22</v>
      </c>
      <c r="G240" s="3">
        <v>0</v>
      </c>
      <c r="H240" s="3">
        <v>240123</v>
      </c>
      <c r="I240" s="3">
        <v>9044</v>
      </c>
      <c r="J240" s="3">
        <v>4.7938000000000001</v>
      </c>
      <c r="K240" s="21">
        <f ca="1">_xll.IMDP("BND",B240,K8,B3)</f>
        <v>20310903</v>
      </c>
      <c r="L240" s="23">
        <f ca="1">_xll.IMDP("BND",B240,L8,B3)</f>
        <v>4.2990000000000004</v>
      </c>
      <c r="M240" s="2"/>
      <c r="W240" s="21" t="str">
        <f ca="1">_xll.IMDP("BND",N240,W8,N3)</f>
        <v>입력오류</v>
      </c>
      <c r="X240" s="23" t="str">
        <f ca="1">_xll.IMDP("BND",N240,X8,N3)</f>
        <v>입력오류</v>
      </c>
      <c r="Y240" s="2"/>
      <c r="AI240" s="21" t="str">
        <f ca="1">_xll.IMDP("BND",Z240,AI8,Z3)</f>
        <v>입력오류</v>
      </c>
      <c r="AJ240" s="23" t="str">
        <f ca="1">_xll.IMDP("BND",Z240,AJ8,Z3)</f>
        <v>입력오류</v>
      </c>
      <c r="AK240" s="2"/>
      <c r="AU240" s="21" t="str">
        <f ca="1">_xll.IMDP("BND",AL240,AU8,AL3)</f>
        <v>입력오류</v>
      </c>
      <c r="AV240" s="23" t="str">
        <f ca="1">_xll.IMDP("BND",AL240,AV8,AL3)</f>
        <v>입력오류</v>
      </c>
      <c r="AW240" s="2"/>
      <c r="BG240" s="21" t="str">
        <f ca="1">_xll.IMDP("BND",AX240,BG8,AX3)</f>
        <v>입력오류</v>
      </c>
      <c r="BH240" s="23" t="str">
        <f ca="1">_xll.IMDP("BND",AX240,BH8,AX3)</f>
        <v>입력오류</v>
      </c>
      <c r="BI240" s="2">
        <v>46198</v>
      </c>
      <c r="BJ240" s="3" t="s">
        <v>1649</v>
      </c>
      <c r="BK240" s="3" t="s">
        <v>496</v>
      </c>
      <c r="BL240" s="3" t="s">
        <v>1650</v>
      </c>
      <c r="BM240" s="3">
        <v>0</v>
      </c>
      <c r="BN240" s="3">
        <v>0.05</v>
      </c>
      <c r="BO240" s="3">
        <v>0</v>
      </c>
      <c r="BP240" s="3">
        <v>57369</v>
      </c>
      <c r="BQ240" s="3">
        <v>9841.18</v>
      </c>
      <c r="BR240" s="3">
        <v>1.6140000000000001</v>
      </c>
      <c r="BS240" s="21">
        <f ca="1">_xll.IMDP("BND",BJ240,BS8,BJ3)</f>
        <v>20280225</v>
      </c>
      <c r="BT240" s="23">
        <f ca="1">_xll.IMDP("BND",BJ240,BT8,BJ3)</f>
        <v>4.149</v>
      </c>
      <c r="BU240" s="2"/>
      <c r="CE240" s="21" t="str">
        <f ca="1">_xll.IMDP("BND",BV240,CE8,BV3)</f>
        <v>입력오류</v>
      </c>
      <c r="CF240" s="23" t="str">
        <f ca="1">_xll.IMDP("BND",BV240,CF8,BV3)</f>
        <v>입력오류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">
        <v>46198</v>
      </c>
      <c r="CT240" s="3" t="s">
        <v>1460</v>
      </c>
      <c r="CU240" s="3" t="s">
        <v>50</v>
      </c>
      <c r="CV240" s="3" t="s">
        <v>2613</v>
      </c>
      <c r="CW240" s="3">
        <v>0</v>
      </c>
      <c r="CX240" s="3">
        <v>0.13</v>
      </c>
      <c r="CY240" s="3">
        <v>0</v>
      </c>
      <c r="CZ240" s="3">
        <v>183685</v>
      </c>
      <c r="DA240" s="3">
        <v>9833.89</v>
      </c>
      <c r="DB240" s="3">
        <v>2.9998999999999998</v>
      </c>
      <c r="DC240" s="21">
        <f ca="1">_xll.IMDP("BND",CT240,DC8,CT3)</f>
        <v>20290910</v>
      </c>
      <c r="DD240" s="23">
        <f ca="1">_xll.IMDP("BND",CT240,DD8,CT3)</f>
        <v>3.8439999999999999</v>
      </c>
      <c r="DE240" s="2"/>
      <c r="DO240" s="21" t="str">
        <f ca="1">_xll.IMDP("BND",DF240,DO8,DF3)</f>
        <v>입력오류</v>
      </c>
      <c r="DP240" s="23" t="str">
        <f ca="1">_xll.IMDP("BND",DF240,DP8,DF3)</f>
        <v>입력오류</v>
      </c>
      <c r="DQ240" s="2"/>
      <c r="EA240" s="21" t="str">
        <f ca="1">_xll.IMDP("BND",DR240,EA8,DR3)</f>
        <v>입력오류</v>
      </c>
      <c r="EB240" s="23" t="str">
        <f ca="1">_xll.IMDP("BND",DR240,EB8,DR3)</f>
        <v>입력오류</v>
      </c>
    </row>
    <row r="241" spans="1:132" ht="13.5" customHeight="1" x14ac:dyDescent="0.3">
      <c r="A241" s="2">
        <v>46198</v>
      </c>
      <c r="B241" s="3" t="s">
        <v>2027</v>
      </c>
      <c r="C241" s="3" t="s">
        <v>793</v>
      </c>
      <c r="D241" s="3" t="s">
        <v>2028</v>
      </c>
      <c r="E241" s="3">
        <v>0</v>
      </c>
      <c r="F241" s="3">
        <v>0.22</v>
      </c>
      <c r="G241" s="3">
        <v>0</v>
      </c>
      <c r="H241" s="3">
        <v>239820</v>
      </c>
      <c r="I241" s="3">
        <v>9036.2000000000007</v>
      </c>
      <c r="J241" s="3">
        <v>7.7108999999999996</v>
      </c>
      <c r="K241" s="21">
        <f ca="1">_xll.IMDP("BND",B241,K8,B3)</f>
        <v>20350622</v>
      </c>
      <c r="L241" s="23">
        <f ca="1">_xll.IMDP("BND",B241,L8,B3)</f>
        <v>4.3170000000000002</v>
      </c>
      <c r="M241" s="2"/>
      <c r="W241" s="21" t="str">
        <f ca="1">_xll.IMDP("BND",N241,W8,N3)</f>
        <v>입력오류</v>
      </c>
      <c r="X241" s="23" t="str">
        <f ca="1">_xll.IMDP("BND",N241,X8,N3)</f>
        <v>입력오류</v>
      </c>
      <c r="Y241" s="2"/>
      <c r="AI241" s="21" t="str">
        <f ca="1">_xll.IMDP("BND",Z241,AI8,Z3)</f>
        <v>입력오류</v>
      </c>
      <c r="AJ241" s="23" t="str">
        <f ca="1">_xll.IMDP("BND",Z241,AJ8,Z3)</f>
        <v>입력오류</v>
      </c>
      <c r="AK241" s="2"/>
      <c r="AU241" s="21" t="str">
        <f ca="1">_xll.IMDP("BND",AL241,AU8,AL3)</f>
        <v>입력오류</v>
      </c>
      <c r="AV241" s="23" t="str">
        <f ca="1">_xll.IMDP("BND",AL241,AV8,AL3)</f>
        <v>입력오류</v>
      </c>
      <c r="AW241" s="2"/>
      <c r="BG241" s="21" t="str">
        <f ca="1">_xll.IMDP("BND",AX241,BG8,AX3)</f>
        <v>입력오류</v>
      </c>
      <c r="BH241" s="23" t="str">
        <f ca="1">_xll.IMDP("BND",AX241,BH8,AX3)</f>
        <v>입력오류</v>
      </c>
      <c r="BI241" s="2">
        <v>46198</v>
      </c>
      <c r="BJ241" s="3" t="s">
        <v>1651</v>
      </c>
      <c r="BK241" s="3" t="s">
        <v>1652</v>
      </c>
      <c r="BL241" s="3" t="s">
        <v>1653</v>
      </c>
      <c r="BM241" s="3">
        <v>0</v>
      </c>
      <c r="BN241" s="3">
        <v>0.05</v>
      </c>
      <c r="BO241" s="3">
        <v>0</v>
      </c>
      <c r="BP241" s="3">
        <v>57345</v>
      </c>
      <c r="BQ241" s="3">
        <v>9836.4500000000007</v>
      </c>
      <c r="BR241" s="3">
        <v>1.6087</v>
      </c>
      <c r="BS241" s="21">
        <f ca="1">_xll.IMDP("BND",BJ241,BS8,BJ3)</f>
        <v>20280224</v>
      </c>
      <c r="BT241" s="23">
        <f ca="1">_xll.IMDP("BND",BJ241,BT8,BJ3)</f>
        <v>4.25</v>
      </c>
      <c r="BU241" s="2"/>
      <c r="CE241" s="21" t="str">
        <f ca="1">_xll.IMDP("BND",BV241,CE8,BV3)</f>
        <v>입력오류</v>
      </c>
      <c r="CF241" s="23" t="str">
        <f ca="1">_xll.IMDP("BND",BV241,CF8,BV3)</f>
        <v>입력오류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">
        <v>46198</v>
      </c>
      <c r="CT241" s="3" t="s">
        <v>739</v>
      </c>
      <c r="CU241" s="3" t="s">
        <v>29</v>
      </c>
      <c r="CV241" s="3" t="s">
        <v>2614</v>
      </c>
      <c r="CW241" s="3">
        <v>0</v>
      </c>
      <c r="CX241" s="3">
        <v>0.13</v>
      </c>
      <c r="CY241" s="3">
        <v>0</v>
      </c>
      <c r="CZ241" s="3">
        <v>182053</v>
      </c>
      <c r="DA241" s="3">
        <v>8323.86</v>
      </c>
      <c r="DB241" s="3">
        <v>9.5386000000000006</v>
      </c>
      <c r="DC241" s="21">
        <f ca="1">_xll.IMDP("BND",CT241,DC8,CT3)</f>
        <v>20370910</v>
      </c>
      <c r="DD241" s="23">
        <f ca="1">_xll.IMDP("BND",CT241,DD8,CT3)</f>
        <v>4.2140000000000004</v>
      </c>
      <c r="DE241" s="2"/>
      <c r="DO241" s="21" t="str">
        <f ca="1">_xll.IMDP("BND",DF241,DO8,DF3)</f>
        <v>입력오류</v>
      </c>
      <c r="DP241" s="23" t="str">
        <f ca="1">_xll.IMDP("BND",DF241,DP8,DF3)</f>
        <v>입력오류</v>
      </c>
      <c r="DQ241" s="2"/>
      <c r="EA241" s="21" t="str">
        <f ca="1">_xll.IMDP("BND",DR241,EA8,DR3)</f>
        <v>입력오류</v>
      </c>
      <c r="EB241" s="23" t="str">
        <f ca="1">_xll.IMDP("BND",DR241,EB8,DR3)</f>
        <v>입력오류</v>
      </c>
    </row>
    <row r="242" spans="1:132" ht="13.5" customHeight="1" x14ac:dyDescent="0.3">
      <c r="A242" s="2">
        <v>46198</v>
      </c>
      <c r="B242" s="3" t="s">
        <v>2041</v>
      </c>
      <c r="C242" s="3" t="s">
        <v>1366</v>
      </c>
      <c r="D242" s="3" t="s">
        <v>2042</v>
      </c>
      <c r="E242" s="3">
        <v>0</v>
      </c>
      <c r="F242" s="3">
        <v>0.22</v>
      </c>
      <c r="G242" s="3">
        <v>0</v>
      </c>
      <c r="H242" s="3">
        <v>239450</v>
      </c>
      <c r="I242" s="3">
        <v>9016.69</v>
      </c>
      <c r="J242" s="3">
        <v>6.2439</v>
      </c>
      <c r="K242" s="21">
        <f ca="1">_xll.IMDP("BND",B242,K8,B3)</f>
        <v>20330615</v>
      </c>
      <c r="L242" s="23">
        <f ca="1">_xll.IMDP("BND",B242,L8,B3)</f>
        <v>4.4619999999999997</v>
      </c>
      <c r="M242" s="2"/>
      <c r="W242" s="21" t="str">
        <f ca="1">_xll.IMDP("BND",N242,W8,N3)</f>
        <v>입력오류</v>
      </c>
      <c r="X242" s="23" t="str">
        <f ca="1">_xll.IMDP("BND",N242,X8,N3)</f>
        <v>입력오류</v>
      </c>
      <c r="Y242" s="2"/>
      <c r="AI242" s="21" t="str">
        <f ca="1">_xll.IMDP("BND",Z242,AI8,Z3)</f>
        <v>입력오류</v>
      </c>
      <c r="AJ242" s="23" t="str">
        <f ca="1">_xll.IMDP("BND",Z242,AJ8,Z3)</f>
        <v>입력오류</v>
      </c>
      <c r="AK242" s="2"/>
      <c r="AU242" s="21" t="str">
        <f ca="1">_xll.IMDP("BND",AL242,AU8,AL3)</f>
        <v>입력오류</v>
      </c>
      <c r="AV242" s="23" t="str">
        <f ca="1">_xll.IMDP("BND",AL242,AV8,AL3)</f>
        <v>입력오류</v>
      </c>
      <c r="AW242" s="2"/>
      <c r="BG242" s="21" t="str">
        <f ca="1">_xll.IMDP("BND",AX242,BG8,AX3)</f>
        <v>입력오류</v>
      </c>
      <c r="BH242" s="23" t="str">
        <f ca="1">_xll.IMDP("BND",AX242,BH8,AX3)</f>
        <v>입력오류</v>
      </c>
      <c r="BI242" s="2">
        <v>46198</v>
      </c>
      <c r="BJ242" s="3" t="s">
        <v>1654</v>
      </c>
      <c r="BK242" s="3" t="s">
        <v>1522</v>
      </c>
      <c r="BL242" s="3" t="s">
        <v>1655</v>
      </c>
      <c r="BM242" s="3">
        <v>0</v>
      </c>
      <c r="BN242" s="3">
        <v>0.05</v>
      </c>
      <c r="BO242" s="3">
        <v>0</v>
      </c>
      <c r="BP242" s="3">
        <v>57271</v>
      </c>
      <c r="BQ242" s="3">
        <v>9824.39</v>
      </c>
      <c r="BR242" s="3">
        <v>1.5028999999999999</v>
      </c>
      <c r="BS242" s="21">
        <f ca="1">_xll.IMDP("BND",BJ242,BS8,BJ3)</f>
        <v>20280113</v>
      </c>
      <c r="BT242" s="23">
        <f ca="1">_xll.IMDP("BND",BJ242,BT8,BJ3)</f>
        <v>4.2240000000000002</v>
      </c>
      <c r="BU242" s="2"/>
      <c r="CE242" s="21" t="str">
        <f ca="1">_xll.IMDP("BND",BV242,CE8,BV3)</f>
        <v>입력오류</v>
      </c>
      <c r="CF242" s="23" t="str">
        <f ca="1">_xll.IMDP("BND",BV242,CF8,BV3)</f>
        <v>입력오류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">
        <v>46198</v>
      </c>
      <c r="CT242" s="3" t="s">
        <v>2615</v>
      </c>
      <c r="CU242" s="3" t="s">
        <v>2616</v>
      </c>
      <c r="CV242" s="3" t="s">
        <v>2617</v>
      </c>
      <c r="CW242" s="3">
        <v>0</v>
      </c>
      <c r="CX242" s="3">
        <v>0.12</v>
      </c>
      <c r="CY242" s="3">
        <v>0</v>
      </c>
      <c r="CZ242" s="3">
        <v>180069</v>
      </c>
      <c r="DA242" s="3">
        <v>9639.86</v>
      </c>
      <c r="DB242" s="3">
        <v>3.5063</v>
      </c>
      <c r="DC242" s="21">
        <f ca="1">_xll.IMDP("BND",CT242,DC8,CT3)</f>
        <v>20300327</v>
      </c>
      <c r="DD242" s="23">
        <f ca="1">_xll.IMDP("BND",CT242,DD8,CT3)</f>
        <v>4.13</v>
      </c>
      <c r="DE242" s="2"/>
      <c r="DO242" s="21" t="str">
        <f ca="1">_xll.IMDP("BND",DF242,DO8,DF3)</f>
        <v>입력오류</v>
      </c>
      <c r="DP242" s="23" t="str">
        <f ca="1">_xll.IMDP("BND",DF242,DP8,DF3)</f>
        <v>입력오류</v>
      </c>
      <c r="DQ242" s="2"/>
      <c r="EA242" s="21" t="str">
        <f ca="1">_xll.IMDP("BND",DR242,EA8,DR3)</f>
        <v>입력오류</v>
      </c>
      <c r="EB242" s="23" t="str">
        <f ca="1">_xll.IMDP("BND",DR242,EB8,DR3)</f>
        <v>입력오류</v>
      </c>
    </row>
    <row r="243" spans="1:132" ht="13.5" customHeight="1" x14ac:dyDescent="0.3">
      <c r="A243" s="2">
        <v>46198</v>
      </c>
      <c r="B243" s="3" t="s">
        <v>2043</v>
      </c>
      <c r="C243" s="3" t="s">
        <v>2009</v>
      </c>
      <c r="D243" s="3" t="s">
        <v>2044</v>
      </c>
      <c r="E243" s="3">
        <v>0</v>
      </c>
      <c r="F243" s="3">
        <v>0.22</v>
      </c>
      <c r="G243" s="3">
        <v>0</v>
      </c>
      <c r="H243" s="3">
        <v>239344</v>
      </c>
      <c r="I243" s="3">
        <v>10014.57</v>
      </c>
      <c r="J243" s="3">
        <v>1.8654999999999999</v>
      </c>
      <c r="K243" s="21">
        <f ca="1">_xll.IMDP("BND",B243,K8,B3)</f>
        <v>20280609</v>
      </c>
      <c r="L243" s="23">
        <f ca="1">_xll.IMDP("BND",B243,L8,B3)</f>
        <v>4.298</v>
      </c>
      <c r="M243" s="2"/>
      <c r="W243" s="21" t="str">
        <f ca="1">_xll.IMDP("BND",N243,W8,N3)</f>
        <v>입력오류</v>
      </c>
      <c r="X243" s="23" t="str">
        <f ca="1">_xll.IMDP("BND",N243,X8,N3)</f>
        <v>입력오류</v>
      </c>
      <c r="Y243" s="2"/>
      <c r="AI243" s="21" t="str">
        <f ca="1">_xll.IMDP("BND",Z243,AI8,Z3)</f>
        <v>입력오류</v>
      </c>
      <c r="AJ243" s="23" t="str">
        <f ca="1">_xll.IMDP("BND",Z243,AJ8,Z3)</f>
        <v>입력오류</v>
      </c>
      <c r="AK243" s="2"/>
      <c r="AU243" s="21" t="str">
        <f ca="1">_xll.IMDP("BND",AL243,AU8,AL3)</f>
        <v>입력오류</v>
      </c>
      <c r="AV243" s="23" t="str">
        <f ca="1">_xll.IMDP("BND",AL243,AV8,AL3)</f>
        <v>입력오류</v>
      </c>
      <c r="AW243" s="2"/>
      <c r="BG243" s="21" t="str">
        <f ca="1">_xll.IMDP("BND",AX243,BG8,AX3)</f>
        <v>입력오류</v>
      </c>
      <c r="BH243" s="23" t="str">
        <f ca="1">_xll.IMDP("BND",AX243,BH8,AX3)</f>
        <v>입력오류</v>
      </c>
      <c r="BI243" s="2">
        <v>46198</v>
      </c>
      <c r="BJ243" s="3" t="s">
        <v>1656</v>
      </c>
      <c r="BK243" s="3" t="s">
        <v>1657</v>
      </c>
      <c r="BL243" s="3" t="s">
        <v>1658</v>
      </c>
      <c r="BM243" s="3">
        <v>0</v>
      </c>
      <c r="BN243" s="3">
        <v>0.05</v>
      </c>
      <c r="BO243" s="3">
        <v>0</v>
      </c>
      <c r="BP243" s="3">
        <v>57260</v>
      </c>
      <c r="BQ243" s="3">
        <v>9822.75</v>
      </c>
      <c r="BR243" s="3">
        <v>1.5232000000000001</v>
      </c>
      <c r="BS243" s="21">
        <f ca="1">_xll.IMDP("BND",BJ243,BS8,BJ3)</f>
        <v>20280121</v>
      </c>
      <c r="BT243" s="23">
        <f ca="1">_xll.IMDP("BND",BJ243,BT8,BJ3)</f>
        <v>4.2140000000000004</v>
      </c>
      <c r="BU243" s="2"/>
      <c r="CE243" s="21" t="str">
        <f ca="1">_xll.IMDP("BND",BV243,CE8,BV3)</f>
        <v>입력오류</v>
      </c>
      <c r="CF243" s="23" t="str">
        <f ca="1">_xll.IMDP("BND",BV243,CF8,BV3)</f>
        <v>입력오류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">
        <v>46198</v>
      </c>
      <c r="CT243" s="3" t="s">
        <v>97</v>
      </c>
      <c r="CU243" s="3" t="s">
        <v>98</v>
      </c>
      <c r="CV243" s="3" t="s">
        <v>2618</v>
      </c>
      <c r="CW243" s="3">
        <v>0</v>
      </c>
      <c r="CX243" s="3">
        <v>0.12</v>
      </c>
      <c r="CY243" s="3">
        <v>0</v>
      </c>
      <c r="CZ243" s="3">
        <v>178036</v>
      </c>
      <c r="DA243" s="3">
        <v>8472.0400000000009</v>
      </c>
      <c r="DB243" s="3">
        <v>4.0502000000000002</v>
      </c>
      <c r="DC243" s="21">
        <f ca="1">_xll.IMDP("BND",CT243,DC8,CT3)</f>
        <v>20300910</v>
      </c>
      <c r="DD243" s="23">
        <f ca="1">_xll.IMDP("BND",CT243,DD8,CT3)</f>
        <v>4.0129999999999999</v>
      </c>
      <c r="DE243" s="2"/>
      <c r="DO243" s="21" t="str">
        <f ca="1">_xll.IMDP("BND",DF243,DO8,DF3)</f>
        <v>입력오류</v>
      </c>
      <c r="DP243" s="23" t="str">
        <f ca="1">_xll.IMDP("BND",DF243,DP8,DF3)</f>
        <v>입력오류</v>
      </c>
      <c r="DQ243" s="2"/>
      <c r="EA243" s="21" t="str">
        <f ca="1">_xll.IMDP("BND",DR243,EA8,DR3)</f>
        <v>입력오류</v>
      </c>
      <c r="EB243" s="23" t="str">
        <f ca="1">_xll.IMDP("BND",DR243,EB8,DR3)</f>
        <v>입력오류</v>
      </c>
    </row>
    <row r="244" spans="1:132" ht="13.5" customHeight="1" x14ac:dyDescent="0.3">
      <c r="A244" s="2">
        <v>46198</v>
      </c>
      <c r="B244" s="3" t="s">
        <v>2045</v>
      </c>
      <c r="C244" s="3" t="s">
        <v>1385</v>
      </c>
      <c r="D244" s="3" t="s">
        <v>2046</v>
      </c>
      <c r="E244" s="3">
        <v>0</v>
      </c>
      <c r="F244" s="3">
        <v>0.22</v>
      </c>
      <c r="G244" s="3">
        <v>0</v>
      </c>
      <c r="H244" s="3">
        <v>239161</v>
      </c>
      <c r="I244" s="3">
        <v>10007.75</v>
      </c>
      <c r="J244" s="3">
        <v>0.13059999999999999</v>
      </c>
      <c r="K244" s="21">
        <f ca="1">_xll.IMDP("BND",B244,K8,B3)</f>
        <v>20260812</v>
      </c>
      <c r="L244" s="23">
        <f ca="1">_xll.IMDP("BND",B244,L8,B3)</f>
        <v>3.1659999999999999</v>
      </c>
      <c r="M244" s="2"/>
      <c r="W244" s="21" t="str">
        <f ca="1">_xll.IMDP("BND",N244,W8,N3)</f>
        <v>입력오류</v>
      </c>
      <c r="X244" s="23" t="str">
        <f ca="1">_xll.IMDP("BND",N244,X8,N3)</f>
        <v>입력오류</v>
      </c>
      <c r="Y244" s="2"/>
      <c r="AI244" s="21" t="str">
        <f ca="1">_xll.IMDP("BND",Z244,AI8,Z3)</f>
        <v>입력오류</v>
      </c>
      <c r="AJ244" s="23" t="str">
        <f ca="1">_xll.IMDP("BND",Z244,AJ8,Z3)</f>
        <v>입력오류</v>
      </c>
      <c r="AK244" s="2"/>
      <c r="AU244" s="21" t="str">
        <f ca="1">_xll.IMDP("BND",AL244,AU8,AL3)</f>
        <v>입력오류</v>
      </c>
      <c r="AV244" s="23" t="str">
        <f ca="1">_xll.IMDP("BND",AL244,AV8,AL3)</f>
        <v>입력오류</v>
      </c>
      <c r="AW244" s="2"/>
      <c r="BG244" s="21" t="str">
        <f ca="1">_xll.IMDP("BND",AX244,BG8,AX3)</f>
        <v>입력오류</v>
      </c>
      <c r="BH244" s="23" t="str">
        <f ca="1">_xll.IMDP("BND",AX244,BH8,AX3)</f>
        <v>입력오류</v>
      </c>
      <c r="BI244" s="2">
        <v>46198</v>
      </c>
      <c r="BJ244" s="3" t="s">
        <v>1659</v>
      </c>
      <c r="BK244" s="3" t="s">
        <v>1050</v>
      </c>
      <c r="BL244" s="3" t="s">
        <v>1660</v>
      </c>
      <c r="BM244" s="3">
        <v>0</v>
      </c>
      <c r="BN244" s="3">
        <v>0.05</v>
      </c>
      <c r="BO244" s="3">
        <v>0</v>
      </c>
      <c r="BP244" s="3">
        <v>57178</v>
      </c>
      <c r="BQ244" s="3">
        <v>9807.89</v>
      </c>
      <c r="BR244" s="3">
        <v>1.4201999999999999</v>
      </c>
      <c r="BS244" s="21">
        <f ca="1">_xll.IMDP("BND",BJ244,BS8,BJ3)</f>
        <v>20271210</v>
      </c>
      <c r="BT244" s="23">
        <f ca="1">_xll.IMDP("BND",BJ244,BT8,BJ3)</f>
        <v>4.165</v>
      </c>
      <c r="BU244" s="2"/>
      <c r="CE244" s="21" t="str">
        <f ca="1">_xll.IMDP("BND",BV244,CE8,BV3)</f>
        <v>입력오류</v>
      </c>
      <c r="CF244" s="23" t="str">
        <f ca="1">_xll.IMDP("BND",BV244,CF8,BV3)</f>
        <v>입력오류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">
        <v>46198</v>
      </c>
      <c r="CT244" s="3" t="s">
        <v>2619</v>
      </c>
      <c r="CU244" s="3" t="s">
        <v>2620</v>
      </c>
      <c r="CV244" s="3" t="s">
        <v>2621</v>
      </c>
      <c r="CW244" s="3">
        <v>0</v>
      </c>
      <c r="CX244" s="3">
        <v>0.11</v>
      </c>
      <c r="CY244" s="3">
        <v>0</v>
      </c>
      <c r="CZ244" s="3">
        <v>165323</v>
      </c>
      <c r="DA244" s="3">
        <v>9564.4500000000007</v>
      </c>
      <c r="DB244" s="3">
        <v>2.0125999999999999</v>
      </c>
      <c r="DC244" s="21">
        <f ca="1">_xll.IMDP("BND",CT244,DC8,CT3)</f>
        <v>20280722</v>
      </c>
      <c r="DD244" s="23">
        <f ca="1">_xll.IMDP("BND",CT244,DD8,CT3)</f>
        <v>4.2060000000000004</v>
      </c>
      <c r="DE244" s="2"/>
      <c r="DO244" s="21" t="str">
        <f ca="1">_xll.IMDP("BND",DF244,DO8,DF3)</f>
        <v>입력오류</v>
      </c>
      <c r="DP244" s="23" t="str">
        <f ca="1">_xll.IMDP("BND",DF244,DP8,DF3)</f>
        <v>입력오류</v>
      </c>
      <c r="DQ244" s="2"/>
      <c r="EA244" s="21" t="str">
        <f ca="1">_xll.IMDP("BND",DR244,EA8,DR3)</f>
        <v>입력오류</v>
      </c>
      <c r="EB244" s="23" t="str">
        <f ca="1">_xll.IMDP("BND",DR244,EB8,DR3)</f>
        <v>입력오류</v>
      </c>
    </row>
    <row r="245" spans="1:132" ht="13.5" customHeight="1" x14ac:dyDescent="0.3">
      <c r="A245" s="2">
        <v>46198</v>
      </c>
      <c r="B245" s="3" t="s">
        <v>730</v>
      </c>
      <c r="C245" s="3" t="s">
        <v>29</v>
      </c>
      <c r="D245" s="3" t="s">
        <v>731</v>
      </c>
      <c r="E245" s="3">
        <v>0</v>
      </c>
      <c r="F245" s="3">
        <v>0.22</v>
      </c>
      <c r="G245" s="3">
        <v>0</v>
      </c>
      <c r="H245" s="3">
        <v>239109</v>
      </c>
      <c r="I245" s="3">
        <v>8349</v>
      </c>
      <c r="J245" s="3">
        <v>16.5213</v>
      </c>
      <c r="K245" s="21">
        <f ca="1">_xll.IMDP("BND",B245,K8,B3)</f>
        <v>20530310</v>
      </c>
      <c r="L245" s="23">
        <f ca="1">_xll.IMDP("BND",B245,L8,B3)</f>
        <v>4.3620000000000001</v>
      </c>
      <c r="M245" s="2"/>
      <c r="W245" s="21" t="str">
        <f ca="1">_xll.IMDP("BND",N245,W8,N3)</f>
        <v>입력오류</v>
      </c>
      <c r="X245" s="23" t="str">
        <f ca="1">_xll.IMDP("BND",N245,X8,N3)</f>
        <v>입력오류</v>
      </c>
      <c r="Y245" s="2"/>
      <c r="AI245" s="21" t="str">
        <f ca="1">_xll.IMDP("BND",Z245,AI8,Z3)</f>
        <v>입력오류</v>
      </c>
      <c r="AJ245" s="23" t="str">
        <f ca="1">_xll.IMDP("BND",Z245,AJ8,Z3)</f>
        <v>입력오류</v>
      </c>
      <c r="AK245" s="2"/>
      <c r="AU245" s="21" t="str">
        <f ca="1">_xll.IMDP("BND",AL245,AU8,AL3)</f>
        <v>입력오류</v>
      </c>
      <c r="AV245" s="23" t="str">
        <f ca="1">_xll.IMDP("BND",AL245,AV8,AL3)</f>
        <v>입력오류</v>
      </c>
      <c r="AW245" s="2"/>
      <c r="BG245" s="21" t="str">
        <f ca="1">_xll.IMDP("BND",AX245,BG8,AX3)</f>
        <v>입력오류</v>
      </c>
      <c r="BH245" s="23" t="str">
        <f ca="1">_xll.IMDP("BND",AX245,BH8,AX3)</f>
        <v>입력오류</v>
      </c>
      <c r="BI245" s="2">
        <v>46198</v>
      </c>
      <c r="BJ245" s="3" t="s">
        <v>1661</v>
      </c>
      <c r="BK245" s="3" t="s">
        <v>50</v>
      </c>
      <c r="BL245" s="3" t="s">
        <v>1662</v>
      </c>
      <c r="BM245" s="3">
        <v>0</v>
      </c>
      <c r="BN245" s="3">
        <v>0.04</v>
      </c>
      <c r="BO245" s="3">
        <v>0</v>
      </c>
      <c r="BP245" s="3">
        <v>55075</v>
      </c>
      <c r="BQ245" s="3">
        <v>10009.6</v>
      </c>
      <c r="BR245" s="3">
        <v>0.69230000000000003</v>
      </c>
      <c r="BS245" s="21">
        <f ca="1">_xll.IMDP("BND",BJ245,BS8,BJ3)</f>
        <v>20270310</v>
      </c>
      <c r="BT245" s="23">
        <f ca="1">_xll.IMDP("BND",BJ245,BT8,BJ3)</f>
        <v>3.2210000000000001</v>
      </c>
      <c r="BU245" s="2"/>
      <c r="CE245" s="21" t="str">
        <f ca="1">_xll.IMDP("BND",BV245,CE8,BV3)</f>
        <v>입력오류</v>
      </c>
      <c r="CF245" s="23" t="str">
        <f ca="1">_xll.IMDP("BND",BV245,CF8,BV3)</f>
        <v>입력오류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">
        <v>46198</v>
      </c>
      <c r="CT245" s="3" t="s">
        <v>44</v>
      </c>
      <c r="CU245" s="3" t="s">
        <v>29</v>
      </c>
      <c r="CV245" s="3" t="s">
        <v>2622</v>
      </c>
      <c r="CW245" s="3">
        <v>0</v>
      </c>
      <c r="CX245" s="3">
        <v>0.11</v>
      </c>
      <c r="CY245" s="3">
        <v>0</v>
      </c>
      <c r="CZ245" s="3">
        <v>154055</v>
      </c>
      <c r="DA245" s="3">
        <v>9646.5</v>
      </c>
      <c r="DB245" s="3">
        <v>5.3224999999999998</v>
      </c>
      <c r="DC245" s="21">
        <f ca="1">_xll.IMDP("BND",CT245,DC8,CT3)</f>
        <v>20320610</v>
      </c>
      <c r="DD245" s="23">
        <f ca="1">_xll.IMDP("BND",CT245,DD8,CT3)</f>
        <v>4.0750000000000002</v>
      </c>
      <c r="DE245" s="2"/>
      <c r="DO245" s="21" t="str">
        <f ca="1">_xll.IMDP("BND",DF245,DO8,DF3)</f>
        <v>입력오류</v>
      </c>
      <c r="DP245" s="23" t="str">
        <f ca="1">_xll.IMDP("BND",DF245,DP8,DF3)</f>
        <v>입력오류</v>
      </c>
      <c r="DQ245" s="2"/>
      <c r="EA245" s="21" t="str">
        <f ca="1">_xll.IMDP("BND",DR245,EA8,DR3)</f>
        <v>입력오류</v>
      </c>
      <c r="EB245" s="23" t="str">
        <f ca="1">_xll.IMDP("BND",DR245,EB8,DR3)</f>
        <v>입력오류</v>
      </c>
    </row>
    <row r="246" spans="1:132" ht="13.5" customHeight="1" x14ac:dyDescent="0.3">
      <c r="A246" s="2">
        <v>46198</v>
      </c>
      <c r="B246" s="3" t="s">
        <v>1563</v>
      </c>
      <c r="C246" s="3" t="s">
        <v>1564</v>
      </c>
      <c r="D246" s="3" t="s">
        <v>1565</v>
      </c>
      <c r="E246" s="3">
        <v>0</v>
      </c>
      <c r="F246" s="3">
        <v>0.21</v>
      </c>
      <c r="G246" s="3">
        <v>0</v>
      </c>
      <c r="H246" s="3">
        <v>238319</v>
      </c>
      <c r="I246" s="3">
        <v>8975.68</v>
      </c>
      <c r="J246" s="3">
        <v>4.8361999999999998</v>
      </c>
      <c r="K246" s="21">
        <f ca="1">_xll.IMDP("BND",B246,K8,B3)</f>
        <v>20310824</v>
      </c>
      <c r="L246" s="23">
        <f ca="1">_xll.IMDP("BND",B246,L8,B3)</f>
        <v>4.3</v>
      </c>
      <c r="M246" s="2"/>
      <c r="W246" s="21" t="str">
        <f ca="1">_xll.IMDP("BND",N246,W8,N3)</f>
        <v>입력오류</v>
      </c>
      <c r="X246" s="23" t="str">
        <f ca="1">_xll.IMDP("BND",N246,X8,N3)</f>
        <v>입력오류</v>
      </c>
      <c r="Y246" s="2"/>
      <c r="AI246" s="21" t="str">
        <f ca="1">_xll.IMDP("BND",Z246,AI8,Z3)</f>
        <v>입력오류</v>
      </c>
      <c r="AJ246" s="23" t="str">
        <f ca="1">_xll.IMDP("BND",Z246,AJ8,Z3)</f>
        <v>입력오류</v>
      </c>
      <c r="AK246" s="2"/>
      <c r="AU246" s="21" t="str">
        <f ca="1">_xll.IMDP("BND",AL246,AU8,AL3)</f>
        <v>입력오류</v>
      </c>
      <c r="AV246" s="23" t="str">
        <f ca="1">_xll.IMDP("BND",AL246,AV8,AL3)</f>
        <v>입력오류</v>
      </c>
      <c r="AW246" s="2"/>
      <c r="BG246" s="21" t="str">
        <f ca="1">_xll.IMDP("BND",AX246,BG8,AX3)</f>
        <v>입력오류</v>
      </c>
      <c r="BH246" s="23" t="str">
        <f ca="1">_xll.IMDP("BND",AX246,BH8,AX3)</f>
        <v>입력오류</v>
      </c>
      <c r="BI246" s="2">
        <v>46198</v>
      </c>
      <c r="BJ246" s="3" t="s">
        <v>838</v>
      </c>
      <c r="BK246" s="3" t="s">
        <v>29</v>
      </c>
      <c r="BL246" s="3" t="s">
        <v>839</v>
      </c>
      <c r="BM246" s="3">
        <v>0</v>
      </c>
      <c r="BN246" s="3">
        <v>0.04</v>
      </c>
      <c r="BO246" s="3">
        <v>0</v>
      </c>
      <c r="BP246" s="3">
        <v>53898</v>
      </c>
      <c r="BQ246" s="3">
        <v>9899.1299999999992</v>
      </c>
      <c r="BR246" s="3">
        <v>0.93910000000000005</v>
      </c>
      <c r="BS246" s="21">
        <f ca="1">_xll.IMDP("BND",BJ246,BS8,BJ3)</f>
        <v>20270610</v>
      </c>
      <c r="BT246" s="23">
        <f ca="1">_xll.IMDP("BND",BJ246,BT8,BJ3)</f>
        <v>3.2930000000000001</v>
      </c>
      <c r="BU246" s="2"/>
      <c r="CE246" s="21" t="str">
        <f ca="1">_xll.IMDP("BND",BV246,CE8,BV3)</f>
        <v>입력오류</v>
      </c>
      <c r="CF246" s="23" t="str">
        <f ca="1">_xll.IMDP("BND",BV246,CF8,BV3)</f>
        <v>입력오류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">
        <v>46198</v>
      </c>
      <c r="CT246" s="3" t="s">
        <v>736</v>
      </c>
      <c r="CU246" s="3" t="s">
        <v>29</v>
      </c>
      <c r="CV246" s="3" t="s">
        <v>2623</v>
      </c>
      <c r="CW246" s="3">
        <v>0</v>
      </c>
      <c r="CX246" s="3">
        <v>0.1</v>
      </c>
      <c r="CY246" s="3">
        <v>0</v>
      </c>
      <c r="CZ246" s="3">
        <v>150242</v>
      </c>
      <c r="DA246" s="3">
        <v>8044.09</v>
      </c>
      <c r="DB246" s="3">
        <v>13.7432</v>
      </c>
      <c r="DC246" s="21">
        <f ca="1">_xll.IMDP("BND",CT246,DC8,CT3)</f>
        <v>20441210</v>
      </c>
      <c r="DD246" s="23">
        <f ca="1">_xll.IMDP("BND",CT246,DD8,CT3)</f>
        <v>4.3049999999999997</v>
      </c>
      <c r="DE246" s="2"/>
      <c r="DO246" s="21" t="str">
        <f ca="1">_xll.IMDP("BND",DF246,DO8,DF3)</f>
        <v>입력오류</v>
      </c>
      <c r="DP246" s="23" t="str">
        <f ca="1">_xll.IMDP("BND",DF246,DP8,DF3)</f>
        <v>입력오류</v>
      </c>
      <c r="DQ246" s="2"/>
      <c r="EA246" s="21" t="str">
        <f ca="1">_xll.IMDP("BND",DR246,EA8,DR3)</f>
        <v>입력오류</v>
      </c>
      <c r="EB246" s="23" t="str">
        <f ca="1">_xll.IMDP("BND",DR246,EB8,DR3)</f>
        <v>입력오류</v>
      </c>
    </row>
    <row r="247" spans="1:132" ht="13.5" customHeight="1" x14ac:dyDescent="0.3">
      <c r="A247" s="2">
        <v>46198</v>
      </c>
      <c r="B247" s="3" t="s">
        <v>2047</v>
      </c>
      <c r="C247" s="3" t="s">
        <v>2048</v>
      </c>
      <c r="D247" s="3" t="s">
        <v>2049</v>
      </c>
      <c r="E247" s="3">
        <v>0</v>
      </c>
      <c r="F247" s="3">
        <v>0.21</v>
      </c>
      <c r="G247" s="3">
        <v>0</v>
      </c>
      <c r="H247" s="3">
        <v>236919</v>
      </c>
      <c r="I247" s="3">
        <v>9697.77</v>
      </c>
      <c r="J247" s="3">
        <v>2.3483000000000001</v>
      </c>
      <c r="K247" s="21">
        <f ca="1">_xll.IMDP("BND",B247,K8,B3)</f>
        <v>20281207</v>
      </c>
      <c r="L247" s="23">
        <f ca="1">_xll.IMDP("BND",B247,L8,B3)</f>
        <v>3.7770000000000001</v>
      </c>
      <c r="M247" s="2"/>
      <c r="W247" s="21" t="str">
        <f ca="1">_xll.IMDP("BND",N247,W8,N3)</f>
        <v>입력오류</v>
      </c>
      <c r="X247" s="23" t="str">
        <f ca="1">_xll.IMDP("BND",N247,X8,N3)</f>
        <v>입력오류</v>
      </c>
      <c r="Y247" s="2"/>
      <c r="AI247" s="21" t="str">
        <f ca="1">_xll.IMDP("BND",Z247,AI8,Z3)</f>
        <v>입력오류</v>
      </c>
      <c r="AJ247" s="23" t="str">
        <f ca="1">_xll.IMDP("BND",Z247,AJ8,Z3)</f>
        <v>입력오류</v>
      </c>
      <c r="AK247" s="2"/>
      <c r="AU247" s="21" t="str">
        <f ca="1">_xll.IMDP("BND",AL247,AU8,AL3)</f>
        <v>입력오류</v>
      </c>
      <c r="AV247" s="23" t="str">
        <f ca="1">_xll.IMDP("BND",AL247,AV8,AL3)</f>
        <v>입력오류</v>
      </c>
      <c r="AW247" s="2"/>
      <c r="BG247" s="21" t="str">
        <f ca="1">_xll.IMDP("BND",AX247,BG8,AX3)</f>
        <v>입력오류</v>
      </c>
      <c r="BH247" s="23" t="str">
        <f ca="1">_xll.IMDP("BND",AX247,BH8,AX3)</f>
        <v>입력오류</v>
      </c>
      <c r="BI247" s="2">
        <v>46198</v>
      </c>
      <c r="BJ247" s="3" t="s">
        <v>33</v>
      </c>
      <c r="BK247" s="3" t="s">
        <v>29</v>
      </c>
      <c r="BL247" s="3" t="s">
        <v>34</v>
      </c>
      <c r="BM247" s="3">
        <v>0</v>
      </c>
      <c r="BN247" s="3">
        <v>0.04</v>
      </c>
      <c r="BO247" s="3">
        <v>0</v>
      </c>
      <c r="BP247" s="3">
        <v>53252</v>
      </c>
      <c r="BQ247" s="3">
        <v>9218.9</v>
      </c>
      <c r="BR247" s="3">
        <v>7.3273000000000001</v>
      </c>
      <c r="BS247" s="21">
        <f ca="1">_xll.IMDP("BND",BJ247,BS8,BJ3)</f>
        <v>20341210</v>
      </c>
      <c r="BT247" s="23">
        <f ca="1">_xll.IMDP("BND",BJ247,BT8,BJ3)</f>
        <v>4.12</v>
      </c>
      <c r="BU247" s="2"/>
      <c r="CE247" s="21" t="str">
        <f ca="1">_xll.IMDP("BND",BV247,CE8,BV3)</f>
        <v>입력오류</v>
      </c>
      <c r="CF247" s="23" t="str">
        <f ca="1">_xll.IMDP("BND",BV247,CF8,BV3)</f>
        <v>입력오류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">
        <v>46198</v>
      </c>
      <c r="CT247" s="3" t="s">
        <v>2624</v>
      </c>
      <c r="CU247" s="3" t="s">
        <v>2625</v>
      </c>
      <c r="CV247" s="3" t="s">
        <v>2626</v>
      </c>
      <c r="CW247" s="3">
        <v>0</v>
      </c>
      <c r="CX247" s="3">
        <v>0.1</v>
      </c>
      <c r="CY247" s="3">
        <v>0</v>
      </c>
      <c r="CZ247" s="3">
        <v>140395</v>
      </c>
      <c r="DA247" s="3">
        <v>10021.98</v>
      </c>
      <c r="DB247" s="3">
        <v>0.19819999999999999</v>
      </c>
      <c r="DC247" s="21">
        <f ca="1">_xll.IMDP("BND",CT247,DC8,CT3)</f>
        <v>20260906</v>
      </c>
      <c r="DD247" s="23">
        <f ca="1">_xll.IMDP("BND",CT247,DD8,CT3)</f>
        <v>3.2669999999999999</v>
      </c>
      <c r="DE247" s="2"/>
      <c r="DO247" s="21" t="str">
        <f ca="1">_xll.IMDP("BND",DF247,DO8,DF3)</f>
        <v>입력오류</v>
      </c>
      <c r="DP247" s="23" t="str">
        <f ca="1">_xll.IMDP("BND",DF247,DP8,DF3)</f>
        <v>입력오류</v>
      </c>
      <c r="DQ247" s="2"/>
      <c r="EA247" s="21" t="str">
        <f ca="1">_xll.IMDP("BND",DR247,EA8,DR3)</f>
        <v>입력오류</v>
      </c>
      <c r="EB247" s="23" t="str">
        <f ca="1">_xll.IMDP("BND",DR247,EB8,DR3)</f>
        <v>입력오류</v>
      </c>
    </row>
    <row r="248" spans="1:132" ht="13.5" customHeight="1" x14ac:dyDescent="0.3">
      <c r="A248" s="2">
        <v>46198</v>
      </c>
      <c r="B248" s="3" t="s">
        <v>2050</v>
      </c>
      <c r="C248" s="3" t="s">
        <v>1366</v>
      </c>
      <c r="D248" s="3" t="s">
        <v>2051</v>
      </c>
      <c r="E248" s="3">
        <v>0</v>
      </c>
      <c r="F248" s="3">
        <v>0.21</v>
      </c>
      <c r="G248" s="3">
        <v>0</v>
      </c>
      <c r="H248" s="3">
        <v>235383</v>
      </c>
      <c r="I248" s="3">
        <v>8864.4500000000007</v>
      </c>
      <c r="J248" s="3">
        <v>5.0190999999999999</v>
      </c>
      <c r="K248" s="21">
        <f ca="1">_xll.IMDP("BND",B248,K8,B3)</f>
        <v>20311109</v>
      </c>
      <c r="L248" s="23">
        <f ca="1">_xll.IMDP("BND",B248,L8,B3)</f>
        <v>4.4320000000000004</v>
      </c>
      <c r="M248" s="2"/>
      <c r="W248" s="21" t="str">
        <f ca="1">_xll.IMDP("BND",N248,W8,N3)</f>
        <v>입력오류</v>
      </c>
      <c r="X248" s="23" t="str">
        <f ca="1">_xll.IMDP("BND",N248,X8,N3)</f>
        <v>입력오류</v>
      </c>
      <c r="Y248" s="2"/>
      <c r="AI248" s="21" t="str">
        <f ca="1">_xll.IMDP("BND",Z248,AI8,Z3)</f>
        <v>입력오류</v>
      </c>
      <c r="AJ248" s="23" t="str">
        <f ca="1">_xll.IMDP("BND",Z248,AJ8,Z3)</f>
        <v>입력오류</v>
      </c>
      <c r="AK248" s="2"/>
      <c r="AU248" s="21" t="str">
        <f ca="1">_xll.IMDP("BND",AL248,AU8,AL3)</f>
        <v>입력오류</v>
      </c>
      <c r="AV248" s="23" t="str">
        <f ca="1">_xll.IMDP("BND",AL248,AV8,AL3)</f>
        <v>입력오류</v>
      </c>
      <c r="AW248" s="2"/>
      <c r="BG248" s="21" t="str">
        <f ca="1">_xll.IMDP("BND",AX248,BG8,AX3)</f>
        <v>입력오류</v>
      </c>
      <c r="BH248" s="23" t="str">
        <f ca="1">_xll.IMDP("BND",AX248,BH8,AX3)</f>
        <v>입력오류</v>
      </c>
      <c r="BI248" s="2">
        <v>46198</v>
      </c>
      <c r="BJ248" s="3" t="s">
        <v>1663</v>
      </c>
      <c r="BK248" s="3" t="s">
        <v>1281</v>
      </c>
      <c r="BL248" s="3" t="s">
        <v>1664</v>
      </c>
      <c r="BM248" s="3">
        <v>0</v>
      </c>
      <c r="BN248" s="3">
        <v>0.04</v>
      </c>
      <c r="BO248" s="3">
        <v>0</v>
      </c>
      <c r="BP248" s="3">
        <v>51489</v>
      </c>
      <c r="BQ248" s="3">
        <v>9591.7099999999991</v>
      </c>
      <c r="BR248" s="3">
        <v>2.7441</v>
      </c>
      <c r="BS248" s="21">
        <f ca="1">_xll.IMDP("BND",BJ248,BS8,BJ3)</f>
        <v>20290430</v>
      </c>
      <c r="BT248" s="23">
        <f ca="1">_xll.IMDP("BND",BJ248,BT8,BJ3)</f>
        <v>3.8</v>
      </c>
      <c r="BU248" s="2"/>
      <c r="CE248" s="21" t="str">
        <f ca="1">_xll.IMDP("BND",BV248,CE8,BV3)</f>
        <v>입력오류</v>
      </c>
      <c r="CF248" s="23" t="str">
        <f ca="1">_xll.IMDP("BND",BV248,CF8,BV3)</f>
        <v>입력오류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">
        <v>46198</v>
      </c>
      <c r="CT248" s="3" t="s">
        <v>2627</v>
      </c>
      <c r="CU248" s="3" t="s">
        <v>1985</v>
      </c>
      <c r="CV248" s="3" t="s">
        <v>2628</v>
      </c>
      <c r="CW248" s="3">
        <v>0</v>
      </c>
      <c r="CX248" s="3">
        <v>0.1</v>
      </c>
      <c r="CY248" s="3">
        <v>0</v>
      </c>
      <c r="CZ248" s="3">
        <v>140018</v>
      </c>
      <c r="DA248" s="3">
        <v>9994.51</v>
      </c>
      <c r="DB248" s="3">
        <v>2.6913</v>
      </c>
      <c r="DC248" s="21">
        <f ca="1">_xll.IMDP("BND",CT248,DC8,CT3)</f>
        <v>20290515</v>
      </c>
      <c r="DD248" s="23">
        <f ca="1">_xll.IMDP("BND",CT248,DD8,CT3)</f>
        <v>4.1580000000000004</v>
      </c>
      <c r="DE248" s="2"/>
      <c r="DO248" s="21" t="str">
        <f ca="1">_xll.IMDP("BND",DF248,DO8,DF3)</f>
        <v>입력오류</v>
      </c>
      <c r="DP248" s="23" t="str">
        <f ca="1">_xll.IMDP("BND",DF248,DP8,DF3)</f>
        <v>입력오류</v>
      </c>
      <c r="DQ248" s="2"/>
      <c r="EA248" s="21" t="str">
        <f ca="1">_xll.IMDP("BND",DR248,EA8,DR3)</f>
        <v>입력오류</v>
      </c>
      <c r="EB248" s="23" t="str">
        <f ca="1">_xll.IMDP("BND",DR248,EB8,DR3)</f>
        <v>입력오류</v>
      </c>
    </row>
    <row r="249" spans="1:132" ht="13.5" customHeight="1" x14ac:dyDescent="0.3">
      <c r="A249" s="2">
        <v>46198</v>
      </c>
      <c r="B249" s="3" t="s">
        <v>2052</v>
      </c>
      <c r="C249" s="3" t="s">
        <v>319</v>
      </c>
      <c r="D249" s="3" t="s">
        <v>2053</v>
      </c>
      <c r="E249" s="3">
        <v>0</v>
      </c>
      <c r="F249" s="3">
        <v>0.2</v>
      </c>
      <c r="G249" s="3">
        <v>0</v>
      </c>
      <c r="H249" s="3">
        <v>222240</v>
      </c>
      <c r="I249" s="3">
        <v>8370.1200000000008</v>
      </c>
      <c r="J249" s="3">
        <v>9.3954000000000004</v>
      </c>
      <c r="K249" s="21">
        <f ca="1">_xll.IMDP("BND",B249,K8,B3)</f>
        <v>20370824</v>
      </c>
      <c r="L249" s="23">
        <f ca="1">_xll.IMDP("BND",B249,L8,B3)</f>
        <v>4.367</v>
      </c>
      <c r="M249" s="2"/>
      <c r="W249" s="21" t="str">
        <f ca="1">_xll.IMDP("BND",N249,W8,N3)</f>
        <v>입력오류</v>
      </c>
      <c r="X249" s="23" t="str">
        <f ca="1">_xll.IMDP("BND",N249,X8,N3)</f>
        <v>입력오류</v>
      </c>
      <c r="Y249" s="2"/>
      <c r="AI249" s="21" t="str">
        <f ca="1">_xll.IMDP("BND",Z249,AI8,Z3)</f>
        <v>입력오류</v>
      </c>
      <c r="AJ249" s="23" t="str">
        <f ca="1">_xll.IMDP("BND",Z249,AJ8,Z3)</f>
        <v>입력오류</v>
      </c>
      <c r="AK249" s="2"/>
      <c r="AU249" s="21" t="str">
        <f ca="1">_xll.IMDP("BND",AL249,AU8,AL3)</f>
        <v>입력오류</v>
      </c>
      <c r="AV249" s="23" t="str">
        <f ca="1">_xll.IMDP("BND",AL249,AV8,AL3)</f>
        <v>입력오류</v>
      </c>
      <c r="AW249" s="2"/>
      <c r="BG249" s="21" t="str">
        <f ca="1">_xll.IMDP("BND",AX249,BG8,AX3)</f>
        <v>입력오류</v>
      </c>
      <c r="BH249" s="23" t="str">
        <f ca="1">_xll.IMDP("BND",AX249,BH8,AX3)</f>
        <v>입력오류</v>
      </c>
      <c r="BI249" s="2">
        <v>46198</v>
      </c>
      <c r="BJ249" s="3" t="s">
        <v>732</v>
      </c>
      <c r="BK249" s="3" t="s">
        <v>29</v>
      </c>
      <c r="BL249" s="3" t="s">
        <v>733</v>
      </c>
      <c r="BM249" s="3">
        <v>0</v>
      </c>
      <c r="BN249" s="3">
        <v>0.03</v>
      </c>
      <c r="BO249" s="3">
        <v>0</v>
      </c>
      <c r="BP249" s="3">
        <v>42597</v>
      </c>
      <c r="BQ249" s="3">
        <v>5848.96</v>
      </c>
      <c r="BR249" s="3">
        <v>18.0258</v>
      </c>
      <c r="BS249" s="21">
        <f ca="1">_xll.IMDP("BND",BJ249,BS8,BJ3)</f>
        <v>20500310</v>
      </c>
      <c r="BT249" s="23">
        <f ca="1">_xll.IMDP("BND",BJ249,BT8,BJ3)</f>
        <v>4.3540000000000001</v>
      </c>
      <c r="BU249" s="2"/>
      <c r="CE249" s="21" t="str">
        <f ca="1">_xll.IMDP("BND",BV249,CE8,BV3)</f>
        <v>입력오류</v>
      </c>
      <c r="CF249" s="23" t="str">
        <f ca="1">_xll.IMDP("BND",BV249,CF8,BV3)</f>
        <v>입력오류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">
        <v>46198</v>
      </c>
      <c r="CT249" s="3" t="s">
        <v>2629</v>
      </c>
      <c r="CU249" s="3" t="s">
        <v>548</v>
      </c>
      <c r="CV249" s="3" t="s">
        <v>2630</v>
      </c>
      <c r="CW249" s="3">
        <v>0</v>
      </c>
      <c r="CX249" s="3">
        <v>0.09</v>
      </c>
      <c r="CY249" s="3">
        <v>0</v>
      </c>
      <c r="CZ249" s="3">
        <v>126916</v>
      </c>
      <c r="DA249" s="3">
        <v>9057.32</v>
      </c>
      <c r="DB249" s="3">
        <v>4.3686999999999996</v>
      </c>
      <c r="DC249" s="21">
        <f ca="1">_xll.IMDP("BND",CT249,DC8,CT3)</f>
        <v>20310219</v>
      </c>
      <c r="DD249" s="23">
        <f ca="1">_xll.IMDP("BND",CT249,DD8,CT3)</f>
        <v>4.444</v>
      </c>
      <c r="DE249" s="2"/>
      <c r="DO249" s="21" t="str">
        <f ca="1">_xll.IMDP("BND",DF249,DO8,DF3)</f>
        <v>입력오류</v>
      </c>
      <c r="DP249" s="23" t="str">
        <f ca="1">_xll.IMDP("BND",DF249,DP8,DF3)</f>
        <v>입력오류</v>
      </c>
      <c r="DQ249" s="2"/>
      <c r="EA249" s="21" t="str">
        <f ca="1">_xll.IMDP("BND",DR249,EA8,DR3)</f>
        <v>입력오류</v>
      </c>
      <c r="EB249" s="23" t="str">
        <f ca="1">_xll.IMDP("BND",DR249,EB8,DR3)</f>
        <v>입력오류</v>
      </c>
    </row>
    <row r="250" spans="1:132" ht="13.5" customHeight="1" x14ac:dyDescent="0.3">
      <c r="A250" s="2">
        <v>46198</v>
      </c>
      <c r="B250" s="3" t="s">
        <v>2054</v>
      </c>
      <c r="C250" s="3" t="s">
        <v>98</v>
      </c>
      <c r="D250" s="3" t="s">
        <v>2055</v>
      </c>
      <c r="E250" s="3">
        <v>0</v>
      </c>
      <c r="F250" s="3">
        <v>0.2</v>
      </c>
      <c r="G250" s="3">
        <v>0</v>
      </c>
      <c r="H250" s="3">
        <v>219786</v>
      </c>
      <c r="I250" s="3">
        <v>8276.2900000000009</v>
      </c>
      <c r="J250" s="3">
        <v>4.5232999999999999</v>
      </c>
      <c r="K250" s="21">
        <f ca="1">_xll.IMDP("BND",B250,K8,B3)</f>
        <v>20310310</v>
      </c>
      <c r="L250" s="23">
        <f ca="1">_xll.IMDP("BND",B250,L8,B3)</f>
        <v>4.0970000000000004</v>
      </c>
      <c r="M250" s="2"/>
      <c r="W250" s="21" t="str">
        <f ca="1">_xll.IMDP("BND",N250,W8,N3)</f>
        <v>입력오류</v>
      </c>
      <c r="X250" s="23" t="str">
        <f ca="1">_xll.IMDP("BND",N250,X8,N3)</f>
        <v>입력오류</v>
      </c>
      <c r="Y250" s="2"/>
      <c r="AI250" s="21" t="str">
        <f ca="1">_xll.IMDP("BND",Z250,AI8,Z3)</f>
        <v>입력오류</v>
      </c>
      <c r="AJ250" s="23" t="str">
        <f ca="1">_xll.IMDP("BND",Z250,AJ8,Z3)</f>
        <v>입력오류</v>
      </c>
      <c r="AK250" s="2"/>
      <c r="AU250" s="21" t="str">
        <f ca="1">_xll.IMDP("BND",AL250,AU8,AL3)</f>
        <v>입력오류</v>
      </c>
      <c r="AV250" s="23" t="str">
        <f ca="1">_xll.IMDP("BND",AL250,AV8,AL3)</f>
        <v>입력오류</v>
      </c>
      <c r="AW250" s="2"/>
      <c r="BG250" s="21" t="str">
        <f ca="1">_xll.IMDP("BND",AX250,BG8,AX3)</f>
        <v>입력오류</v>
      </c>
      <c r="BH250" s="23" t="str">
        <f ca="1">_xll.IMDP("BND",AX250,BH8,AX3)</f>
        <v>입력오류</v>
      </c>
      <c r="BI250" s="2">
        <v>46198</v>
      </c>
      <c r="BJ250" s="3" t="s">
        <v>1665</v>
      </c>
      <c r="BK250" s="3" t="s">
        <v>50</v>
      </c>
      <c r="BL250" s="3" t="s">
        <v>1666</v>
      </c>
      <c r="BM250" s="3">
        <v>0</v>
      </c>
      <c r="BN250" s="3">
        <v>0.03</v>
      </c>
      <c r="BO250" s="3">
        <v>0</v>
      </c>
      <c r="BP250" s="3">
        <v>36901</v>
      </c>
      <c r="BQ250" s="3">
        <v>10025.08</v>
      </c>
      <c r="BR250" s="3">
        <v>1.6326000000000001</v>
      </c>
      <c r="BS250" s="21">
        <f ca="1">_xll.IMDP("BND",BJ250,BS8,BJ3)</f>
        <v>20280310</v>
      </c>
      <c r="BT250" s="23">
        <f ca="1">_xll.IMDP("BND",BJ250,BT8,BJ3)</f>
        <v>3.6680000000000001</v>
      </c>
      <c r="BU250" s="2"/>
      <c r="CE250" s="21" t="str">
        <f ca="1">_xll.IMDP("BND",BV250,CE8,BV3)</f>
        <v>입력오류</v>
      </c>
      <c r="CF250" s="23" t="str">
        <f ca="1">_xll.IMDP("BND",BV250,CF8,BV3)</f>
        <v>입력오류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">
        <v>46198</v>
      </c>
      <c r="CT250" s="3" t="s">
        <v>2631</v>
      </c>
      <c r="CU250" s="3" t="s">
        <v>113</v>
      </c>
      <c r="CV250" s="3" t="s">
        <v>2632</v>
      </c>
      <c r="CW250" s="3">
        <v>0</v>
      </c>
      <c r="CX250" s="3">
        <v>0.08</v>
      </c>
      <c r="CY250" s="3">
        <v>0</v>
      </c>
      <c r="CZ250" s="3">
        <v>110312</v>
      </c>
      <c r="DA250" s="3">
        <v>9448.94</v>
      </c>
      <c r="DB250" s="3">
        <v>2.7360000000000002</v>
      </c>
      <c r="DC250" s="21">
        <f ca="1">_xll.IMDP("BND",CT250,DC8,CT3)</f>
        <v>20290507</v>
      </c>
      <c r="DD250" s="23">
        <f ca="1">_xll.IMDP("BND",CT250,DD8,CT3)</f>
        <v>4.1420000000000003</v>
      </c>
      <c r="DE250" s="2"/>
      <c r="DO250" s="21" t="str">
        <f ca="1">_xll.IMDP("BND",DF250,DO8,DF3)</f>
        <v>입력오류</v>
      </c>
      <c r="DP250" s="23" t="str">
        <f ca="1">_xll.IMDP("BND",DF250,DP8,DF3)</f>
        <v>입력오류</v>
      </c>
      <c r="DQ250" s="2"/>
      <c r="EA250" s="21" t="str">
        <f ca="1">_xll.IMDP("BND",DR250,EA8,DR3)</f>
        <v>입력오류</v>
      </c>
      <c r="EB250" s="23" t="str">
        <f ca="1">_xll.IMDP("BND",DR250,EB8,DR3)</f>
        <v>입력오류</v>
      </c>
    </row>
    <row r="251" spans="1:132" ht="13.5" customHeight="1" x14ac:dyDescent="0.3">
      <c r="A251" s="2">
        <v>46198</v>
      </c>
      <c r="B251" s="3" t="s">
        <v>2056</v>
      </c>
      <c r="C251" s="3" t="s">
        <v>98</v>
      </c>
      <c r="D251" s="3" t="s">
        <v>2057</v>
      </c>
      <c r="E251" s="3">
        <v>0</v>
      </c>
      <c r="F251" s="3">
        <v>0.2</v>
      </c>
      <c r="G251" s="3">
        <v>0</v>
      </c>
      <c r="H251" s="3">
        <v>217292</v>
      </c>
      <c r="I251" s="3">
        <v>8183.11</v>
      </c>
      <c r="J251" s="3">
        <v>4.7641</v>
      </c>
      <c r="K251" s="21">
        <f ca="1">_xll.IMDP("BND",B251,K8,B3)</f>
        <v>20310610</v>
      </c>
      <c r="L251" s="23">
        <f ca="1">_xll.IMDP("BND",B251,L8,B3)</f>
        <v>4.125</v>
      </c>
      <c r="M251" s="2"/>
      <c r="W251" s="21" t="str">
        <f ca="1">_xll.IMDP("BND",N251,W8,N3)</f>
        <v>입력오류</v>
      </c>
      <c r="X251" s="23" t="str">
        <f ca="1">_xll.IMDP("BND",N251,X8,N3)</f>
        <v>입력오류</v>
      </c>
      <c r="Y251" s="2"/>
      <c r="AI251" s="21" t="str">
        <f ca="1">_xll.IMDP("BND",Z251,AI8,Z3)</f>
        <v>입력오류</v>
      </c>
      <c r="AJ251" s="23" t="str">
        <f ca="1">_xll.IMDP("BND",Z251,AJ8,Z3)</f>
        <v>입력오류</v>
      </c>
      <c r="AK251" s="2"/>
      <c r="AU251" s="21" t="str">
        <f ca="1">_xll.IMDP("BND",AL251,AU8,AL3)</f>
        <v>입력오류</v>
      </c>
      <c r="AV251" s="23" t="str">
        <f ca="1">_xll.IMDP("BND",AL251,AV8,AL3)</f>
        <v>입력오류</v>
      </c>
      <c r="AW251" s="2"/>
      <c r="BG251" s="21" t="str">
        <f ca="1">_xll.IMDP("BND",AX251,BG8,AX3)</f>
        <v>입력오류</v>
      </c>
      <c r="BH251" s="23" t="str">
        <f ca="1">_xll.IMDP("BND",AX251,BH8,AX3)</f>
        <v>입력오류</v>
      </c>
      <c r="BI251" s="2">
        <v>46198</v>
      </c>
      <c r="BJ251" s="3" t="s">
        <v>1667</v>
      </c>
      <c r="BK251" s="3" t="s">
        <v>1668</v>
      </c>
      <c r="BL251" s="3" t="s">
        <v>1669</v>
      </c>
      <c r="BM251" s="3">
        <v>0</v>
      </c>
      <c r="BN251" s="3">
        <v>0.03</v>
      </c>
      <c r="BO251" s="3">
        <v>0</v>
      </c>
      <c r="BP251" s="3">
        <v>36524</v>
      </c>
      <c r="BQ251" s="3">
        <v>9524.42</v>
      </c>
      <c r="BR251" s="3">
        <v>2.6046999999999998</v>
      </c>
      <c r="BS251" s="21">
        <f ca="1">_xll.IMDP("BND",BJ251,BS8,BJ3)</f>
        <v>20290308</v>
      </c>
      <c r="BT251" s="23">
        <f ca="1">_xll.IMDP("BND",BJ251,BT8,BJ3)</f>
        <v>4.0279999999999996</v>
      </c>
      <c r="BU251" s="2"/>
      <c r="CE251" s="21" t="str">
        <f ca="1">_xll.IMDP("BND",BV251,CE8,BV3)</f>
        <v>입력오류</v>
      </c>
      <c r="CF251" s="23" t="str">
        <f ca="1">_xll.IMDP("BND",BV251,CF8,BV3)</f>
        <v>입력오류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">
        <v>46198</v>
      </c>
      <c r="CT251" s="3" t="s">
        <v>2633</v>
      </c>
      <c r="CU251" s="3" t="s">
        <v>796</v>
      </c>
      <c r="CV251" s="3" t="s">
        <v>2634</v>
      </c>
      <c r="CW251" s="3">
        <v>0</v>
      </c>
      <c r="CX251" s="3">
        <v>0.08</v>
      </c>
      <c r="CY251" s="3">
        <v>0</v>
      </c>
      <c r="CZ251" s="3">
        <v>109914</v>
      </c>
      <c r="DA251" s="3">
        <v>9414.86</v>
      </c>
      <c r="DB251" s="3">
        <v>5.0347999999999997</v>
      </c>
      <c r="DC251" s="21">
        <f ca="1">_xll.IMDP("BND",CT251,DC8,CT3)</f>
        <v>20320122</v>
      </c>
      <c r="DD251" s="23">
        <f ca="1">_xll.IMDP("BND",CT251,DD8,CT3)</f>
        <v>4.4359999999999999</v>
      </c>
      <c r="DE251" s="2"/>
      <c r="DO251" s="21" t="str">
        <f ca="1">_xll.IMDP("BND",DF251,DO8,DF3)</f>
        <v>입력오류</v>
      </c>
      <c r="DP251" s="23" t="str">
        <f ca="1">_xll.IMDP("BND",DF251,DP8,DF3)</f>
        <v>입력오류</v>
      </c>
      <c r="DQ251" s="2"/>
      <c r="EA251" s="21" t="str">
        <f ca="1">_xll.IMDP("BND",DR251,EA8,DR3)</f>
        <v>입력오류</v>
      </c>
      <c r="EB251" s="23" t="str">
        <f ca="1">_xll.IMDP("BND",DR251,EB8,DR3)</f>
        <v>입력오류</v>
      </c>
    </row>
    <row r="252" spans="1:132" ht="13.5" customHeight="1" x14ac:dyDescent="0.3">
      <c r="A252" s="2">
        <v>46198</v>
      </c>
      <c r="B252" s="3" t="s">
        <v>2058</v>
      </c>
      <c r="C252" s="3" t="s">
        <v>310</v>
      </c>
      <c r="D252" s="3" t="s">
        <v>2059</v>
      </c>
      <c r="E252" s="3">
        <v>0</v>
      </c>
      <c r="F252" s="3">
        <v>0.19</v>
      </c>
      <c r="G252" s="3">
        <v>0</v>
      </c>
      <c r="H252" s="3">
        <v>215530</v>
      </c>
      <c r="I252" s="3">
        <v>8121.06</v>
      </c>
      <c r="J252" s="3">
        <v>13.6892</v>
      </c>
      <c r="K252" s="21">
        <f ca="1">_xll.IMDP("BND",B252,K8,B3)</f>
        <v>20450812</v>
      </c>
      <c r="L252" s="23">
        <f ca="1">_xll.IMDP("BND",B252,L8,B3)</f>
        <v>4.4779999999999998</v>
      </c>
      <c r="M252" s="2"/>
      <c r="W252" s="21" t="str">
        <f ca="1">_xll.IMDP("BND",N252,W8,N3)</f>
        <v>입력오류</v>
      </c>
      <c r="X252" s="23" t="str">
        <f ca="1">_xll.IMDP("BND",N252,X8,N3)</f>
        <v>입력오류</v>
      </c>
      <c r="Y252" s="2"/>
      <c r="AI252" s="21" t="str">
        <f ca="1">_xll.IMDP("BND",Z252,AI8,Z3)</f>
        <v>입력오류</v>
      </c>
      <c r="AJ252" s="23" t="str">
        <f ca="1">_xll.IMDP("BND",Z252,AJ8,Z3)</f>
        <v>입력오류</v>
      </c>
      <c r="AK252" s="2"/>
      <c r="AU252" s="21" t="str">
        <f ca="1">_xll.IMDP("BND",AL252,AU8,AL3)</f>
        <v>입력오류</v>
      </c>
      <c r="AV252" s="23" t="str">
        <f ca="1">_xll.IMDP("BND",AL252,AV8,AL3)</f>
        <v>입력오류</v>
      </c>
      <c r="AW252" s="2"/>
      <c r="BG252" s="21" t="str">
        <f ca="1">_xll.IMDP("BND",AX252,BG8,AX3)</f>
        <v>입력오류</v>
      </c>
      <c r="BH252" s="23" t="str">
        <f ca="1">_xll.IMDP("BND",AX252,BH8,AX3)</f>
        <v>입력오류</v>
      </c>
      <c r="BI252" s="2">
        <v>46198</v>
      </c>
      <c r="BJ252" s="3" t="s">
        <v>1670</v>
      </c>
      <c r="BK252" s="3" t="s">
        <v>1281</v>
      </c>
      <c r="BL252" s="3" t="s">
        <v>1671</v>
      </c>
      <c r="BM252" s="3">
        <v>0</v>
      </c>
      <c r="BN252" s="3">
        <v>0.03</v>
      </c>
      <c r="BO252" s="3">
        <v>0</v>
      </c>
      <c r="BP252" s="3">
        <v>36512</v>
      </c>
      <c r="BQ252" s="3">
        <v>9522.18</v>
      </c>
      <c r="BR252" s="3">
        <v>2.9039999999999999</v>
      </c>
      <c r="BS252" s="21">
        <f ca="1">_xll.IMDP("BND",BJ252,BS8,BJ3)</f>
        <v>20290630</v>
      </c>
      <c r="BT252" s="23">
        <f ca="1">_xll.IMDP("BND",BJ252,BT8,BJ3)</f>
        <v>3.8380000000000001</v>
      </c>
      <c r="BU252" s="2"/>
      <c r="CE252" s="21" t="str">
        <f ca="1">_xll.IMDP("BND",BV252,CE8,BV3)</f>
        <v>입력오류</v>
      </c>
      <c r="CF252" s="23" t="str">
        <f ca="1">_xll.IMDP("BND",BV252,CF8,BV3)</f>
        <v>입력오류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">
        <v>46198</v>
      </c>
      <c r="CT252" s="3" t="s">
        <v>103</v>
      </c>
      <c r="CU252" s="3" t="s">
        <v>63</v>
      </c>
      <c r="CV252" s="3" t="s">
        <v>2635</v>
      </c>
      <c r="CW252" s="3">
        <v>0</v>
      </c>
      <c r="CX252" s="3">
        <v>7.0000000000000007E-2</v>
      </c>
      <c r="CY252" s="3">
        <v>0</v>
      </c>
      <c r="CZ252" s="3">
        <v>105618</v>
      </c>
      <c r="DA252" s="3">
        <v>9584.92</v>
      </c>
      <c r="DB252" s="3">
        <v>12.1684</v>
      </c>
      <c r="DC252" s="21">
        <f ca="1">_xll.IMDP("BND",CT252,DC8,CT3)</f>
        <v>20430910</v>
      </c>
      <c r="DD252" s="23">
        <f ca="1">_xll.IMDP("BND",CT252,DD8,CT3)</f>
        <v>4.3109999999999999</v>
      </c>
      <c r="DE252" s="2"/>
      <c r="DO252" s="21" t="str">
        <f ca="1">_xll.IMDP("BND",DF252,DO8,DF3)</f>
        <v>입력오류</v>
      </c>
      <c r="DP252" s="23" t="str">
        <f ca="1">_xll.IMDP("BND",DF252,DP8,DF3)</f>
        <v>입력오류</v>
      </c>
      <c r="DQ252" s="2"/>
      <c r="EA252" s="21" t="str">
        <f ca="1">_xll.IMDP("BND",DR252,EA8,DR3)</f>
        <v>입력오류</v>
      </c>
      <c r="EB252" s="23" t="str">
        <f ca="1">_xll.IMDP("BND",DR252,EB8,DR3)</f>
        <v>입력오류</v>
      </c>
    </row>
    <row r="253" spans="1:132" ht="13.5" customHeight="1" x14ac:dyDescent="0.3">
      <c r="A253" s="2">
        <v>46198</v>
      </c>
      <c r="B253" s="3" t="s">
        <v>2060</v>
      </c>
      <c r="C253" s="3" t="s">
        <v>787</v>
      </c>
      <c r="D253" s="3" t="s">
        <v>2061</v>
      </c>
      <c r="E253" s="3">
        <v>0</v>
      </c>
      <c r="F253" s="3">
        <v>0.19</v>
      </c>
      <c r="G253" s="3">
        <v>0</v>
      </c>
      <c r="H253" s="3">
        <v>214091</v>
      </c>
      <c r="I253" s="3">
        <v>10078.06</v>
      </c>
      <c r="J253" s="3">
        <v>1.6717</v>
      </c>
      <c r="K253" s="21">
        <f ca="1">_xll.IMDP("BND",B253,K8,B3)</f>
        <v>20280328</v>
      </c>
      <c r="L253" s="23">
        <f ca="1">_xll.IMDP("BND",B253,L8,B3)</f>
        <v>4.2359999999999998</v>
      </c>
      <c r="M253" s="2"/>
      <c r="W253" s="21" t="str">
        <f ca="1">_xll.IMDP("BND",N253,W8,N3)</f>
        <v>입력오류</v>
      </c>
      <c r="X253" s="23" t="str">
        <f ca="1">_xll.IMDP("BND",N253,X8,N3)</f>
        <v>입력오류</v>
      </c>
      <c r="Y253" s="2"/>
      <c r="AI253" s="21" t="str">
        <f ca="1">_xll.IMDP("BND",Z253,AI8,Z3)</f>
        <v>입력오류</v>
      </c>
      <c r="AJ253" s="23" t="str">
        <f ca="1">_xll.IMDP("BND",Z253,AJ8,Z3)</f>
        <v>입력오류</v>
      </c>
      <c r="AK253" s="2"/>
      <c r="AU253" s="21" t="str">
        <f ca="1">_xll.IMDP("BND",AL253,AU8,AL3)</f>
        <v>입력오류</v>
      </c>
      <c r="AV253" s="23" t="str">
        <f ca="1">_xll.IMDP("BND",AL253,AV8,AL3)</f>
        <v>입력오류</v>
      </c>
      <c r="AW253" s="2"/>
      <c r="BG253" s="21" t="str">
        <f ca="1">_xll.IMDP("BND",AX253,BG8,AX3)</f>
        <v>입력오류</v>
      </c>
      <c r="BH253" s="23" t="str">
        <f ca="1">_xll.IMDP("BND",AX253,BH8,AX3)</f>
        <v>입력오류</v>
      </c>
      <c r="BI253" s="2">
        <v>46198</v>
      </c>
      <c r="BJ253" s="3" t="s">
        <v>748</v>
      </c>
      <c r="BK253" s="3" t="s">
        <v>29</v>
      </c>
      <c r="BL253" s="3" t="s">
        <v>749</v>
      </c>
      <c r="BM253" s="3">
        <v>0</v>
      </c>
      <c r="BN253" s="3">
        <v>0.03</v>
      </c>
      <c r="BO253" s="3">
        <v>0</v>
      </c>
      <c r="BP253" s="3">
        <v>36147</v>
      </c>
      <c r="BQ253" s="3">
        <v>7823.32</v>
      </c>
      <c r="BR253" s="3">
        <v>9.1420999999999992</v>
      </c>
      <c r="BS253" s="21">
        <f ca="1">_xll.IMDP("BND",BJ253,BS8,BJ3)</f>
        <v>20360910</v>
      </c>
      <c r="BT253" s="23">
        <f ca="1">_xll.IMDP("BND",BJ253,BT8,BJ3)</f>
        <v>4.1950000000000003</v>
      </c>
      <c r="BU253" s="2"/>
      <c r="CE253" s="21" t="str">
        <f ca="1">_xll.IMDP("BND",BV253,CE8,BV3)</f>
        <v>입력오류</v>
      </c>
      <c r="CF253" s="23" t="str">
        <f ca="1">_xll.IMDP("BND",BV253,CF8,BV3)</f>
        <v>입력오류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">
        <v>46198</v>
      </c>
      <c r="CT253" s="3" t="s">
        <v>79</v>
      </c>
      <c r="CU253" s="3" t="s">
        <v>29</v>
      </c>
      <c r="CV253" s="3" t="s">
        <v>2636</v>
      </c>
      <c r="CW253" s="3">
        <v>0</v>
      </c>
      <c r="CX253" s="3">
        <v>7.0000000000000007E-2</v>
      </c>
      <c r="CY253" s="3">
        <v>0</v>
      </c>
      <c r="CZ253" s="3">
        <v>102241</v>
      </c>
      <c r="DA253" s="3">
        <v>8936.58</v>
      </c>
      <c r="DB253" s="3">
        <v>16.289400000000001</v>
      </c>
      <c r="DC253" s="21">
        <f ca="1">_xll.IMDP("BND",CT253,DC8,CT3)</f>
        <v>20530910</v>
      </c>
      <c r="DD253" s="23">
        <f ca="1">_xll.IMDP("BND",CT253,DD8,CT3)</f>
        <v>4.3620000000000001</v>
      </c>
      <c r="DE253" s="2"/>
      <c r="DO253" s="21" t="str">
        <f ca="1">_xll.IMDP("BND",DF253,DO8,DF3)</f>
        <v>입력오류</v>
      </c>
      <c r="DP253" s="23" t="str">
        <f ca="1">_xll.IMDP("BND",DF253,DP8,DF3)</f>
        <v>입력오류</v>
      </c>
      <c r="DQ253" s="2"/>
      <c r="EA253" s="21" t="str">
        <f ca="1">_xll.IMDP("BND",DR253,EA8,DR3)</f>
        <v>입력오류</v>
      </c>
      <c r="EB253" s="23" t="str">
        <f ca="1">_xll.IMDP("BND",DR253,EB8,DR3)</f>
        <v>입력오류</v>
      </c>
    </row>
    <row r="254" spans="1:132" ht="13.5" customHeight="1" x14ac:dyDescent="0.3">
      <c r="A254" s="2">
        <v>46198</v>
      </c>
      <c r="B254" s="3" t="s">
        <v>2062</v>
      </c>
      <c r="C254" s="3" t="s">
        <v>1871</v>
      </c>
      <c r="D254" s="3" t="s">
        <v>2063</v>
      </c>
      <c r="E254" s="3">
        <v>0</v>
      </c>
      <c r="F254" s="3">
        <v>0.19</v>
      </c>
      <c r="G254" s="3">
        <v>0</v>
      </c>
      <c r="H254" s="3">
        <v>207774</v>
      </c>
      <c r="I254" s="3">
        <v>9780.1299999999992</v>
      </c>
      <c r="J254" s="3">
        <v>3.0434000000000001</v>
      </c>
      <c r="K254" s="21">
        <f ca="1">_xll.IMDP("BND",B254,K8,B3)</f>
        <v>20290926</v>
      </c>
      <c r="L254" s="23">
        <f ca="1">_xll.IMDP("BND",B254,L8,B3)</f>
        <v>4.21</v>
      </c>
      <c r="M254" s="2"/>
      <c r="W254" s="21" t="str">
        <f ca="1">_xll.IMDP("BND",N254,W8,N3)</f>
        <v>입력오류</v>
      </c>
      <c r="X254" s="23" t="str">
        <f ca="1">_xll.IMDP("BND",N254,X8,N3)</f>
        <v>입력오류</v>
      </c>
      <c r="Y254" s="2"/>
      <c r="AI254" s="21" t="str">
        <f ca="1">_xll.IMDP("BND",Z254,AI8,Z3)</f>
        <v>입력오류</v>
      </c>
      <c r="AJ254" s="23" t="str">
        <f ca="1">_xll.IMDP("BND",Z254,AJ8,Z3)</f>
        <v>입력오류</v>
      </c>
      <c r="AK254" s="2"/>
      <c r="AU254" s="21" t="str">
        <f ca="1">_xll.IMDP("BND",AL254,AU8,AL3)</f>
        <v>입력오류</v>
      </c>
      <c r="AV254" s="23" t="str">
        <f ca="1">_xll.IMDP("BND",AL254,AV8,AL3)</f>
        <v>입력오류</v>
      </c>
      <c r="AW254" s="2"/>
      <c r="BG254" s="21" t="str">
        <f ca="1">_xll.IMDP("BND",AX254,BG8,AX3)</f>
        <v>입력오류</v>
      </c>
      <c r="BH254" s="23" t="str">
        <f ca="1">_xll.IMDP("BND",AX254,BH8,AX3)</f>
        <v>입력오류</v>
      </c>
      <c r="BI254" s="2">
        <v>46198</v>
      </c>
      <c r="BJ254" s="3" t="s">
        <v>128</v>
      </c>
      <c r="BK254" s="3" t="s">
        <v>50</v>
      </c>
      <c r="BL254" s="3" t="s">
        <v>129</v>
      </c>
      <c r="BM254" s="3">
        <v>0</v>
      </c>
      <c r="BN254" s="3">
        <v>0.03</v>
      </c>
      <c r="BO254" s="3">
        <v>0</v>
      </c>
      <c r="BP254" s="3">
        <v>36075</v>
      </c>
      <c r="BQ254" s="3">
        <v>10009.049999999999</v>
      </c>
      <c r="BR254" s="3">
        <v>0.93640000000000001</v>
      </c>
      <c r="BS254" s="21">
        <f ca="1">_xll.IMDP("BND",BJ254,BS8,BJ3)</f>
        <v>20270610</v>
      </c>
      <c r="BT254" s="23">
        <f ca="1">_xll.IMDP("BND",BJ254,BT8,BJ3)</f>
        <v>3.2930000000000001</v>
      </c>
      <c r="BU254" s="2"/>
      <c r="CE254" s="21" t="str">
        <f ca="1">_xll.IMDP("BND",BV254,CE8,BV3)</f>
        <v>입력오류</v>
      </c>
      <c r="CF254" s="23" t="str">
        <f ca="1">_xll.IMDP("BND",BV254,CF8,BV3)</f>
        <v>입력오류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">
        <v>46198</v>
      </c>
      <c r="CT254" s="3" t="s">
        <v>2637</v>
      </c>
      <c r="CU254" s="3" t="s">
        <v>2638</v>
      </c>
      <c r="CV254" s="3" t="s">
        <v>2639</v>
      </c>
      <c r="CW254" s="3">
        <v>0</v>
      </c>
      <c r="CX254" s="3">
        <v>7.0000000000000007E-2</v>
      </c>
      <c r="CY254" s="3">
        <v>0</v>
      </c>
      <c r="CZ254" s="3">
        <v>94755</v>
      </c>
      <c r="DA254" s="3">
        <v>10146.06</v>
      </c>
      <c r="DB254" s="3">
        <v>1.1403000000000001</v>
      </c>
      <c r="DC254" s="21">
        <f ca="1">_xll.IMDP("BND",CT254,DC8,CT3)</f>
        <v>20270830</v>
      </c>
      <c r="DD254" s="23">
        <f ca="1">_xll.IMDP("BND",CT254,DD8,CT3)</f>
        <v>3.8719999999999999</v>
      </c>
      <c r="DE254" s="2"/>
      <c r="DO254" s="21" t="str">
        <f ca="1">_xll.IMDP("BND",DF254,DO8,DF3)</f>
        <v>입력오류</v>
      </c>
      <c r="DP254" s="23" t="str">
        <f ca="1">_xll.IMDP("BND",DF254,DP8,DF3)</f>
        <v>입력오류</v>
      </c>
      <c r="DQ254" s="2"/>
      <c r="EA254" s="21" t="str">
        <f ca="1">_xll.IMDP("BND",DR254,EA8,DR3)</f>
        <v>입력오류</v>
      </c>
      <c r="EB254" s="23" t="str">
        <f ca="1">_xll.IMDP("BND",DR254,EB8,DR3)</f>
        <v>입력오류</v>
      </c>
    </row>
    <row r="255" spans="1:132" ht="13.5" customHeight="1" x14ac:dyDescent="0.3">
      <c r="A255" s="2">
        <v>46198</v>
      </c>
      <c r="B255" s="3" t="s">
        <v>115</v>
      </c>
      <c r="C255" s="3" t="s">
        <v>29</v>
      </c>
      <c r="D255" s="3" t="s">
        <v>116</v>
      </c>
      <c r="E255" s="3">
        <v>0</v>
      </c>
      <c r="F255" s="3">
        <v>0.19</v>
      </c>
      <c r="G255" s="3">
        <v>0</v>
      </c>
      <c r="H255" s="3">
        <v>207122</v>
      </c>
      <c r="I255" s="3">
        <v>9085.8700000000008</v>
      </c>
      <c r="J255" s="3">
        <v>4.6357999999999997</v>
      </c>
      <c r="K255" s="21">
        <f ca="1">_xll.IMDP("BND",B255,K8,B3)</f>
        <v>20310610</v>
      </c>
      <c r="L255" s="23">
        <f ca="1">_xll.IMDP("BND",B255,L8,B3)</f>
        <v>4.0720000000000001</v>
      </c>
      <c r="M255" s="2"/>
      <c r="W255" s="21" t="str">
        <f ca="1">_xll.IMDP("BND",N255,W8,N3)</f>
        <v>입력오류</v>
      </c>
      <c r="X255" s="23" t="str">
        <f ca="1">_xll.IMDP("BND",N255,X8,N3)</f>
        <v>입력오류</v>
      </c>
      <c r="Y255" s="2"/>
      <c r="AI255" s="21" t="str">
        <f ca="1">_xll.IMDP("BND",Z255,AI8,Z3)</f>
        <v>입력오류</v>
      </c>
      <c r="AJ255" s="23" t="str">
        <f ca="1">_xll.IMDP("BND",Z255,AJ8,Z3)</f>
        <v>입력오류</v>
      </c>
      <c r="AK255" s="2"/>
      <c r="AU255" s="21" t="str">
        <f ca="1">_xll.IMDP("BND",AL255,AU8,AL3)</f>
        <v>입력오류</v>
      </c>
      <c r="AV255" s="23" t="str">
        <f ca="1">_xll.IMDP("BND",AL255,AV8,AL3)</f>
        <v>입력오류</v>
      </c>
      <c r="AW255" s="2"/>
      <c r="BG255" s="21" t="str">
        <f ca="1">_xll.IMDP("BND",AX255,BG8,AX3)</f>
        <v>입력오류</v>
      </c>
      <c r="BH255" s="23" t="str">
        <f ca="1">_xll.IMDP("BND",AX255,BH8,AX3)</f>
        <v>입력오류</v>
      </c>
      <c r="BI255" s="2">
        <v>46198</v>
      </c>
      <c r="BJ255" s="3" t="s">
        <v>1672</v>
      </c>
      <c r="BK255" s="3" t="s">
        <v>908</v>
      </c>
      <c r="BL255" s="3" t="s">
        <v>1673</v>
      </c>
      <c r="BM255" s="3">
        <v>0</v>
      </c>
      <c r="BN255" s="3">
        <v>0.02</v>
      </c>
      <c r="BO255" s="3">
        <v>0</v>
      </c>
      <c r="BP255" s="3">
        <v>29417</v>
      </c>
      <c r="BQ255" s="3">
        <v>10095.530000000001</v>
      </c>
      <c r="BR255" s="3">
        <v>5.0804</v>
      </c>
      <c r="BS255" s="21">
        <f ca="1">_xll.IMDP("BND",BJ255,BS8,BJ3)</f>
        <v>20320403</v>
      </c>
      <c r="BT255" s="23">
        <f ca="1">_xll.IMDP("BND",BJ255,BT8,BJ3)</f>
        <v>4.2750000000000004</v>
      </c>
      <c r="BU255" s="2"/>
      <c r="CE255" s="21" t="str">
        <f ca="1">_xll.IMDP("BND",BV255,CE8,BV3)</f>
        <v>입력오류</v>
      </c>
      <c r="CF255" s="23" t="str">
        <f ca="1">_xll.IMDP("BND",BV255,CF8,BV3)</f>
        <v>입력오류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">
        <v>46198</v>
      </c>
      <c r="CT255" s="3" t="s">
        <v>2640</v>
      </c>
      <c r="CU255" s="3" t="s">
        <v>1306</v>
      </c>
      <c r="CV255" s="3" t="s">
        <v>2641</v>
      </c>
      <c r="CW255" s="3">
        <v>0</v>
      </c>
      <c r="CX255" s="3">
        <v>7.0000000000000007E-2</v>
      </c>
      <c r="CY255" s="3">
        <v>0</v>
      </c>
      <c r="CZ255" s="3">
        <v>93971</v>
      </c>
      <c r="DA255" s="3">
        <v>10062.459999999999</v>
      </c>
      <c r="DB255" s="3">
        <v>0.89290000000000003</v>
      </c>
      <c r="DC255" s="21">
        <f ca="1">_xll.IMDP("BND",CT255,DC8,CT3)</f>
        <v>20270525</v>
      </c>
      <c r="DD255" s="23">
        <f ca="1">_xll.IMDP("BND",CT255,DD8,CT3)</f>
        <v>3.79</v>
      </c>
      <c r="DE255" s="2"/>
      <c r="DO255" s="21" t="str">
        <f ca="1">_xll.IMDP("BND",DF255,DO8,DF3)</f>
        <v>입력오류</v>
      </c>
      <c r="DP255" s="23" t="str">
        <f ca="1">_xll.IMDP("BND",DF255,DP8,DF3)</f>
        <v>입력오류</v>
      </c>
      <c r="DQ255" s="2"/>
      <c r="EA255" s="21" t="str">
        <f ca="1">_xll.IMDP("BND",DR255,EA8,DR3)</f>
        <v>입력오류</v>
      </c>
      <c r="EB255" s="23" t="str">
        <f ca="1">_xll.IMDP("BND",DR255,EB8,DR3)</f>
        <v>입력오류</v>
      </c>
    </row>
    <row r="256" spans="1:132" ht="13.5" customHeight="1" x14ac:dyDescent="0.3">
      <c r="A256" s="2">
        <v>46198</v>
      </c>
      <c r="B256" s="3" t="s">
        <v>2064</v>
      </c>
      <c r="C256" s="3" t="s">
        <v>1297</v>
      </c>
      <c r="D256" s="3" t="s">
        <v>2065</v>
      </c>
      <c r="E256" s="3">
        <v>0</v>
      </c>
      <c r="F256" s="3">
        <v>0.19</v>
      </c>
      <c r="G256" s="3">
        <v>0</v>
      </c>
      <c r="H256" s="3">
        <v>206783</v>
      </c>
      <c r="I256" s="3">
        <v>9856.8799999999992</v>
      </c>
      <c r="J256" s="3">
        <v>1.4145000000000001</v>
      </c>
      <c r="K256" s="21">
        <f ca="1">_xll.IMDP("BND",B256,K8,B3)</f>
        <v>20271208</v>
      </c>
      <c r="L256" s="23">
        <f ca="1">_xll.IMDP("BND",B256,L8,B3)</f>
        <v>3.9540000000000002</v>
      </c>
      <c r="M256" s="2"/>
      <c r="W256" s="21" t="str">
        <f ca="1">_xll.IMDP("BND",N256,W8,N3)</f>
        <v>입력오류</v>
      </c>
      <c r="X256" s="23" t="str">
        <f ca="1">_xll.IMDP("BND",N256,X8,N3)</f>
        <v>입력오류</v>
      </c>
      <c r="Y256" s="2"/>
      <c r="AI256" s="21" t="str">
        <f ca="1">_xll.IMDP("BND",Z256,AI8,Z3)</f>
        <v>입력오류</v>
      </c>
      <c r="AJ256" s="23" t="str">
        <f ca="1">_xll.IMDP("BND",Z256,AJ8,Z3)</f>
        <v>입력오류</v>
      </c>
      <c r="AK256" s="2"/>
      <c r="AU256" s="21" t="str">
        <f ca="1">_xll.IMDP("BND",AL256,AU8,AL3)</f>
        <v>입력오류</v>
      </c>
      <c r="AV256" s="23" t="str">
        <f ca="1">_xll.IMDP("BND",AL256,AV8,AL3)</f>
        <v>입력오류</v>
      </c>
      <c r="AW256" s="2"/>
      <c r="BG256" s="21" t="str">
        <f ca="1">_xll.IMDP("BND",AX256,BG8,AX3)</f>
        <v>입력오류</v>
      </c>
      <c r="BH256" s="23" t="str">
        <f ca="1">_xll.IMDP("BND",AX256,BH8,AX3)</f>
        <v>입력오류</v>
      </c>
      <c r="BI256" s="2">
        <v>46198</v>
      </c>
      <c r="BJ256" s="3" t="s">
        <v>1674</v>
      </c>
      <c r="BK256" s="3" t="s">
        <v>1675</v>
      </c>
      <c r="BL256" s="3" t="s">
        <v>1676</v>
      </c>
      <c r="BM256" s="3">
        <v>0</v>
      </c>
      <c r="BN256" s="3">
        <v>0.02</v>
      </c>
      <c r="BO256" s="3">
        <v>0</v>
      </c>
      <c r="BP256" s="3">
        <v>28985</v>
      </c>
      <c r="BS256" s="21" t="str">
        <f ca="1">_xll.IMDP("BND",BJ256,BS8,BJ3)</f>
        <v/>
      </c>
      <c r="BT256" s="23" t="str">
        <f ca="1">_xll.IMDP("BND",BJ256,BT8,BJ3)</f>
        <v/>
      </c>
      <c r="BU256" s="2"/>
      <c r="CE256" s="21" t="str">
        <f ca="1">_xll.IMDP("BND",BV256,CE8,BV3)</f>
        <v>입력오류</v>
      </c>
      <c r="CF256" s="23" t="str">
        <f ca="1">_xll.IMDP("BND",BV256,CF8,BV3)</f>
        <v>입력오류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">
        <v>46198</v>
      </c>
      <c r="CT256" s="3" t="s">
        <v>2642</v>
      </c>
      <c r="CU256" s="3" t="s">
        <v>1559</v>
      </c>
      <c r="CV256" s="3" t="s">
        <v>2643</v>
      </c>
      <c r="CW256" s="3">
        <v>0</v>
      </c>
      <c r="CX256" s="3">
        <v>0.06</v>
      </c>
      <c r="CY256" s="3">
        <v>0</v>
      </c>
      <c r="CZ256" s="3">
        <v>93665</v>
      </c>
      <c r="DA256" s="3">
        <v>10029.14</v>
      </c>
      <c r="DB256" s="3">
        <v>0.26490000000000002</v>
      </c>
      <c r="DC256" s="21">
        <f ca="1">_xll.IMDP("BND",CT256,DC8,CT3)</f>
        <v>20261001</v>
      </c>
      <c r="DD256" s="23">
        <f ca="1">_xll.IMDP("BND",CT256,DD8,CT3)</f>
        <v>3.01</v>
      </c>
      <c r="DE256" s="2"/>
      <c r="DO256" s="21" t="str">
        <f ca="1">_xll.IMDP("BND",DF256,DO8,DF3)</f>
        <v>입력오류</v>
      </c>
      <c r="DP256" s="23" t="str">
        <f ca="1">_xll.IMDP("BND",DF256,DP8,DF3)</f>
        <v>입력오류</v>
      </c>
      <c r="DQ256" s="2"/>
      <c r="EA256" s="21" t="str">
        <f ca="1">_xll.IMDP("BND",DR256,EA8,DR3)</f>
        <v>입력오류</v>
      </c>
      <c r="EB256" s="23" t="str">
        <f ca="1">_xll.IMDP("BND",DR256,EB8,DR3)</f>
        <v>입력오류</v>
      </c>
    </row>
    <row r="257" spans="1:132" ht="13.5" customHeight="1" x14ac:dyDescent="0.3">
      <c r="A257" s="2">
        <v>46198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0.18</v>
      </c>
      <c r="G257" s="3">
        <v>0</v>
      </c>
      <c r="H257" s="3">
        <v>204979</v>
      </c>
      <c r="I257" s="3">
        <v>9648.7800000000007</v>
      </c>
      <c r="J257" s="3">
        <v>2.1204999999999998</v>
      </c>
      <c r="K257" s="21">
        <f ca="1">_xll.IMDP("BND",B257,K8,B3)</f>
        <v>20280906</v>
      </c>
      <c r="L257" s="23">
        <f ca="1">_xll.IMDP("BND",B257,L8,B3)</f>
        <v>4.2910000000000004</v>
      </c>
      <c r="M257" s="2"/>
      <c r="W257" s="21" t="str">
        <f ca="1">_xll.IMDP("BND",N257,W8,N3)</f>
        <v>입력오류</v>
      </c>
      <c r="X257" s="23" t="str">
        <f ca="1">_xll.IMDP("BND",N257,X8,N3)</f>
        <v>입력오류</v>
      </c>
      <c r="Y257" s="2"/>
      <c r="AI257" s="21" t="str">
        <f ca="1">_xll.IMDP("BND",Z257,AI8,Z3)</f>
        <v>입력오류</v>
      </c>
      <c r="AJ257" s="23" t="str">
        <f ca="1">_xll.IMDP("BND",Z257,AJ8,Z3)</f>
        <v>입력오류</v>
      </c>
      <c r="AK257" s="2"/>
      <c r="AU257" s="21" t="str">
        <f ca="1">_xll.IMDP("BND",AL257,AU8,AL3)</f>
        <v>입력오류</v>
      </c>
      <c r="AV257" s="23" t="str">
        <f ca="1">_xll.IMDP("BND",AL257,AV8,AL3)</f>
        <v>입력오류</v>
      </c>
      <c r="AW257" s="2"/>
      <c r="BG257" s="21" t="str">
        <f ca="1">_xll.IMDP("BND",AX257,BG8,AX3)</f>
        <v>입력오류</v>
      </c>
      <c r="BH257" s="23" t="str">
        <f ca="1">_xll.IMDP("BND",AX257,BH8,AX3)</f>
        <v>입력오류</v>
      </c>
      <c r="BI257" s="2">
        <v>46198</v>
      </c>
      <c r="BJ257" s="3" t="s">
        <v>1677</v>
      </c>
      <c r="BK257" s="3" t="s">
        <v>346</v>
      </c>
      <c r="BL257" s="3" t="s">
        <v>1121</v>
      </c>
      <c r="BM257" s="3">
        <v>0</v>
      </c>
      <c r="BN257" s="3">
        <v>0.02</v>
      </c>
      <c r="BO257" s="3">
        <v>0</v>
      </c>
      <c r="BP257" s="3">
        <v>28968</v>
      </c>
      <c r="BS257" s="21" t="str">
        <f ca="1">_xll.IMDP("BND",BJ257,BS8,BJ3)</f>
        <v/>
      </c>
      <c r="BT257" s="23" t="str">
        <f ca="1">_xll.IMDP("BND",BJ257,BT8,BJ3)</f>
        <v/>
      </c>
      <c r="BU257" s="2"/>
      <c r="CE257" s="21" t="str">
        <f ca="1">_xll.IMDP("BND",BV257,CE8,BV3)</f>
        <v>입력오류</v>
      </c>
      <c r="CF257" s="23" t="str">
        <f ca="1">_xll.IMDP("BND",BV257,CF8,BV3)</f>
        <v>입력오류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">
        <v>46198</v>
      </c>
      <c r="CT257" s="3" t="s">
        <v>2644</v>
      </c>
      <c r="CU257" s="3" t="s">
        <v>542</v>
      </c>
      <c r="CV257" s="3" t="s">
        <v>2645</v>
      </c>
      <c r="CW257" s="3">
        <v>0</v>
      </c>
      <c r="CX257" s="3">
        <v>0.06</v>
      </c>
      <c r="CY257" s="3">
        <v>0</v>
      </c>
      <c r="CZ257" s="3">
        <v>92086</v>
      </c>
      <c r="DA257" s="3">
        <v>9859.27</v>
      </c>
      <c r="DB257" s="3">
        <v>2.9329999999999998</v>
      </c>
      <c r="DC257" s="21">
        <f ca="1">_xll.IMDP("BND",CT257,DC8,CT3)</f>
        <v>20290823</v>
      </c>
      <c r="DD257" s="23">
        <f ca="1">_xll.IMDP("BND",CT257,DD8,CT3)</f>
        <v>4.1829999999999998</v>
      </c>
      <c r="DE257" s="2"/>
      <c r="DO257" s="21" t="str">
        <f ca="1">_xll.IMDP("BND",DF257,DO8,DF3)</f>
        <v>입력오류</v>
      </c>
      <c r="DP257" s="23" t="str">
        <f ca="1">_xll.IMDP("BND",DF257,DP8,DF3)</f>
        <v>입력오류</v>
      </c>
      <c r="DQ257" s="2"/>
      <c r="EA257" s="21" t="str">
        <f ca="1">_xll.IMDP("BND",DR257,EA8,DR3)</f>
        <v>입력오류</v>
      </c>
      <c r="EB257" s="23" t="str">
        <f ca="1">_xll.IMDP("BND",DR257,EB8,DR3)</f>
        <v>입력오류</v>
      </c>
    </row>
    <row r="258" spans="1:132" ht="13.5" customHeight="1" x14ac:dyDescent="0.3">
      <c r="A258" s="2">
        <v>46198</v>
      </c>
      <c r="B258" s="3" t="s">
        <v>2066</v>
      </c>
      <c r="C258" s="3" t="s">
        <v>2067</v>
      </c>
      <c r="D258" s="3" t="s">
        <v>2068</v>
      </c>
      <c r="E258" s="3">
        <v>0</v>
      </c>
      <c r="F258" s="3">
        <v>0.18</v>
      </c>
      <c r="G258" s="3">
        <v>0</v>
      </c>
      <c r="H258" s="3">
        <v>204457</v>
      </c>
      <c r="I258" s="3">
        <v>7699.78</v>
      </c>
      <c r="J258" s="3">
        <v>17.165800000000001</v>
      </c>
      <c r="K258" s="21">
        <f ca="1">_xll.IMDP("BND",B258,K8,B3)</f>
        <v>20540911</v>
      </c>
      <c r="L258" s="23">
        <f ca="1">_xll.IMDP("BND",B258,L8,B3)</f>
        <v>4.5</v>
      </c>
      <c r="M258" s="2"/>
      <c r="W258" s="21" t="str">
        <f ca="1">_xll.IMDP("BND",N258,W8,N3)</f>
        <v>입력오류</v>
      </c>
      <c r="X258" s="23" t="str">
        <f ca="1">_xll.IMDP("BND",N258,X8,N3)</f>
        <v>입력오류</v>
      </c>
      <c r="Y258" s="2"/>
      <c r="AI258" s="21" t="str">
        <f ca="1">_xll.IMDP("BND",Z258,AI8,Z3)</f>
        <v>입력오류</v>
      </c>
      <c r="AJ258" s="23" t="str">
        <f ca="1">_xll.IMDP("BND",Z258,AJ8,Z3)</f>
        <v>입력오류</v>
      </c>
      <c r="AK258" s="2"/>
      <c r="AU258" s="21" t="str">
        <f ca="1">_xll.IMDP("BND",AL258,AU8,AL3)</f>
        <v>입력오류</v>
      </c>
      <c r="AV258" s="23" t="str">
        <f ca="1">_xll.IMDP("BND",AL258,AV8,AL3)</f>
        <v>입력오류</v>
      </c>
      <c r="AW258" s="2"/>
      <c r="BG258" s="21" t="str">
        <f ca="1">_xll.IMDP("BND",AX258,BG8,AX3)</f>
        <v>입력오류</v>
      </c>
      <c r="BH258" s="23" t="str">
        <f ca="1">_xll.IMDP("BND",AX258,BH8,AX3)</f>
        <v>입력오류</v>
      </c>
      <c r="BI258" s="2">
        <v>46198</v>
      </c>
      <c r="BJ258" s="3" t="s">
        <v>1678</v>
      </c>
      <c r="BK258" s="3" t="s">
        <v>1679</v>
      </c>
      <c r="BL258" s="3" t="s">
        <v>1680</v>
      </c>
      <c r="BM258" s="3">
        <v>0</v>
      </c>
      <c r="BN258" s="3">
        <v>0.02</v>
      </c>
      <c r="BO258" s="3">
        <v>0</v>
      </c>
      <c r="BP258" s="3">
        <v>28958</v>
      </c>
      <c r="BS258" s="21" t="str">
        <f ca="1">_xll.IMDP("BND",BJ258,BS8,BJ3)</f>
        <v/>
      </c>
      <c r="BT258" s="23" t="str">
        <f ca="1">_xll.IMDP("BND",BJ258,BT8,BJ3)</f>
        <v/>
      </c>
      <c r="BU258" s="2"/>
      <c r="CE258" s="21" t="str">
        <f ca="1">_xll.IMDP("BND",BV258,CE8,BV3)</f>
        <v>입력오류</v>
      </c>
      <c r="CF258" s="23" t="str">
        <f ca="1">_xll.IMDP("BND",BV258,CF8,BV3)</f>
        <v>입력오류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">
        <v>46198</v>
      </c>
      <c r="CT258" s="3" t="s">
        <v>2646</v>
      </c>
      <c r="CU258" s="3" t="s">
        <v>108</v>
      </c>
      <c r="CV258" s="3" t="s">
        <v>2647</v>
      </c>
      <c r="CW258" s="3">
        <v>0</v>
      </c>
      <c r="CX258" s="3">
        <v>0.06</v>
      </c>
      <c r="CY258" s="3">
        <v>0</v>
      </c>
      <c r="CZ258" s="3">
        <v>89097</v>
      </c>
      <c r="DA258" s="3">
        <v>9937.73</v>
      </c>
      <c r="DB258" s="3">
        <v>0.81379999999999997</v>
      </c>
      <c r="DC258" s="21">
        <f ca="1">_xll.IMDP("BND",CT258,DC8,CT3)</f>
        <v>20270425</v>
      </c>
      <c r="DD258" s="23">
        <f ca="1">_xll.IMDP("BND",CT258,DD8,CT3)</f>
        <v>3.5649999999999999</v>
      </c>
      <c r="DE258" s="2"/>
      <c r="DO258" s="21" t="str">
        <f ca="1">_xll.IMDP("BND",DF258,DO8,DF3)</f>
        <v>입력오류</v>
      </c>
      <c r="DP258" s="23" t="str">
        <f ca="1">_xll.IMDP("BND",DF258,DP8,DF3)</f>
        <v>입력오류</v>
      </c>
      <c r="DQ258" s="2"/>
      <c r="EA258" s="21" t="str">
        <f ca="1">_xll.IMDP("BND",DR258,EA8,DR3)</f>
        <v>입력오류</v>
      </c>
      <c r="EB258" s="23" t="str">
        <f ca="1">_xll.IMDP("BND",DR258,EB8,DR3)</f>
        <v>입력오류</v>
      </c>
    </row>
    <row r="259" spans="1:132" ht="13.5" customHeight="1" x14ac:dyDescent="0.3">
      <c r="A259" s="2">
        <v>46198</v>
      </c>
      <c r="B259" s="3" t="s">
        <v>2069</v>
      </c>
      <c r="C259" s="3" t="s">
        <v>98</v>
      </c>
      <c r="D259" s="3" t="s">
        <v>2070</v>
      </c>
      <c r="E259" s="3">
        <v>0</v>
      </c>
      <c r="F259" s="3">
        <v>0.18</v>
      </c>
      <c r="G259" s="3">
        <v>0</v>
      </c>
      <c r="H259" s="3">
        <v>201734</v>
      </c>
      <c r="I259" s="3">
        <v>7596.77</v>
      </c>
      <c r="J259" s="3">
        <v>6.4402999999999997</v>
      </c>
      <c r="K259" s="21">
        <f ca="1">_xll.IMDP("BND",B259,K8,B3)</f>
        <v>20330310</v>
      </c>
      <c r="L259" s="23">
        <f ca="1">_xll.IMDP("BND",B259,L8,B3)</f>
        <v>4.18</v>
      </c>
      <c r="M259" s="2"/>
      <c r="W259" s="21" t="str">
        <f ca="1">_xll.IMDP("BND",N259,W8,N3)</f>
        <v>입력오류</v>
      </c>
      <c r="X259" s="23" t="str">
        <f ca="1">_xll.IMDP("BND",N259,X8,N3)</f>
        <v>입력오류</v>
      </c>
      <c r="Y259" s="2"/>
      <c r="AI259" s="21" t="str">
        <f ca="1">_xll.IMDP("BND",Z259,AI8,Z3)</f>
        <v>입력오류</v>
      </c>
      <c r="AJ259" s="23" t="str">
        <f ca="1">_xll.IMDP("BND",Z259,AJ8,Z3)</f>
        <v>입력오류</v>
      </c>
      <c r="AK259" s="2"/>
      <c r="AU259" s="21" t="str">
        <f ca="1">_xll.IMDP("BND",AL259,AU8,AL3)</f>
        <v>입력오류</v>
      </c>
      <c r="AV259" s="23" t="str">
        <f ca="1">_xll.IMDP("BND",AL259,AV8,AL3)</f>
        <v>입력오류</v>
      </c>
      <c r="AW259" s="2"/>
      <c r="BG259" s="21" t="str">
        <f ca="1">_xll.IMDP("BND",AX259,BG8,AX3)</f>
        <v>입력오류</v>
      </c>
      <c r="BH259" s="23" t="str">
        <f ca="1">_xll.IMDP("BND",AX259,BH8,AX3)</f>
        <v>입력오류</v>
      </c>
      <c r="BI259" s="2">
        <v>46198</v>
      </c>
      <c r="BJ259" s="3" t="s">
        <v>1681</v>
      </c>
      <c r="BK259" s="3" t="s">
        <v>1679</v>
      </c>
      <c r="BL259" s="3" t="s">
        <v>1680</v>
      </c>
      <c r="BM259" s="3">
        <v>0</v>
      </c>
      <c r="BN259" s="3">
        <v>0.02</v>
      </c>
      <c r="BO259" s="3">
        <v>0</v>
      </c>
      <c r="BP259" s="3">
        <v>28958</v>
      </c>
      <c r="BS259" s="21" t="str">
        <f ca="1">_xll.IMDP("BND",BJ259,BS8,BJ3)</f>
        <v/>
      </c>
      <c r="BT259" s="23" t="str">
        <f ca="1">_xll.IMDP("BND",BJ259,BT8,BJ3)</f>
        <v/>
      </c>
      <c r="BU259" s="2"/>
      <c r="CE259" s="21" t="str">
        <f ca="1">_xll.IMDP("BND",BV259,CE8,BV3)</f>
        <v>입력오류</v>
      </c>
      <c r="CF259" s="23" t="str">
        <f ca="1">_xll.IMDP("BND",BV259,CF8,BV3)</f>
        <v>입력오류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">
        <v>46198</v>
      </c>
      <c r="CT259" s="3" t="s">
        <v>913</v>
      </c>
      <c r="CU259" s="3" t="s">
        <v>914</v>
      </c>
      <c r="CV259" s="3" t="s">
        <v>915</v>
      </c>
      <c r="CW259" s="3">
        <v>0</v>
      </c>
      <c r="CX259" s="3">
        <v>0.06</v>
      </c>
      <c r="CY259" s="3">
        <v>0</v>
      </c>
      <c r="CZ259" s="3">
        <v>89093</v>
      </c>
      <c r="DA259" s="3">
        <v>10041.41</v>
      </c>
      <c r="DB259" s="3">
        <v>5.0107999999999997</v>
      </c>
      <c r="DC259" s="21">
        <f ca="1">_xll.IMDP("BND",CT259,DC8,CT3)</f>
        <v>20320222</v>
      </c>
      <c r="DD259" s="23">
        <f ca="1">_xll.IMDP("BND",CT259,DD8,CT3)</f>
        <v>4.274</v>
      </c>
      <c r="DE259" s="2"/>
      <c r="DO259" s="21" t="str">
        <f ca="1">_xll.IMDP("BND",DF259,DO8,DF3)</f>
        <v>입력오류</v>
      </c>
      <c r="DP259" s="23" t="str">
        <f ca="1">_xll.IMDP("BND",DF259,DP8,DF3)</f>
        <v>입력오류</v>
      </c>
      <c r="DQ259" s="2"/>
      <c r="EA259" s="21" t="str">
        <f ca="1">_xll.IMDP("BND",DR259,EA8,DR3)</f>
        <v>입력오류</v>
      </c>
      <c r="EB259" s="23" t="str">
        <f ca="1">_xll.IMDP("BND",DR259,EB8,DR3)</f>
        <v>입력오류</v>
      </c>
    </row>
    <row r="260" spans="1:132" ht="13.5" customHeight="1" x14ac:dyDescent="0.3">
      <c r="A260" s="2">
        <v>46198</v>
      </c>
      <c r="B260" s="3" t="s">
        <v>2071</v>
      </c>
      <c r="C260" s="3" t="s">
        <v>2072</v>
      </c>
      <c r="D260" s="3" t="s">
        <v>2073</v>
      </c>
      <c r="E260" s="3">
        <v>0</v>
      </c>
      <c r="F260" s="3">
        <v>0.18</v>
      </c>
      <c r="G260" s="3">
        <v>0</v>
      </c>
      <c r="H260" s="3">
        <v>199814</v>
      </c>
      <c r="I260" s="3">
        <v>10030.59</v>
      </c>
      <c r="J260" s="3">
        <v>1.8714999999999999</v>
      </c>
      <c r="K260" s="21">
        <f ca="1">_xll.IMDP("BND",B260,K8,B3)</f>
        <v>20280612</v>
      </c>
      <c r="L260" s="23">
        <f ca="1">_xll.IMDP("BND",B260,L8,B3)</f>
        <v>4.3250000000000002</v>
      </c>
      <c r="M260" s="2"/>
      <c r="W260" s="21" t="str">
        <f ca="1">_xll.IMDP("BND",N260,W8,N3)</f>
        <v>입력오류</v>
      </c>
      <c r="X260" s="23" t="str">
        <f ca="1">_xll.IMDP("BND",N260,X8,N3)</f>
        <v>입력오류</v>
      </c>
      <c r="Y260" s="2"/>
      <c r="AI260" s="21" t="str">
        <f ca="1">_xll.IMDP("BND",Z260,AI8,Z3)</f>
        <v>입력오류</v>
      </c>
      <c r="AJ260" s="23" t="str">
        <f ca="1">_xll.IMDP("BND",Z260,AJ8,Z3)</f>
        <v>입력오류</v>
      </c>
      <c r="AK260" s="2"/>
      <c r="AU260" s="21" t="str">
        <f ca="1">_xll.IMDP("BND",AL260,AU8,AL3)</f>
        <v>입력오류</v>
      </c>
      <c r="AV260" s="23" t="str">
        <f ca="1">_xll.IMDP("BND",AL260,AV8,AL3)</f>
        <v>입력오류</v>
      </c>
      <c r="AW260" s="2"/>
      <c r="BG260" s="21" t="str">
        <f ca="1">_xll.IMDP("BND",AX260,BG8,AX3)</f>
        <v>입력오류</v>
      </c>
      <c r="BH260" s="23" t="str">
        <f ca="1">_xll.IMDP("BND",AX260,BH8,AX3)</f>
        <v>입력오류</v>
      </c>
      <c r="BI260" s="2">
        <v>46198</v>
      </c>
      <c r="BJ260" s="3" t="s">
        <v>1682</v>
      </c>
      <c r="BK260" s="3" t="s">
        <v>1403</v>
      </c>
      <c r="BL260" s="3" t="s">
        <v>584</v>
      </c>
      <c r="BM260" s="3">
        <v>0</v>
      </c>
      <c r="BN260" s="3">
        <v>0.02</v>
      </c>
      <c r="BO260" s="3">
        <v>0</v>
      </c>
      <c r="BP260" s="3">
        <v>28940</v>
      </c>
      <c r="BS260" s="21" t="str">
        <f ca="1">_xll.IMDP("BND",BJ260,BS8,BJ3)</f>
        <v/>
      </c>
      <c r="BT260" s="23" t="str">
        <f ca="1">_xll.IMDP("BND",BJ260,BT8,BJ3)</f>
        <v/>
      </c>
      <c r="BU260" s="2"/>
      <c r="CE260" s="21" t="str">
        <f ca="1">_xll.IMDP("BND",BV260,CE8,BV3)</f>
        <v>입력오류</v>
      </c>
      <c r="CF260" s="23" t="str">
        <f ca="1">_xll.IMDP("BND",BV260,CF8,BV3)</f>
        <v>입력오류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">
        <v>46198</v>
      </c>
      <c r="CT260" s="3" t="s">
        <v>907</v>
      </c>
      <c r="CU260" s="3" t="s">
        <v>908</v>
      </c>
      <c r="CV260" s="3" t="s">
        <v>909</v>
      </c>
      <c r="CW260" s="3">
        <v>0</v>
      </c>
      <c r="CX260" s="3">
        <v>0.06</v>
      </c>
      <c r="CY260" s="3">
        <v>0</v>
      </c>
      <c r="CZ260" s="3">
        <v>84470</v>
      </c>
      <c r="DA260" s="3">
        <v>10049.200000000001</v>
      </c>
      <c r="DB260" s="3">
        <v>4.9717000000000002</v>
      </c>
      <c r="DC260" s="21">
        <f ca="1">_xll.IMDP("BND",CT260,DC8,CT3)</f>
        <v>20320207</v>
      </c>
      <c r="DD260" s="23">
        <f ca="1">_xll.IMDP("BND",CT260,DD8,CT3)</f>
        <v>4.274</v>
      </c>
      <c r="DE260" s="2"/>
      <c r="DO260" s="21" t="str">
        <f ca="1">_xll.IMDP("BND",DF260,DO8,DF3)</f>
        <v>입력오류</v>
      </c>
      <c r="DP260" s="23" t="str">
        <f ca="1">_xll.IMDP("BND",DF260,DP8,DF3)</f>
        <v>입력오류</v>
      </c>
      <c r="DQ260" s="2"/>
      <c r="EA260" s="21" t="str">
        <f ca="1">_xll.IMDP("BND",DR260,EA8,DR3)</f>
        <v>입력오류</v>
      </c>
      <c r="EB260" s="23" t="str">
        <f ca="1">_xll.IMDP("BND",DR260,EB8,DR3)</f>
        <v>입력오류</v>
      </c>
    </row>
    <row r="261" spans="1:132" ht="13.5" customHeight="1" x14ac:dyDescent="0.3">
      <c r="A261" s="2">
        <v>46198</v>
      </c>
      <c r="B261" s="3" t="s">
        <v>62</v>
      </c>
      <c r="C261" s="3" t="s">
        <v>63</v>
      </c>
      <c r="D261" s="3" t="s">
        <v>64</v>
      </c>
      <c r="E261" s="3">
        <v>0</v>
      </c>
      <c r="F261" s="3">
        <v>0.18</v>
      </c>
      <c r="G261" s="3">
        <v>0</v>
      </c>
      <c r="H261" s="3">
        <v>197681</v>
      </c>
      <c r="I261" s="3">
        <v>8272</v>
      </c>
      <c r="J261" s="3">
        <v>13.382199999999999</v>
      </c>
      <c r="K261" s="21">
        <f ca="1">_xll.IMDP("BND",B261,K8,B3)</f>
        <v>20440910</v>
      </c>
      <c r="L261" s="23">
        <f ca="1">_xll.IMDP("BND",B261,L8,B3)</f>
        <v>4.3209999999999997</v>
      </c>
      <c r="M261" s="2"/>
      <c r="W261" s="21" t="str">
        <f ca="1">_xll.IMDP("BND",N261,W8,N3)</f>
        <v>입력오류</v>
      </c>
      <c r="X261" s="23" t="str">
        <f ca="1">_xll.IMDP("BND",N261,X8,N3)</f>
        <v>입력오류</v>
      </c>
      <c r="Y261" s="2"/>
      <c r="AI261" s="21" t="str">
        <f ca="1">_xll.IMDP("BND",Z261,AI8,Z3)</f>
        <v>입력오류</v>
      </c>
      <c r="AJ261" s="23" t="str">
        <f ca="1">_xll.IMDP("BND",Z261,AJ8,Z3)</f>
        <v>입력오류</v>
      </c>
      <c r="AK261" s="2"/>
      <c r="AU261" s="21" t="str">
        <f ca="1">_xll.IMDP("BND",AL261,AU8,AL3)</f>
        <v>입력오류</v>
      </c>
      <c r="AV261" s="23" t="str">
        <f ca="1">_xll.IMDP("BND",AL261,AV8,AL3)</f>
        <v>입력오류</v>
      </c>
      <c r="AW261" s="2"/>
      <c r="BG261" s="21" t="str">
        <f ca="1">_xll.IMDP("BND",AX261,BG8,AX3)</f>
        <v>입력오류</v>
      </c>
      <c r="BH261" s="23" t="str">
        <f ca="1">_xll.IMDP("BND",AX261,BH8,AX3)</f>
        <v>입력오류</v>
      </c>
      <c r="BI261" s="2">
        <v>46198</v>
      </c>
      <c r="BJ261" s="3" t="s">
        <v>1683</v>
      </c>
      <c r="BK261" s="3" t="s">
        <v>1403</v>
      </c>
      <c r="BL261" s="3" t="s">
        <v>584</v>
      </c>
      <c r="BM261" s="3">
        <v>0</v>
      </c>
      <c r="BN261" s="3">
        <v>0.02</v>
      </c>
      <c r="BO261" s="3">
        <v>0</v>
      </c>
      <c r="BP261" s="3">
        <v>28940</v>
      </c>
      <c r="BS261" s="21" t="str">
        <f ca="1">_xll.IMDP("BND",BJ261,BS8,BJ3)</f>
        <v/>
      </c>
      <c r="BT261" s="23" t="str">
        <f ca="1">_xll.IMDP("BND",BJ261,BT8,BJ3)</f>
        <v/>
      </c>
      <c r="BU261" s="2"/>
      <c r="CE261" s="21" t="str">
        <f ca="1">_xll.IMDP("BND",BV261,CE8,BV3)</f>
        <v>입력오류</v>
      </c>
      <c r="CF261" s="23" t="str">
        <f ca="1">_xll.IMDP("BND",BV261,CF8,BV3)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">
        <v>46198</v>
      </c>
      <c r="CT261" s="3" t="s">
        <v>115</v>
      </c>
      <c r="CU261" s="3" t="s">
        <v>29</v>
      </c>
      <c r="CV261" s="3" t="s">
        <v>2648</v>
      </c>
      <c r="CW261" s="3">
        <v>0</v>
      </c>
      <c r="CX261" s="3">
        <v>0.05</v>
      </c>
      <c r="CY261" s="3">
        <v>0</v>
      </c>
      <c r="CZ261" s="3">
        <v>78915</v>
      </c>
      <c r="DA261" s="3">
        <v>9085.8700000000008</v>
      </c>
      <c r="DB261" s="3">
        <v>4.6357999999999997</v>
      </c>
      <c r="DC261" s="21">
        <f ca="1">_xll.IMDP("BND",CT261,DC8,CT3)</f>
        <v>20310610</v>
      </c>
      <c r="DD261" s="23">
        <f ca="1">_xll.IMDP("BND",CT261,DD8,CT3)</f>
        <v>4.0720000000000001</v>
      </c>
      <c r="DE261" s="2"/>
      <c r="DO261" s="21" t="str">
        <f ca="1">_xll.IMDP("BND",DF261,DO8,DF3)</f>
        <v>입력오류</v>
      </c>
      <c r="DP261" s="23" t="str">
        <f ca="1">_xll.IMDP("BND",DF261,DP8,DF3)</f>
        <v>입력오류</v>
      </c>
      <c r="DQ261" s="2"/>
      <c r="EA261" s="21" t="str">
        <f ca="1">_xll.IMDP("BND",DR261,EA8,DR3)</f>
        <v>입력오류</v>
      </c>
      <c r="EB261" s="23" t="str">
        <f ca="1">_xll.IMDP("BND",DR261,EB8,DR3)</f>
        <v>입력오류</v>
      </c>
    </row>
    <row r="262" spans="1:132" ht="13.5" customHeight="1" x14ac:dyDescent="0.3">
      <c r="A262" s="2">
        <v>46198</v>
      </c>
      <c r="B262" s="3" t="s">
        <v>2074</v>
      </c>
      <c r="C262" s="3" t="s">
        <v>98</v>
      </c>
      <c r="D262" s="3" t="s">
        <v>2075</v>
      </c>
      <c r="E262" s="3">
        <v>0</v>
      </c>
      <c r="F262" s="3">
        <v>0.18</v>
      </c>
      <c r="G262" s="3">
        <v>0</v>
      </c>
      <c r="H262" s="3">
        <v>196879</v>
      </c>
      <c r="I262" s="3">
        <v>7130.38</v>
      </c>
      <c r="J262" s="3">
        <v>7.8822999999999999</v>
      </c>
      <c r="K262" s="21">
        <f ca="1">_xll.IMDP("BND",B262,K8,B3)</f>
        <v>20340910</v>
      </c>
      <c r="L262" s="23">
        <f ca="1">_xll.IMDP("BND",B262,L8,B3)</f>
        <v>4.2030000000000003</v>
      </c>
      <c r="M262" s="2"/>
      <c r="W262" s="21" t="str">
        <f ca="1">_xll.IMDP("BND",N262,W8,N3)</f>
        <v>입력오류</v>
      </c>
      <c r="X262" s="23" t="str">
        <f ca="1">_xll.IMDP("BND",N262,X8,N3)</f>
        <v>입력오류</v>
      </c>
      <c r="Y262" s="2"/>
      <c r="AI262" s="21" t="str">
        <f ca="1">_xll.IMDP("BND",Z262,AI8,Z3)</f>
        <v>입력오류</v>
      </c>
      <c r="AJ262" s="23" t="str">
        <f ca="1">_xll.IMDP("BND",Z262,AJ8,Z3)</f>
        <v>입력오류</v>
      </c>
      <c r="AK262" s="2"/>
      <c r="AU262" s="21" t="str">
        <f ca="1">_xll.IMDP("BND",AL262,AU8,AL3)</f>
        <v>입력오류</v>
      </c>
      <c r="AV262" s="23" t="str">
        <f ca="1">_xll.IMDP("BND",AL262,AV8,AL3)</f>
        <v>입력오류</v>
      </c>
      <c r="AW262" s="2"/>
      <c r="BG262" s="21" t="str">
        <f ca="1">_xll.IMDP("BND",AX262,BG8,AX3)</f>
        <v>입력오류</v>
      </c>
      <c r="BH262" s="23" t="str">
        <f ca="1">_xll.IMDP("BND",AX262,BH8,AX3)</f>
        <v>입력오류</v>
      </c>
      <c r="BI262" s="2">
        <v>46198</v>
      </c>
      <c r="BJ262" s="3" t="s">
        <v>1684</v>
      </c>
      <c r="BK262" s="3" t="s">
        <v>1685</v>
      </c>
      <c r="BL262" s="3" t="s">
        <v>1409</v>
      </c>
      <c r="BM262" s="3">
        <v>0</v>
      </c>
      <c r="BN262" s="3">
        <v>0.02</v>
      </c>
      <c r="BO262" s="3">
        <v>0</v>
      </c>
      <c r="BP262" s="3">
        <v>28927</v>
      </c>
      <c r="BS262" s="21" t="str">
        <f ca="1">_xll.IMDP("BND",BJ262,BS8,BJ3)</f>
        <v/>
      </c>
      <c r="BT262" s="23" t="str">
        <f ca="1">_xll.IMDP("BND",BJ262,BT8,BJ3)</f>
        <v/>
      </c>
      <c r="BU262" s="2"/>
      <c r="CE262" s="21" t="str">
        <f ca="1">_xll.IMDP("BND",BV262,CE8,BV3)</f>
        <v>입력오류</v>
      </c>
      <c r="CF262" s="23" t="str">
        <f ca="1">_xll.IMDP("BND",BV262,CF8,BV3)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">
        <v>46198</v>
      </c>
      <c r="CT262" s="3" t="s">
        <v>2182</v>
      </c>
      <c r="CU262" s="3" t="s">
        <v>131</v>
      </c>
      <c r="CV262" s="3" t="s">
        <v>2649</v>
      </c>
      <c r="CW262" s="3">
        <v>0</v>
      </c>
      <c r="CX262" s="3">
        <v>0.05</v>
      </c>
      <c r="CY262" s="3">
        <v>0</v>
      </c>
      <c r="CZ262" s="3">
        <v>73204</v>
      </c>
      <c r="DA262" s="3">
        <v>9221.32</v>
      </c>
      <c r="DB262" s="3">
        <v>2.1332</v>
      </c>
      <c r="DC262" s="21">
        <f ca="1">_xll.IMDP("BND",CT262,DC8,CT3)</f>
        <v>20280910</v>
      </c>
      <c r="DD262" s="23">
        <f ca="1">_xll.IMDP("BND",CT262,DD8,CT3)</f>
        <v>3.7290000000000001</v>
      </c>
      <c r="DE262" s="2"/>
      <c r="DO262" s="21" t="str">
        <f ca="1">_xll.IMDP("BND",DF262,DO8,DF3)</f>
        <v>입력오류</v>
      </c>
      <c r="DP262" s="23" t="str">
        <f ca="1">_xll.IMDP("BND",DF262,DP8,DF3)</f>
        <v>입력오류</v>
      </c>
      <c r="DQ262" s="2"/>
      <c r="EA262" s="21" t="str">
        <f ca="1">_xll.IMDP("BND",DR262,EA8,DR3)</f>
        <v>입력오류</v>
      </c>
      <c r="EB262" s="23" t="str">
        <f ca="1">_xll.IMDP("BND",DR262,EB8,DR3)</f>
        <v>입력오류</v>
      </c>
    </row>
    <row r="263" spans="1:132" ht="13.5" customHeight="1" x14ac:dyDescent="0.3">
      <c r="A263" s="2">
        <v>46198</v>
      </c>
      <c r="B263" s="3" t="s">
        <v>1464</v>
      </c>
      <c r="C263" s="3" t="s">
        <v>98</v>
      </c>
      <c r="D263" s="3" t="s">
        <v>1465</v>
      </c>
      <c r="E263" s="3">
        <v>0</v>
      </c>
      <c r="F263" s="3">
        <v>0.17</v>
      </c>
      <c r="G263" s="3">
        <v>0</v>
      </c>
      <c r="H263" s="3">
        <v>193315</v>
      </c>
      <c r="I263" s="3">
        <v>7281.3</v>
      </c>
      <c r="J263" s="3">
        <v>7.3987999999999996</v>
      </c>
      <c r="K263" s="21">
        <f ca="1">_xll.IMDP("BND",B263,K8,B3)</f>
        <v>20340310</v>
      </c>
      <c r="L263" s="23">
        <f ca="1">_xll.IMDP("BND",B263,L8,B3)</f>
        <v>4.2</v>
      </c>
      <c r="M263" s="2"/>
      <c r="W263" s="21" t="str">
        <f ca="1">_xll.IMDP("BND",N263,W8,N3)</f>
        <v>입력오류</v>
      </c>
      <c r="X263" s="23" t="str">
        <f ca="1">_xll.IMDP("BND",N263,X8,N3)</f>
        <v>입력오류</v>
      </c>
      <c r="Y263" s="2"/>
      <c r="AI263" s="21" t="str">
        <f ca="1">_xll.IMDP("BND",Z263,AI8,Z3)</f>
        <v>입력오류</v>
      </c>
      <c r="AJ263" s="23" t="str">
        <f ca="1">_xll.IMDP("BND",Z263,AJ8,Z3)</f>
        <v>입력오류</v>
      </c>
      <c r="AK263" s="2"/>
      <c r="AU263" s="21" t="str">
        <f ca="1">_xll.IMDP("BND",AL263,AU8,AL3)</f>
        <v>입력오류</v>
      </c>
      <c r="AV263" s="23" t="str">
        <f ca="1">_xll.IMDP("BND",AL263,AV8,AL3)</f>
        <v>입력오류</v>
      </c>
      <c r="AW263" s="2"/>
      <c r="BG263" s="21" t="str">
        <f ca="1">_xll.IMDP("BND",AX263,BG8,AX3)</f>
        <v>입력오류</v>
      </c>
      <c r="BH263" s="23" t="str">
        <f ca="1">_xll.IMDP("BND",AX263,BH8,AX3)</f>
        <v>입력오류</v>
      </c>
      <c r="BI263" s="2">
        <v>46198</v>
      </c>
      <c r="BJ263" s="3" t="s">
        <v>1686</v>
      </c>
      <c r="BK263" s="3" t="s">
        <v>1408</v>
      </c>
      <c r="BL263" s="3" t="s">
        <v>1409</v>
      </c>
      <c r="BM263" s="3">
        <v>0</v>
      </c>
      <c r="BN263" s="3">
        <v>0.02</v>
      </c>
      <c r="BO263" s="3">
        <v>0</v>
      </c>
      <c r="BP263" s="3">
        <v>28927</v>
      </c>
      <c r="BS263" s="21" t="str">
        <f ca="1">_xll.IMDP("BND",BJ263,BS8,BJ3)</f>
        <v/>
      </c>
      <c r="BT263" s="23" t="str">
        <f ca="1">_xll.IMDP("BND",BJ263,BT8,BJ3)</f>
        <v/>
      </c>
      <c r="BU263" s="2"/>
      <c r="CE263" s="21" t="str">
        <f ca="1">_xll.IMDP("BND",BV263,CE8,BV3)</f>
        <v>입력오류</v>
      </c>
      <c r="CF263" s="23" t="str">
        <f ca="1">_xll.IMDP("BND",BV263,CF8,BV3)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">
        <v>46198</v>
      </c>
      <c r="CT263" s="3" t="s">
        <v>2650</v>
      </c>
      <c r="CU263" s="3" t="s">
        <v>2651</v>
      </c>
      <c r="CV263" s="3" t="s">
        <v>2652</v>
      </c>
      <c r="CW263" s="3">
        <v>0</v>
      </c>
      <c r="CX263" s="3">
        <v>0.05</v>
      </c>
      <c r="CY263" s="3">
        <v>0</v>
      </c>
      <c r="CZ263" s="3">
        <v>72090</v>
      </c>
      <c r="DA263" s="3">
        <v>10291.64</v>
      </c>
      <c r="DB263" s="3">
        <v>1.3284</v>
      </c>
      <c r="DC263" s="21">
        <f ca="1">_xll.IMDP("BND",CT263,DC8,CT3)</f>
        <v>20271115</v>
      </c>
      <c r="DD263" s="23">
        <f ca="1">_xll.IMDP("BND",CT263,DD8,CT3)</f>
        <v>3.8109999999999999</v>
      </c>
      <c r="DE263" s="2"/>
      <c r="DO263" s="21" t="str">
        <f ca="1">_xll.IMDP("BND",DF263,DO8,DF3)</f>
        <v>입력오류</v>
      </c>
      <c r="DP263" s="23" t="str">
        <f ca="1">_xll.IMDP("BND",DF263,DP8,DF3)</f>
        <v>입력오류</v>
      </c>
      <c r="DQ263" s="2"/>
      <c r="EA263" s="21" t="str">
        <f ca="1">_xll.IMDP("BND",DR263,EA8,DR3)</f>
        <v>입력오류</v>
      </c>
      <c r="EB263" s="23" t="str">
        <f ca="1">_xll.IMDP("BND",DR263,EB8,DR3)</f>
        <v>입력오류</v>
      </c>
    </row>
    <row r="264" spans="1:132" ht="13.5" customHeight="1" x14ac:dyDescent="0.3">
      <c r="A264" s="2">
        <v>46198</v>
      </c>
      <c r="B264" s="3" t="s">
        <v>2076</v>
      </c>
      <c r="C264" s="3" t="s">
        <v>131</v>
      </c>
      <c r="D264" s="3" t="s">
        <v>2077</v>
      </c>
      <c r="E264" s="3">
        <v>0</v>
      </c>
      <c r="F264" s="3">
        <v>0.17</v>
      </c>
      <c r="G264" s="3">
        <v>0</v>
      </c>
      <c r="H264" s="3">
        <v>189626</v>
      </c>
      <c r="I264" s="3">
        <v>9783.81</v>
      </c>
      <c r="J264" s="3">
        <v>0.68630000000000002</v>
      </c>
      <c r="K264" s="21">
        <f ca="1">_xll.IMDP("BND",B264,K8,B3)</f>
        <v>20270310</v>
      </c>
      <c r="L264" s="23">
        <f ca="1">_xll.IMDP("BND",B264,L8,B3)</f>
        <v>3.1259999999999999</v>
      </c>
      <c r="M264" s="2"/>
      <c r="W264" s="21" t="str">
        <f ca="1">_xll.IMDP("BND",N264,W8,N3)</f>
        <v>입력오류</v>
      </c>
      <c r="X264" s="23" t="str">
        <f ca="1">_xll.IMDP("BND",N264,X8,N3)</f>
        <v>입력오류</v>
      </c>
      <c r="Y264" s="2"/>
      <c r="AI264" s="21" t="str">
        <f ca="1">_xll.IMDP("BND",Z264,AI8,Z3)</f>
        <v>입력오류</v>
      </c>
      <c r="AJ264" s="23" t="str">
        <f ca="1">_xll.IMDP("BND",Z264,AJ8,Z3)</f>
        <v>입력오류</v>
      </c>
      <c r="AK264" s="2"/>
      <c r="AU264" s="21" t="str">
        <f ca="1">_xll.IMDP("BND",AL264,AU8,AL3)</f>
        <v>입력오류</v>
      </c>
      <c r="AV264" s="23" t="str">
        <f ca="1">_xll.IMDP("BND",AL264,AV8,AL3)</f>
        <v>입력오류</v>
      </c>
      <c r="AW264" s="2"/>
      <c r="BG264" s="21" t="str">
        <f ca="1">_xll.IMDP("BND",AX264,BG8,AX3)</f>
        <v>입력오류</v>
      </c>
      <c r="BH264" s="23" t="str">
        <f ca="1">_xll.IMDP("BND",AX264,BH8,AX3)</f>
        <v>입력오류</v>
      </c>
      <c r="BI264" s="2">
        <v>46198</v>
      </c>
      <c r="BJ264" s="3" t="s">
        <v>1687</v>
      </c>
      <c r="BK264" s="3" t="s">
        <v>518</v>
      </c>
      <c r="BL264" s="3" t="s">
        <v>1688</v>
      </c>
      <c r="BM264" s="3">
        <v>0</v>
      </c>
      <c r="BN264" s="3">
        <v>0.02</v>
      </c>
      <c r="BO264" s="3">
        <v>0</v>
      </c>
      <c r="BP264" s="3">
        <v>23410</v>
      </c>
      <c r="BQ264" s="3">
        <v>10175.790000000001</v>
      </c>
      <c r="BR264" s="3">
        <v>6.1318000000000001</v>
      </c>
      <c r="BS264" s="21">
        <f ca="1">_xll.IMDP("BND",BJ264,BS8,BJ3)</f>
        <v>20331013</v>
      </c>
      <c r="BT264" s="23">
        <f ca="1">_xll.IMDP("BND",BJ264,BT8,BJ3)</f>
        <v>4.3220000000000001</v>
      </c>
      <c r="BU264" s="2"/>
      <c r="CE264" s="21" t="str">
        <f ca="1">_xll.IMDP("BND",BV264,CE8,BV3)</f>
        <v>입력오류</v>
      </c>
      <c r="CF264" s="23" t="str">
        <f ca="1">_xll.IMDP("BND",BV264,CF8,BV3)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">
        <v>46198</v>
      </c>
      <c r="CT264" s="3" t="s">
        <v>730</v>
      </c>
      <c r="CU264" s="3" t="s">
        <v>29</v>
      </c>
      <c r="CV264" s="3" t="s">
        <v>2653</v>
      </c>
      <c r="CW264" s="3">
        <v>0</v>
      </c>
      <c r="CX264" s="3">
        <v>0.05</v>
      </c>
      <c r="CY264" s="3">
        <v>0</v>
      </c>
      <c r="CZ264" s="3">
        <v>69803</v>
      </c>
      <c r="DA264" s="3">
        <v>8349</v>
      </c>
      <c r="DB264" s="3">
        <v>16.5213</v>
      </c>
      <c r="DC264" s="21">
        <f ca="1">_xll.IMDP("BND",CT264,DC8,CT3)</f>
        <v>20530310</v>
      </c>
      <c r="DD264" s="23">
        <f ca="1">_xll.IMDP("BND",CT264,DD8,CT3)</f>
        <v>4.3620000000000001</v>
      </c>
      <c r="DE264" s="2"/>
      <c r="DO264" s="21" t="str">
        <f ca="1">_xll.IMDP("BND",DF264,DO8,DF3)</f>
        <v>입력오류</v>
      </c>
      <c r="DP264" s="23" t="str">
        <f ca="1">_xll.IMDP("BND",DF264,DP8,DF3)</f>
        <v>입력오류</v>
      </c>
      <c r="DQ264" s="2"/>
      <c r="EA264" s="21" t="str">
        <f ca="1">_xll.IMDP("BND",DR264,EA8,DR3)</f>
        <v>입력오류</v>
      </c>
      <c r="EB264" s="23" t="str">
        <f ca="1">_xll.IMDP("BND",DR264,EB8,DR3)</f>
        <v>입력오류</v>
      </c>
    </row>
    <row r="265" spans="1:132" ht="13.5" customHeight="1" x14ac:dyDescent="0.3">
      <c r="A265" s="2">
        <v>46198</v>
      </c>
      <c r="B265" s="3" t="s">
        <v>2078</v>
      </c>
      <c r="C265" s="3" t="s">
        <v>926</v>
      </c>
      <c r="D265" s="3" t="s">
        <v>2079</v>
      </c>
      <c r="E265" s="3">
        <v>0</v>
      </c>
      <c r="F265" s="3">
        <v>0.17</v>
      </c>
      <c r="G265" s="3">
        <v>0</v>
      </c>
      <c r="H265" s="3">
        <v>185294</v>
      </c>
      <c r="I265" s="3">
        <v>9969.7800000000007</v>
      </c>
      <c r="J265" s="3">
        <v>2.5893999999999999</v>
      </c>
      <c r="K265" s="21">
        <f ca="1">_xll.IMDP("BND",B265,K8,B3)</f>
        <v>20290402</v>
      </c>
      <c r="L265" s="23">
        <f ca="1">_xll.IMDP("BND",B265,L8,B3)</f>
        <v>4.3140000000000001</v>
      </c>
      <c r="M265" s="2"/>
      <c r="W265" s="21" t="str">
        <f ca="1">_xll.IMDP("BND",N265,W8,N3)</f>
        <v>입력오류</v>
      </c>
      <c r="X265" s="23" t="str">
        <f ca="1">_xll.IMDP("BND",N265,X8,N3)</f>
        <v>입력오류</v>
      </c>
      <c r="Y265" s="2"/>
      <c r="AI265" s="21" t="str">
        <f ca="1">_xll.IMDP("BND",Z265,AI8,Z3)</f>
        <v>입력오류</v>
      </c>
      <c r="AJ265" s="23" t="str">
        <f ca="1">_xll.IMDP("BND",Z265,AJ8,Z3)</f>
        <v>입력오류</v>
      </c>
      <c r="AK265" s="2"/>
      <c r="AU265" s="21" t="str">
        <f ca="1">_xll.IMDP("BND",AL265,AU8,AL3)</f>
        <v>입력오류</v>
      </c>
      <c r="AV265" s="23" t="str">
        <f ca="1">_xll.IMDP("BND",AL265,AV8,AL3)</f>
        <v>입력오류</v>
      </c>
      <c r="AW265" s="2"/>
      <c r="BG265" s="21" t="str">
        <f ca="1">_xll.IMDP("BND",AX265,BG8,AX3)</f>
        <v>입력오류</v>
      </c>
      <c r="BH265" s="23" t="str">
        <f ca="1">_xll.IMDP("BND",AX265,BH8,AX3)</f>
        <v>입력오류</v>
      </c>
      <c r="BI265" s="2">
        <v>46198</v>
      </c>
      <c r="BJ265" s="3" t="s">
        <v>1689</v>
      </c>
      <c r="BK265" s="3" t="s">
        <v>1281</v>
      </c>
      <c r="BL265" s="3" t="s">
        <v>1690</v>
      </c>
      <c r="BM265" s="3">
        <v>0</v>
      </c>
      <c r="BN265" s="3">
        <v>0.02</v>
      </c>
      <c r="BO265" s="3">
        <v>0</v>
      </c>
      <c r="BP265" s="3">
        <v>22523</v>
      </c>
      <c r="BQ265" s="3">
        <v>9790.4599999999991</v>
      </c>
      <c r="BR265" s="3">
        <v>2.2684000000000002</v>
      </c>
      <c r="BS265" s="21">
        <f ca="1">_xll.IMDP("BND",BJ265,BS8,BJ3)</f>
        <v>20281031</v>
      </c>
      <c r="BT265" s="23">
        <f ca="1">_xll.IMDP("BND",BJ265,BT8,BJ3)</f>
        <v>3.7080000000000002</v>
      </c>
      <c r="BU265" s="2"/>
      <c r="CE265" s="21" t="str">
        <f ca="1">_xll.IMDP("BND",BV265,CE8,BV3)</f>
        <v>입력오류</v>
      </c>
      <c r="CF265" s="23" t="str">
        <f ca="1">_xll.IMDP("BND",BV265,CF8,BV3)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">
        <v>46198</v>
      </c>
      <c r="CT265" s="3" t="s">
        <v>2654</v>
      </c>
      <c r="CU265" s="3" t="s">
        <v>2655</v>
      </c>
      <c r="CV265" s="3" t="s">
        <v>2656</v>
      </c>
      <c r="CW265" s="3">
        <v>0</v>
      </c>
      <c r="CX265" s="3">
        <v>0.05</v>
      </c>
      <c r="CY265" s="3">
        <v>0</v>
      </c>
      <c r="CZ265" s="3">
        <v>69225</v>
      </c>
      <c r="DA265" s="3">
        <v>9882.1200000000008</v>
      </c>
      <c r="DB265" s="3">
        <v>1.5515000000000001</v>
      </c>
      <c r="DC265" s="21">
        <f ca="1">_xll.IMDP("BND",CT265,DC8,CT3)</f>
        <v>20280204</v>
      </c>
      <c r="DD265" s="23">
        <f ca="1">_xll.IMDP("BND",CT265,DD8,CT3)</f>
        <v>4.4480000000000004</v>
      </c>
      <c r="DE265" s="2"/>
      <c r="DO265" s="21" t="str">
        <f ca="1">_xll.IMDP("BND",DF265,DO8,DF3)</f>
        <v>입력오류</v>
      </c>
      <c r="DP265" s="23" t="str">
        <f ca="1">_xll.IMDP("BND",DF265,DP8,DF3)</f>
        <v>입력오류</v>
      </c>
      <c r="DQ265" s="2"/>
      <c r="EA265" s="21" t="str">
        <f ca="1">_xll.IMDP("BND",DR265,EA8,DR3)</f>
        <v>입력오류</v>
      </c>
      <c r="EB265" s="23" t="str">
        <f ca="1">_xll.IMDP("BND",DR265,EB8,DR3)</f>
        <v>입력오류</v>
      </c>
    </row>
    <row r="266" spans="1:132" ht="13.5" customHeight="1" x14ac:dyDescent="0.3">
      <c r="A266" s="2">
        <v>46198</v>
      </c>
      <c r="B266" s="3" t="s">
        <v>2080</v>
      </c>
      <c r="C266" s="3" t="s">
        <v>1556</v>
      </c>
      <c r="D266" s="3" t="s">
        <v>2081</v>
      </c>
      <c r="E266" s="3">
        <v>0</v>
      </c>
      <c r="F266" s="3">
        <v>0.17</v>
      </c>
      <c r="G266" s="3">
        <v>0</v>
      </c>
      <c r="H266" s="3">
        <v>183530</v>
      </c>
      <c r="I266" s="3">
        <v>9874.5300000000007</v>
      </c>
      <c r="J266" s="3">
        <v>2.4342999999999999</v>
      </c>
      <c r="K266" s="21">
        <f ca="1">_xll.IMDP("BND",B266,K8,B3)</f>
        <v>20290122</v>
      </c>
      <c r="L266" s="23">
        <f ca="1">_xll.IMDP("BND",B266,L8,B3)</f>
        <v>4.2469999999999999</v>
      </c>
      <c r="M266" s="2"/>
      <c r="W266" s="21" t="str">
        <f ca="1">_xll.IMDP("BND",N266,W8,N3)</f>
        <v>입력오류</v>
      </c>
      <c r="X266" s="23" t="str">
        <f ca="1">_xll.IMDP("BND",N266,X8,N3)</f>
        <v>입력오류</v>
      </c>
      <c r="Y266" s="2"/>
      <c r="AI266" s="21" t="str">
        <f ca="1">_xll.IMDP("BND",Z266,AI8,Z3)</f>
        <v>입력오류</v>
      </c>
      <c r="AJ266" s="23" t="str">
        <f ca="1">_xll.IMDP("BND",Z266,AJ8,Z3)</f>
        <v>입력오류</v>
      </c>
      <c r="AK266" s="2"/>
      <c r="AU266" s="21" t="str">
        <f ca="1">_xll.IMDP("BND",AL266,AU8,AL3)</f>
        <v>입력오류</v>
      </c>
      <c r="AV266" s="23" t="str">
        <f ca="1">_xll.IMDP("BND",AL266,AV8,AL3)</f>
        <v>입력오류</v>
      </c>
      <c r="AW266" s="2"/>
      <c r="BG266" s="21" t="str">
        <f ca="1">_xll.IMDP("BND",AX266,BG8,AX3)</f>
        <v>입력오류</v>
      </c>
      <c r="BH266" s="23" t="str">
        <f ca="1">_xll.IMDP("BND",AX266,BH8,AX3)</f>
        <v>입력오류</v>
      </c>
      <c r="BI266" s="2">
        <v>46198</v>
      </c>
      <c r="BJ266" s="3" t="s">
        <v>1384</v>
      </c>
      <c r="BK266" s="3" t="s">
        <v>1385</v>
      </c>
      <c r="BL266" s="3" t="s">
        <v>1386</v>
      </c>
      <c r="BM266" s="3">
        <v>0</v>
      </c>
      <c r="BN266" s="3">
        <v>0.01</v>
      </c>
      <c r="BO266" s="3">
        <v>0</v>
      </c>
      <c r="BP266" s="3">
        <v>15847</v>
      </c>
      <c r="BQ266" s="3">
        <v>9892.08</v>
      </c>
      <c r="BR266" s="3">
        <v>0.70209999999999995</v>
      </c>
      <c r="BS266" s="21">
        <f ca="1">_xll.IMDP("BND",BJ266,BS8,BJ3)</f>
        <v>20270311</v>
      </c>
      <c r="BT266" s="23">
        <f ca="1">_xll.IMDP("BND",BJ266,BT8,BJ3)</f>
        <v>3.5979999999999999</v>
      </c>
      <c r="BU266" s="2"/>
      <c r="CE266" s="21" t="str">
        <f ca="1">_xll.IMDP("BND",BV266,CE8,BV3)</f>
        <v>입력오류</v>
      </c>
      <c r="CF266" s="23" t="str">
        <f ca="1">_xll.IMDP("BND",BV266,CF8,BV3)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">
        <v>46198</v>
      </c>
      <c r="CT266" s="3" t="s">
        <v>2657</v>
      </c>
      <c r="CU266" s="3" t="s">
        <v>908</v>
      </c>
      <c r="CV266" s="3" t="s">
        <v>2658</v>
      </c>
      <c r="CW266" s="3">
        <v>0</v>
      </c>
      <c r="CX266" s="3">
        <v>0.04</v>
      </c>
      <c r="CY266" s="3">
        <v>0</v>
      </c>
      <c r="CZ266" s="3">
        <v>63096</v>
      </c>
      <c r="DA266" s="3">
        <v>9585.74</v>
      </c>
      <c r="DB266" s="3">
        <v>5.4532999999999996</v>
      </c>
      <c r="DC266" s="21">
        <f ca="1">_xll.IMDP("BND",CT266,DC8,CT3)</f>
        <v>20320810</v>
      </c>
      <c r="DD266" s="23">
        <f ca="1">_xll.IMDP("BND",CT266,DD8,CT3)</f>
        <v>4.282</v>
      </c>
      <c r="DE266" s="2"/>
      <c r="DO266" s="21" t="str">
        <f ca="1">_xll.IMDP("BND",DF266,DO8,DF3)</f>
        <v>입력오류</v>
      </c>
      <c r="DP266" s="23" t="str">
        <f ca="1">_xll.IMDP("BND",DF266,DP8,DF3)</f>
        <v>입력오류</v>
      </c>
      <c r="DQ266" s="2"/>
      <c r="EA266" s="21" t="str">
        <f ca="1">_xll.IMDP("BND",DR266,EA8,DR3)</f>
        <v>입력오류</v>
      </c>
      <c r="EB266" s="23" t="str">
        <f ca="1">_xll.IMDP("BND",DR266,EB8,DR3)</f>
        <v>입력오류</v>
      </c>
    </row>
    <row r="267" spans="1:132" ht="13.5" customHeight="1" x14ac:dyDescent="0.3">
      <c r="A267" s="2">
        <v>46198</v>
      </c>
      <c r="B267" s="3" t="s">
        <v>2082</v>
      </c>
      <c r="C267" s="3" t="s">
        <v>2083</v>
      </c>
      <c r="D267" s="3" t="s">
        <v>2084</v>
      </c>
      <c r="E267" s="3">
        <v>0</v>
      </c>
      <c r="F267" s="3">
        <v>0.16</v>
      </c>
      <c r="G267" s="3">
        <v>0</v>
      </c>
      <c r="H267" s="3">
        <v>182399</v>
      </c>
      <c r="I267" s="3">
        <v>9673.9</v>
      </c>
      <c r="J267" s="3">
        <v>3.2094</v>
      </c>
      <c r="K267" s="21">
        <f ca="1">_xll.IMDP("BND",B267,K8,B3)</f>
        <v>20291128</v>
      </c>
      <c r="L267" s="23">
        <f ca="1">_xll.IMDP("BND",B267,L8,B3)</f>
        <v>4.3689999999999998</v>
      </c>
      <c r="M267" s="2"/>
      <c r="W267" s="21" t="str">
        <f ca="1">_xll.IMDP("BND",N267,W8,N3)</f>
        <v>입력오류</v>
      </c>
      <c r="X267" s="23" t="str">
        <f ca="1">_xll.IMDP("BND",N267,X8,N3)</f>
        <v>입력오류</v>
      </c>
      <c r="Y267" s="2"/>
      <c r="AI267" s="21" t="str">
        <f ca="1">_xll.IMDP("BND",Z267,AI8,Z3)</f>
        <v>입력오류</v>
      </c>
      <c r="AJ267" s="23" t="str">
        <f ca="1">_xll.IMDP("BND",Z267,AJ8,Z3)</f>
        <v>입력오류</v>
      </c>
      <c r="AK267" s="2"/>
      <c r="AU267" s="21" t="str">
        <f ca="1">_xll.IMDP("BND",AL267,AU8,AL3)</f>
        <v>입력오류</v>
      </c>
      <c r="AV267" s="23" t="str">
        <f ca="1">_xll.IMDP("BND",AL267,AV8,AL3)</f>
        <v>입력오류</v>
      </c>
      <c r="AW267" s="2"/>
      <c r="BG267" s="21" t="str">
        <f ca="1">_xll.IMDP("BND",AX267,BG8,AX3)</f>
        <v>입력오류</v>
      </c>
      <c r="BH267" s="23" t="str">
        <f ca="1">_xll.IMDP("BND",AX267,BH8,AX3)</f>
        <v>입력오류</v>
      </c>
      <c r="BI267" s="2">
        <v>46198</v>
      </c>
      <c r="BJ267" s="3" t="s">
        <v>1691</v>
      </c>
      <c r="BK267" s="3" t="s">
        <v>1692</v>
      </c>
      <c r="BL267" s="3" t="s">
        <v>1693</v>
      </c>
      <c r="BM267" s="3">
        <v>0</v>
      </c>
      <c r="BN267" s="3">
        <v>0.01</v>
      </c>
      <c r="BO267" s="3">
        <v>0</v>
      </c>
      <c r="BP267" s="3">
        <v>13181</v>
      </c>
      <c r="BQ267" s="3">
        <v>9552.74</v>
      </c>
      <c r="BR267" s="3">
        <v>5.4953000000000003</v>
      </c>
      <c r="BS267" s="21">
        <f ca="1">_xll.IMDP("BND",BJ267,BS8,BJ3)</f>
        <v>20320824</v>
      </c>
      <c r="BT267" s="23">
        <f ca="1">_xll.IMDP("BND",BJ267,BT8,BJ3)</f>
        <v>4.2839999999999998</v>
      </c>
      <c r="BU267" s="2"/>
      <c r="CE267" s="21" t="str">
        <f ca="1">_xll.IMDP("BND",BV267,CE8,BV3)</f>
        <v>입력오류</v>
      </c>
      <c r="CF267" s="23" t="str">
        <f ca="1">_xll.IMDP("BND",BV267,CF8,BV3)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">
        <v>46198</v>
      </c>
      <c r="CT267" s="3" t="s">
        <v>1702</v>
      </c>
      <c r="CU267" s="3" t="s">
        <v>98</v>
      </c>
      <c r="CV267" s="3" t="s">
        <v>2659</v>
      </c>
      <c r="CW267" s="3">
        <v>0</v>
      </c>
      <c r="CX267" s="3">
        <v>0.04</v>
      </c>
      <c r="CY267" s="3">
        <v>0</v>
      </c>
      <c r="CZ267" s="3">
        <v>60497</v>
      </c>
      <c r="DA267" s="3">
        <v>8096.86</v>
      </c>
      <c r="DB267" s="3">
        <v>5.0058999999999996</v>
      </c>
      <c r="DC267" s="21">
        <f ca="1">_xll.IMDP("BND",CT267,DC8,CT3)</f>
        <v>20310910</v>
      </c>
      <c r="DD267" s="23">
        <f ca="1">_xll.IMDP("BND",CT267,DD8,CT3)</f>
        <v>4.1310000000000002</v>
      </c>
      <c r="DE267" s="2"/>
      <c r="DO267" s="21" t="str">
        <f ca="1">_xll.IMDP("BND",DF267,DO8,DF3)</f>
        <v>입력오류</v>
      </c>
      <c r="DP267" s="23" t="str">
        <f ca="1">_xll.IMDP("BND",DF267,DP8,DF3)</f>
        <v>입력오류</v>
      </c>
      <c r="DQ267" s="2"/>
      <c r="EA267" s="21" t="str">
        <f ca="1">_xll.IMDP("BND",DR267,EA8,DR3)</f>
        <v>입력오류</v>
      </c>
      <c r="EB267" s="23" t="str">
        <f ca="1">_xll.IMDP("BND",DR267,EB8,DR3)</f>
        <v>입력오류</v>
      </c>
    </row>
    <row r="268" spans="1:132" ht="13.5" customHeight="1" x14ac:dyDescent="0.3">
      <c r="A268" s="2">
        <v>46198</v>
      </c>
      <c r="B268" s="3" t="s">
        <v>2085</v>
      </c>
      <c r="C268" s="3" t="s">
        <v>319</v>
      </c>
      <c r="D268" s="3" t="s">
        <v>2086</v>
      </c>
      <c r="E268" s="3">
        <v>0</v>
      </c>
      <c r="F268" s="3">
        <v>0.16</v>
      </c>
      <c r="G268" s="3">
        <v>0</v>
      </c>
      <c r="H268" s="3">
        <v>174949</v>
      </c>
      <c r="I268" s="3">
        <v>6591.29</v>
      </c>
      <c r="J268" s="3">
        <v>15.5892</v>
      </c>
      <c r="K268" s="21">
        <f ca="1">_xll.IMDP("BND",B268,K8,B3)</f>
        <v>20461110</v>
      </c>
      <c r="L268" s="23">
        <f ca="1">_xll.IMDP("BND",B268,L8,B3)</f>
        <v>4.4820000000000002</v>
      </c>
      <c r="M268" s="2"/>
      <c r="W268" s="21" t="str">
        <f ca="1">_xll.IMDP("BND",N268,W8,N3)</f>
        <v>입력오류</v>
      </c>
      <c r="X268" s="23" t="str">
        <f ca="1">_xll.IMDP("BND",N268,X8,N3)</f>
        <v>입력오류</v>
      </c>
      <c r="Y268" s="2"/>
      <c r="AI268" s="21" t="str">
        <f ca="1">_xll.IMDP("BND",Z268,AI8,Z3)</f>
        <v>입력오류</v>
      </c>
      <c r="AJ268" s="23" t="str">
        <f ca="1">_xll.IMDP("BND",Z268,AJ8,Z3)</f>
        <v>입력오류</v>
      </c>
      <c r="AK268" s="2"/>
      <c r="AU268" s="21" t="str">
        <f ca="1">_xll.IMDP("BND",AL268,AU8,AL3)</f>
        <v>입력오류</v>
      </c>
      <c r="AV268" s="23" t="str">
        <f ca="1">_xll.IMDP("BND",AL268,AV8,AL3)</f>
        <v>입력오류</v>
      </c>
      <c r="AW268" s="2"/>
      <c r="BG268" s="21" t="str">
        <f ca="1">_xll.IMDP("BND",AX268,BG8,AX3)</f>
        <v>입력오류</v>
      </c>
      <c r="BH268" s="23" t="str">
        <f ca="1">_xll.IMDP("BND",AX268,BH8,AX3)</f>
        <v>입력오류</v>
      </c>
      <c r="BI268" s="2">
        <v>46198</v>
      </c>
      <c r="BJ268" s="3" t="s">
        <v>97</v>
      </c>
      <c r="BK268" s="3" t="s">
        <v>98</v>
      </c>
      <c r="BL268" s="3" t="s">
        <v>99</v>
      </c>
      <c r="BM268" s="3">
        <v>0</v>
      </c>
      <c r="BN268" s="3">
        <v>0.01</v>
      </c>
      <c r="BO268" s="3">
        <v>0</v>
      </c>
      <c r="BP268" s="3">
        <v>12995</v>
      </c>
      <c r="BQ268" s="3">
        <v>8472.0400000000009</v>
      </c>
      <c r="BR268" s="3">
        <v>4.0502000000000002</v>
      </c>
      <c r="BS268" s="21">
        <f ca="1">_xll.IMDP("BND",BJ268,BS8,BJ3)</f>
        <v>20300910</v>
      </c>
      <c r="BT268" s="23">
        <f ca="1">_xll.IMDP("BND",BJ268,BT8,BJ3)</f>
        <v>4.0129999999999999</v>
      </c>
      <c r="BU268" s="2"/>
      <c r="CE268" s="21" t="str">
        <f ca="1">_xll.IMDP("BND",BV268,CE8,BV3)</f>
        <v>입력오류</v>
      </c>
      <c r="CF268" s="23" t="str">
        <f ca="1">_xll.IMDP("BND",BV268,CF8,BV3)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">
        <v>46198</v>
      </c>
      <c r="CT268" s="3" t="s">
        <v>2660</v>
      </c>
      <c r="CU268" s="3" t="s">
        <v>1739</v>
      </c>
      <c r="CV268" s="3" t="s">
        <v>2661</v>
      </c>
      <c r="CW268" s="3">
        <v>0</v>
      </c>
      <c r="CX268" s="3">
        <v>0.04</v>
      </c>
      <c r="CY268" s="3">
        <v>0</v>
      </c>
      <c r="CZ268" s="3">
        <v>58848</v>
      </c>
      <c r="DA268" s="3">
        <v>9693.66</v>
      </c>
      <c r="DB268" s="3">
        <v>2.3331</v>
      </c>
      <c r="DC268" s="21">
        <f ca="1">_xll.IMDP("BND",CT268,DC8,CT3)</f>
        <v>20281201</v>
      </c>
      <c r="DD268" s="23">
        <f ca="1">_xll.IMDP("BND",CT268,DD8,CT3)</f>
        <v>3.778</v>
      </c>
      <c r="DE268" s="2"/>
      <c r="DO268" s="21" t="str">
        <f ca="1">_xll.IMDP("BND",DF268,DO8,DF3)</f>
        <v>입력오류</v>
      </c>
      <c r="DP268" s="23" t="str">
        <f ca="1">_xll.IMDP("BND",DF268,DP8,DF3)</f>
        <v>입력오류</v>
      </c>
      <c r="DQ268" s="2"/>
      <c r="EA268" s="21" t="str">
        <f ca="1">_xll.IMDP("BND",DR268,EA8,DR3)</f>
        <v>입력오류</v>
      </c>
      <c r="EB268" s="23" t="str">
        <f ca="1">_xll.IMDP("BND",DR268,EB8,DR3)</f>
        <v>입력오류</v>
      </c>
    </row>
    <row r="269" spans="1:132" ht="13.5" customHeight="1" x14ac:dyDescent="0.3">
      <c r="A269" s="2">
        <v>46198</v>
      </c>
      <c r="B269" s="3" t="s">
        <v>2087</v>
      </c>
      <c r="C269" s="3" t="s">
        <v>98</v>
      </c>
      <c r="D269" s="3" t="s">
        <v>2088</v>
      </c>
      <c r="E269" s="3">
        <v>0</v>
      </c>
      <c r="F269" s="3">
        <v>0.16</v>
      </c>
      <c r="G269" s="3">
        <v>0</v>
      </c>
      <c r="H269" s="3">
        <v>173687</v>
      </c>
      <c r="I269" s="3">
        <v>6541.03</v>
      </c>
      <c r="J269" s="3">
        <v>9.7988</v>
      </c>
      <c r="K269" s="21">
        <f ca="1">_xll.IMDP("BND",B269,K8,B3)</f>
        <v>20360910</v>
      </c>
      <c r="L269" s="23">
        <f ca="1">_xll.IMDP("BND",B269,L8,B3)</f>
        <v>4.2430000000000003</v>
      </c>
      <c r="M269" s="2"/>
      <c r="W269" s="21" t="str">
        <f ca="1">_xll.IMDP("BND",N269,W8,N3)</f>
        <v>입력오류</v>
      </c>
      <c r="X269" s="23" t="str">
        <f ca="1">_xll.IMDP("BND",N269,X8,N3)</f>
        <v>입력오류</v>
      </c>
      <c r="Y269" s="2"/>
      <c r="AI269" s="21" t="str">
        <f ca="1">_xll.IMDP("BND",Z269,AI8,Z3)</f>
        <v>입력오류</v>
      </c>
      <c r="AJ269" s="23" t="str">
        <f ca="1">_xll.IMDP("BND",Z269,AJ8,Z3)</f>
        <v>입력오류</v>
      </c>
      <c r="AK269" s="2"/>
      <c r="AU269" s="21" t="str">
        <f ca="1">_xll.IMDP("BND",AL269,AU8,AL3)</f>
        <v>입력오류</v>
      </c>
      <c r="AV269" s="23" t="str">
        <f ca="1">_xll.IMDP("BND",AL269,AV8,AL3)</f>
        <v>입력오류</v>
      </c>
      <c r="AW269" s="2"/>
      <c r="BG269" s="21" t="str">
        <f ca="1">_xll.IMDP("BND",AX269,BG8,AX3)</f>
        <v>입력오류</v>
      </c>
      <c r="BH269" s="23" t="str">
        <f ca="1">_xll.IMDP("BND",AX269,BH8,AX3)</f>
        <v>입력오류</v>
      </c>
      <c r="BI269" s="2">
        <v>46198</v>
      </c>
      <c r="BJ269" s="3" t="s">
        <v>913</v>
      </c>
      <c r="BK269" s="3" t="s">
        <v>914</v>
      </c>
      <c r="BL269" s="3" t="s">
        <v>915</v>
      </c>
      <c r="BM269" s="3">
        <v>0</v>
      </c>
      <c r="BN269" s="3">
        <v>0.01</v>
      </c>
      <c r="BO269" s="3">
        <v>0</v>
      </c>
      <c r="BP269" s="3">
        <v>11550</v>
      </c>
      <c r="BQ269" s="3">
        <v>10041.41</v>
      </c>
      <c r="BR269" s="3">
        <v>5.0107999999999997</v>
      </c>
      <c r="BS269" s="21">
        <f ca="1">_xll.IMDP("BND",BJ269,BS8,BJ3)</f>
        <v>20320222</v>
      </c>
      <c r="BT269" s="23">
        <f ca="1">_xll.IMDP("BND",BJ269,BT8,BJ3)</f>
        <v>4.274</v>
      </c>
      <c r="BU269" s="2"/>
      <c r="CE269" s="21" t="str">
        <f ca="1">_xll.IMDP("BND",BV269,CE8,BV3)</f>
        <v>입력오류</v>
      </c>
      <c r="CF269" s="23" t="str">
        <f ca="1">_xll.IMDP("BND",BV269,CF8,BV3)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">
        <v>46198</v>
      </c>
      <c r="CT269" s="3" t="s">
        <v>2064</v>
      </c>
      <c r="CU269" s="3" t="s">
        <v>1297</v>
      </c>
      <c r="CV269" s="3" t="s">
        <v>2065</v>
      </c>
      <c r="CW269" s="3">
        <v>0</v>
      </c>
      <c r="CX269" s="3">
        <v>0.04</v>
      </c>
      <c r="CY269" s="3">
        <v>0</v>
      </c>
      <c r="CZ269" s="3">
        <v>55237</v>
      </c>
      <c r="DA269" s="3">
        <v>9856.8799999999992</v>
      </c>
      <c r="DB269" s="3">
        <v>1.4145000000000001</v>
      </c>
      <c r="DC269" s="21">
        <f ca="1">_xll.IMDP("BND",CT269,DC8,CT3)</f>
        <v>20271208</v>
      </c>
      <c r="DD269" s="23">
        <f ca="1">_xll.IMDP("BND",CT269,DD8,CT3)</f>
        <v>3.9540000000000002</v>
      </c>
      <c r="DE269" s="2"/>
      <c r="DO269" s="21" t="str">
        <f ca="1">_xll.IMDP("BND",DF269,DO8,DF3)</f>
        <v>입력오류</v>
      </c>
      <c r="DP269" s="23" t="str">
        <f ca="1">_xll.IMDP("BND",DF269,DP8,DF3)</f>
        <v>입력오류</v>
      </c>
      <c r="DQ269" s="2"/>
      <c r="EA269" s="21" t="str">
        <f ca="1">_xll.IMDP("BND",DR269,EA8,DR3)</f>
        <v>입력오류</v>
      </c>
      <c r="EB269" s="23" t="str">
        <f ca="1">_xll.IMDP("BND",DR269,EB8,DR3)</f>
        <v>입력오류</v>
      </c>
    </row>
    <row r="270" spans="1:132" ht="13.5" customHeight="1" x14ac:dyDescent="0.3">
      <c r="A270" s="2">
        <v>46198</v>
      </c>
      <c r="B270" s="3" t="s">
        <v>2089</v>
      </c>
      <c r="C270" s="3" t="s">
        <v>1284</v>
      </c>
      <c r="D270" s="3" t="s">
        <v>2090</v>
      </c>
      <c r="E270" s="3">
        <v>0</v>
      </c>
      <c r="F270" s="3">
        <v>0.16</v>
      </c>
      <c r="G270" s="3">
        <v>0</v>
      </c>
      <c r="H270" s="3">
        <v>173159</v>
      </c>
      <c r="I270" s="3">
        <v>10031.76</v>
      </c>
      <c r="J270" s="3">
        <v>1.7488999999999999</v>
      </c>
      <c r="K270" s="21">
        <f ca="1">_xll.IMDP("BND",B270,K8,B3)</f>
        <v>20280426</v>
      </c>
      <c r="L270" s="23">
        <f ca="1">_xll.IMDP("BND",B270,L8,B3)</f>
        <v>4.28</v>
      </c>
      <c r="M270" s="2"/>
      <c r="W270" s="21" t="str">
        <f ca="1">_xll.IMDP("BND",N270,W8,N3)</f>
        <v>입력오류</v>
      </c>
      <c r="X270" s="23" t="str">
        <f ca="1">_xll.IMDP("BND",N270,X8,N3)</f>
        <v>입력오류</v>
      </c>
      <c r="Y270" s="2"/>
      <c r="AI270" s="21" t="str">
        <f ca="1">_xll.IMDP("BND",Z270,AI8,Z3)</f>
        <v>입력오류</v>
      </c>
      <c r="AJ270" s="23" t="str">
        <f ca="1">_xll.IMDP("BND",Z270,AJ8,Z3)</f>
        <v>입력오류</v>
      </c>
      <c r="AK270" s="2"/>
      <c r="AU270" s="21" t="str">
        <f ca="1">_xll.IMDP("BND",AL270,AU8,AL3)</f>
        <v>입력오류</v>
      </c>
      <c r="AV270" s="23" t="str">
        <f ca="1">_xll.IMDP("BND",AL270,AV8,AL3)</f>
        <v>입력오류</v>
      </c>
      <c r="AW270" s="2"/>
      <c r="BG270" s="21" t="str">
        <f ca="1">_xll.IMDP("BND",AX270,BG8,AX3)</f>
        <v>입력오류</v>
      </c>
      <c r="BH270" s="23" t="str">
        <f ca="1">_xll.IMDP("BND",AX270,BH8,AX3)</f>
        <v>입력오류</v>
      </c>
      <c r="BI270" s="2">
        <v>46198</v>
      </c>
      <c r="BJ270" s="3" t="s">
        <v>1694</v>
      </c>
      <c r="BK270" s="3" t="s">
        <v>1695</v>
      </c>
      <c r="BL270" s="3" t="s">
        <v>1696</v>
      </c>
      <c r="BM270" s="3">
        <v>0</v>
      </c>
      <c r="BN270" s="3">
        <v>0.01</v>
      </c>
      <c r="BO270" s="3">
        <v>0</v>
      </c>
      <c r="BP270" s="3">
        <v>7893</v>
      </c>
      <c r="BQ270" s="3">
        <v>10292.799999999999</v>
      </c>
      <c r="BR270" s="3">
        <v>0.68559999999999999</v>
      </c>
      <c r="BS270" s="21">
        <f ca="1">_xll.IMDP("BND",BJ270,BS8,BJ3)</f>
        <v>20270310</v>
      </c>
      <c r="BT270" s="23">
        <f ca="1">_xll.IMDP("BND",BJ270,BT8,BJ3)</f>
        <v>3.2229999999999999</v>
      </c>
      <c r="BU270" s="2"/>
      <c r="CE270" s="21" t="str">
        <f ca="1">_xll.IMDP("BND",BV270,CE8,BV3)</f>
        <v>입력오류</v>
      </c>
      <c r="CF270" s="23" t="str">
        <f ca="1">_xll.IMDP("BND",BV270,CF8,BV3)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">
        <v>46198</v>
      </c>
      <c r="CT270" s="3" t="s">
        <v>2229</v>
      </c>
      <c r="CU270" s="3" t="s">
        <v>1564</v>
      </c>
      <c r="CV270" s="3" t="s">
        <v>2230</v>
      </c>
      <c r="CW270" s="3">
        <v>0</v>
      </c>
      <c r="CX270" s="3">
        <v>0.03</v>
      </c>
      <c r="CY270" s="3">
        <v>0</v>
      </c>
      <c r="CZ270" s="3">
        <v>48560</v>
      </c>
      <c r="DA270" s="3">
        <v>9904.23</v>
      </c>
      <c r="DB270" s="3">
        <v>0.81879999999999997</v>
      </c>
      <c r="DC270" s="21">
        <f ca="1">_xll.IMDP("BND",CT270,DC8,CT3)</f>
        <v>20270425</v>
      </c>
      <c r="DD270" s="23">
        <f ca="1">_xll.IMDP("BND",CT270,DD8,CT3)</f>
        <v>3.5459999999999998</v>
      </c>
      <c r="DE270" s="2"/>
      <c r="DO270" s="21" t="str">
        <f ca="1">_xll.IMDP("BND",DF270,DO8,DF3)</f>
        <v>입력오류</v>
      </c>
      <c r="DP270" s="23" t="str">
        <f ca="1">_xll.IMDP("BND",DF270,DP8,DF3)</f>
        <v>입력오류</v>
      </c>
      <c r="DQ270" s="2"/>
      <c r="EA270" s="21" t="str">
        <f ca="1">_xll.IMDP("BND",DR270,EA8,DR3)</f>
        <v>입력오류</v>
      </c>
      <c r="EB270" s="23" t="str">
        <f ca="1">_xll.IMDP("BND",DR270,EB8,DR3)</f>
        <v>입력오류</v>
      </c>
    </row>
    <row r="271" spans="1:132" ht="13.5" customHeight="1" x14ac:dyDescent="0.3">
      <c r="A271" s="2">
        <v>46198</v>
      </c>
      <c r="B271" s="3" t="s">
        <v>2091</v>
      </c>
      <c r="C271" s="3" t="s">
        <v>98</v>
      </c>
      <c r="D271" s="3" t="s">
        <v>2092</v>
      </c>
      <c r="E271" s="3">
        <v>0</v>
      </c>
      <c r="F271" s="3">
        <v>0.15</v>
      </c>
      <c r="G271" s="3">
        <v>0</v>
      </c>
      <c r="H271" s="3">
        <v>170029</v>
      </c>
      <c r="I271" s="3">
        <v>6403.23</v>
      </c>
      <c r="J271" s="3">
        <v>10.2738</v>
      </c>
      <c r="K271" s="21">
        <f ca="1">_xll.IMDP("BND",B271,K8,B3)</f>
        <v>20370310</v>
      </c>
      <c r="L271" s="23">
        <f ca="1">_xll.IMDP("BND",B271,L8,B3)</f>
        <v>4.2489999999999997</v>
      </c>
      <c r="M271" s="2"/>
      <c r="W271" s="21" t="str">
        <f ca="1">_xll.IMDP("BND",N271,W8,N3)</f>
        <v>입력오류</v>
      </c>
      <c r="X271" s="23" t="str">
        <f ca="1">_xll.IMDP("BND",N271,X8,N3)</f>
        <v>입력오류</v>
      </c>
      <c r="Y271" s="2"/>
      <c r="AI271" s="21" t="str">
        <f ca="1">_xll.IMDP("BND",Z271,AI8,Z3)</f>
        <v>입력오류</v>
      </c>
      <c r="AJ271" s="23" t="str">
        <f ca="1">_xll.IMDP("BND",Z271,AJ8,Z3)</f>
        <v>입력오류</v>
      </c>
      <c r="AK271" s="2"/>
      <c r="AU271" s="21" t="str">
        <f ca="1">_xll.IMDP("BND",AL271,AU8,AL3)</f>
        <v>입력오류</v>
      </c>
      <c r="AV271" s="23" t="str">
        <f ca="1">_xll.IMDP("BND",AL271,AV8,AL3)</f>
        <v>입력오류</v>
      </c>
      <c r="AW271" s="2"/>
      <c r="BG271" s="21" t="str">
        <f ca="1">_xll.IMDP("BND",AX271,BG8,AX3)</f>
        <v>입력오류</v>
      </c>
      <c r="BH271" s="23" t="str">
        <f ca="1">_xll.IMDP("BND",AX271,BH8,AX3)</f>
        <v>입력오류</v>
      </c>
      <c r="BI271" s="2">
        <v>46198</v>
      </c>
      <c r="BJ271" s="3" t="s">
        <v>1697</v>
      </c>
      <c r="BK271" s="3" t="s">
        <v>267</v>
      </c>
      <c r="BL271" s="3" t="s">
        <v>1698</v>
      </c>
      <c r="BM271" s="3">
        <v>0</v>
      </c>
      <c r="BN271" s="3">
        <v>0.01</v>
      </c>
      <c r="BO271" s="3">
        <v>0</v>
      </c>
      <c r="BP271" s="3">
        <v>7834</v>
      </c>
      <c r="BQ271" s="3">
        <v>10214.74</v>
      </c>
      <c r="BR271" s="3">
        <v>2.1465999999999998</v>
      </c>
      <c r="BS271" s="21">
        <f ca="1">_xll.IMDP("BND",BJ271,BS8,BJ3)</f>
        <v>20281012</v>
      </c>
      <c r="BT271" s="23">
        <f ca="1">_xll.IMDP("BND",BJ271,BT8,BJ3)</f>
        <v>4.0599999999999996</v>
      </c>
      <c r="BU271" s="2"/>
      <c r="CE271" s="21" t="str">
        <f ca="1">_xll.IMDP("BND",BV271,CE8,BV3)</f>
        <v>입력오류</v>
      </c>
      <c r="CF271" s="23" t="str">
        <f ca="1">_xll.IMDP("BND",BV271,CF8,BV3)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">
        <v>46198</v>
      </c>
      <c r="CT271" s="3" t="s">
        <v>2170</v>
      </c>
      <c r="CU271" s="3" t="s">
        <v>319</v>
      </c>
      <c r="CV271" s="3" t="s">
        <v>2662</v>
      </c>
      <c r="CW271" s="3">
        <v>0</v>
      </c>
      <c r="CX271" s="3">
        <v>0.03</v>
      </c>
      <c r="CY271" s="3">
        <v>0</v>
      </c>
      <c r="CZ271" s="3">
        <v>47472</v>
      </c>
      <c r="DA271" s="3">
        <v>10166.17</v>
      </c>
      <c r="DB271" s="3">
        <v>9.8100000000000007E-2</v>
      </c>
      <c r="DC271" s="21">
        <f ca="1">_xll.IMDP("BND",CT271,DC8,CT3)</f>
        <v>20260731</v>
      </c>
      <c r="DD271" s="23">
        <f ca="1">_xll.IMDP("BND",CT271,DD8,CT3)</f>
        <v>2.8639999999999999</v>
      </c>
      <c r="DE271" s="2"/>
      <c r="DO271" s="21" t="str">
        <f ca="1">_xll.IMDP("BND",DF271,DO8,DF3)</f>
        <v>입력오류</v>
      </c>
      <c r="DP271" s="23" t="str">
        <f ca="1">_xll.IMDP("BND",DF271,DP8,DF3)</f>
        <v>입력오류</v>
      </c>
      <c r="DQ271" s="2"/>
      <c r="EA271" s="21" t="str">
        <f ca="1">_xll.IMDP("BND",DR271,EA8,DR3)</f>
        <v>입력오류</v>
      </c>
      <c r="EB271" s="23" t="str">
        <f ca="1">_xll.IMDP("BND",DR271,EB8,DR3)</f>
        <v>입력오류</v>
      </c>
    </row>
    <row r="272" spans="1:132" ht="13.5" customHeight="1" x14ac:dyDescent="0.3">
      <c r="A272" s="2">
        <v>46198</v>
      </c>
      <c r="B272" s="3" t="s">
        <v>130</v>
      </c>
      <c r="C272" s="3" t="s">
        <v>131</v>
      </c>
      <c r="D272" s="3" t="s">
        <v>132</v>
      </c>
      <c r="E272" s="3">
        <v>0</v>
      </c>
      <c r="F272" s="3">
        <v>0.15</v>
      </c>
      <c r="G272" s="3">
        <v>0</v>
      </c>
      <c r="H272" s="3">
        <v>169905</v>
      </c>
      <c r="I272" s="3">
        <v>9410.18</v>
      </c>
      <c r="J272" s="3">
        <v>1.649</v>
      </c>
      <c r="K272" s="21">
        <f ca="1">_xll.IMDP("BND",B272,K8,B3)</f>
        <v>20280310</v>
      </c>
      <c r="L272" s="23">
        <f ca="1">_xll.IMDP("BND",B272,L8,B3)</f>
        <v>3.6179999999999999</v>
      </c>
      <c r="M272" s="2"/>
      <c r="W272" s="21" t="str">
        <f ca="1">_xll.IMDP("BND",N272,W8,N3)</f>
        <v>입력오류</v>
      </c>
      <c r="X272" s="23" t="str">
        <f ca="1">_xll.IMDP("BND",N272,X8,N3)</f>
        <v>입력오류</v>
      </c>
      <c r="Y272" s="2"/>
      <c r="AI272" s="21" t="str">
        <f ca="1">_xll.IMDP("BND",Z272,AI8,Z3)</f>
        <v>입력오류</v>
      </c>
      <c r="AJ272" s="23" t="str">
        <f ca="1">_xll.IMDP("BND",Z272,AJ8,Z3)</f>
        <v>입력오류</v>
      </c>
      <c r="AK272" s="2"/>
      <c r="AU272" s="21" t="str">
        <f ca="1">_xll.IMDP("BND",AL272,AU8,AL3)</f>
        <v>입력오류</v>
      </c>
      <c r="AV272" s="23" t="str">
        <f ca="1">_xll.IMDP("BND",AL272,AV8,AL3)</f>
        <v>입력오류</v>
      </c>
      <c r="AW272" s="2"/>
      <c r="BG272" s="21" t="str">
        <f ca="1">_xll.IMDP("BND",AX272,BG8,AX3)</f>
        <v>입력오류</v>
      </c>
      <c r="BH272" s="23" t="str">
        <f ca="1">_xll.IMDP("BND",AX272,BH8,AX3)</f>
        <v>입력오류</v>
      </c>
      <c r="BI272" s="2">
        <v>46198</v>
      </c>
      <c r="BJ272" s="3" t="s">
        <v>1699</v>
      </c>
      <c r="BK272" s="3" t="s">
        <v>1700</v>
      </c>
      <c r="BL272" s="3" t="s">
        <v>1701</v>
      </c>
      <c r="BM272" s="3">
        <v>0</v>
      </c>
      <c r="BN272" s="3">
        <v>0.01</v>
      </c>
      <c r="BO272" s="3">
        <v>0</v>
      </c>
      <c r="BP272" s="3">
        <v>7738</v>
      </c>
      <c r="BQ272" s="3">
        <v>9610.7999999999993</v>
      </c>
      <c r="BR272" s="3">
        <v>2.0207000000000002</v>
      </c>
      <c r="BS272" s="21">
        <f ca="1">_xll.IMDP("BND",BJ272,BS8,BJ3)</f>
        <v>20280727</v>
      </c>
      <c r="BT272" s="23">
        <f ca="1">_xll.IMDP("BND",BJ272,BT8,BJ3)</f>
        <v>4.3040000000000003</v>
      </c>
      <c r="BU272" s="2"/>
      <c r="CE272" s="21" t="str">
        <f ca="1">_xll.IMDP("BND",BV272,CE8,BV3)</f>
        <v>입력오류</v>
      </c>
      <c r="CF272" s="23" t="str">
        <f ca="1">_xll.IMDP("BND",BV272,CF8,BV3)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">
        <v>46198</v>
      </c>
      <c r="CT272" s="3" t="s">
        <v>2210</v>
      </c>
      <c r="CU272" s="3" t="s">
        <v>2211</v>
      </c>
      <c r="CV272" s="3" t="s">
        <v>2663</v>
      </c>
      <c r="CW272" s="3">
        <v>0</v>
      </c>
      <c r="CX272" s="3">
        <v>0.03</v>
      </c>
      <c r="CY272" s="3">
        <v>0</v>
      </c>
      <c r="CZ272" s="3">
        <v>47070</v>
      </c>
      <c r="DA272" s="3">
        <v>10079.870000000001</v>
      </c>
      <c r="DB272" s="3">
        <v>1.6217999999999999</v>
      </c>
      <c r="DC272" s="21">
        <f ca="1">_xll.IMDP("BND",CT272,DC8,CT3)</f>
        <v>20280229</v>
      </c>
      <c r="DD272" s="23">
        <f ca="1">_xll.IMDP("BND",CT272,DD8,CT3)</f>
        <v>3.6680000000000001</v>
      </c>
      <c r="DE272" s="2"/>
      <c r="DO272" s="21" t="str">
        <f ca="1">_xll.IMDP("BND",DF272,DO8,DF3)</f>
        <v>입력오류</v>
      </c>
      <c r="DP272" s="23" t="str">
        <f ca="1">_xll.IMDP("BND",DF272,DP8,DF3)</f>
        <v>입력오류</v>
      </c>
      <c r="DQ272" s="2"/>
      <c r="EA272" s="21" t="str">
        <f ca="1">_xll.IMDP("BND",DR272,EA8,DR3)</f>
        <v>입력오류</v>
      </c>
      <c r="EB272" s="23" t="str">
        <f ca="1">_xll.IMDP("BND",DR272,EB8,DR3)</f>
        <v>입력오류</v>
      </c>
    </row>
    <row r="273" spans="1:132" ht="13.5" customHeight="1" x14ac:dyDescent="0.3">
      <c r="A273" s="2">
        <v>46198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0.15</v>
      </c>
      <c r="G273" s="3">
        <v>0</v>
      </c>
      <c r="H273" s="3">
        <v>163472</v>
      </c>
      <c r="I273" s="3">
        <v>9188.09</v>
      </c>
      <c r="J273" s="3">
        <v>3.5809000000000002</v>
      </c>
      <c r="K273" s="21">
        <f ca="1">_xll.IMDP("BND",B273,K8,B3)</f>
        <v>20300407</v>
      </c>
      <c r="L273" s="23">
        <f ca="1">_xll.IMDP("BND",B273,L8,B3)</f>
        <v>4.2389999999999999</v>
      </c>
      <c r="M273" s="2"/>
      <c r="W273" s="21" t="str">
        <f ca="1">_xll.IMDP("BND",N273,W8,N3)</f>
        <v>입력오류</v>
      </c>
      <c r="X273" s="23" t="str">
        <f ca="1">_xll.IMDP("BND",N273,X8,N3)</f>
        <v>입력오류</v>
      </c>
      <c r="Y273" s="2"/>
      <c r="AI273" s="21" t="str">
        <f ca="1">_xll.IMDP("BND",Z273,AI8,Z3)</f>
        <v>입력오류</v>
      </c>
      <c r="AJ273" s="23" t="str">
        <f ca="1">_xll.IMDP("BND",Z273,AJ8,Z3)</f>
        <v>입력오류</v>
      </c>
      <c r="AK273" s="2"/>
      <c r="AU273" s="21" t="str">
        <f ca="1">_xll.IMDP("BND",AL273,AU8,AL3)</f>
        <v>입력오류</v>
      </c>
      <c r="AV273" s="23" t="str">
        <f ca="1">_xll.IMDP("BND",AL273,AV8,AL3)</f>
        <v>입력오류</v>
      </c>
      <c r="AW273" s="2"/>
      <c r="BG273" s="21" t="str">
        <f ca="1">_xll.IMDP("BND",AX273,BG8,AX3)</f>
        <v>입력오류</v>
      </c>
      <c r="BH273" s="23" t="str">
        <f ca="1">_xll.IMDP("BND",AX273,BH8,AX3)</f>
        <v>입력오류</v>
      </c>
      <c r="BI273" s="2">
        <v>46198</v>
      </c>
      <c r="BJ273" s="3" t="s">
        <v>115</v>
      </c>
      <c r="BK273" s="3" t="s">
        <v>29</v>
      </c>
      <c r="BL273" s="3" t="s">
        <v>116</v>
      </c>
      <c r="BM273" s="3">
        <v>0</v>
      </c>
      <c r="BN273" s="3">
        <v>0.01</v>
      </c>
      <c r="BO273" s="3">
        <v>0</v>
      </c>
      <c r="BP273" s="3">
        <v>6968</v>
      </c>
      <c r="BQ273" s="3">
        <v>9085.8700000000008</v>
      </c>
      <c r="BR273" s="3">
        <v>4.6357999999999997</v>
      </c>
      <c r="BS273" s="21">
        <f ca="1">_xll.IMDP("BND",BJ273,BS8,BJ3)</f>
        <v>20310610</v>
      </c>
      <c r="BT273" s="23">
        <f ca="1">_xll.IMDP("BND",BJ273,BT8,BJ3)</f>
        <v>4.0720000000000001</v>
      </c>
      <c r="BU273" s="2"/>
      <c r="CE273" s="21" t="str">
        <f ca="1">_xll.IMDP("BND",BV273,CE8,BV3)</f>
        <v>입력오류</v>
      </c>
      <c r="CF273" s="23" t="str">
        <f ca="1">_xll.IMDP("BND",BV273,CF8,BV3)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">
        <v>46198</v>
      </c>
      <c r="CT273" s="3" t="s">
        <v>396</v>
      </c>
      <c r="CU273" s="3" t="s">
        <v>56</v>
      </c>
      <c r="CV273" s="3" t="s">
        <v>2723</v>
      </c>
      <c r="CW273" s="3">
        <v>0</v>
      </c>
      <c r="CX273" s="3">
        <v>0.03</v>
      </c>
      <c r="CY273" s="3">
        <v>0</v>
      </c>
      <c r="CZ273" s="3">
        <v>47064</v>
      </c>
      <c r="DA273" s="3">
        <v>10079.31</v>
      </c>
      <c r="DB273" s="3">
        <v>8.0503</v>
      </c>
      <c r="DC273" s="21">
        <f ca="1">_xll.IMDP("BND",CT273,DC8,CT3)</f>
        <v>20360610</v>
      </c>
      <c r="DD273" s="23">
        <f ca="1">_xll.IMDP("BND",CT273,DD8,CT3)</f>
        <v>4.173</v>
      </c>
      <c r="DE273" s="2"/>
      <c r="DO273" s="21" t="str">
        <f ca="1">_xll.IMDP("BND",DF273,DO8,DF3)</f>
        <v>입력오류</v>
      </c>
      <c r="DP273" s="23" t="str">
        <f ca="1">_xll.IMDP("BND",DF273,DP8,DF3)</f>
        <v>입력오류</v>
      </c>
      <c r="DQ273" s="2"/>
      <c r="EA273" s="21" t="str">
        <f ca="1">_xll.IMDP("BND",DR273,EA8,DR3)</f>
        <v>입력오류</v>
      </c>
      <c r="EB273" s="23" t="str">
        <f ca="1">_xll.IMDP("BND",DR273,EB8,DR3)</f>
        <v>입력오류</v>
      </c>
    </row>
    <row r="274" spans="1:132" ht="13.5" customHeight="1" x14ac:dyDescent="0.3">
      <c r="A274" s="2">
        <v>46198</v>
      </c>
      <c r="B274" s="3" t="s">
        <v>2093</v>
      </c>
      <c r="C274" s="3" t="s">
        <v>299</v>
      </c>
      <c r="D274" s="3" t="s">
        <v>2094</v>
      </c>
      <c r="E274" s="3">
        <v>0</v>
      </c>
      <c r="F274" s="3">
        <v>0.14000000000000001</v>
      </c>
      <c r="G274" s="3">
        <v>0</v>
      </c>
      <c r="H274" s="3">
        <v>160764</v>
      </c>
      <c r="I274" s="3">
        <v>10091.34</v>
      </c>
      <c r="J274" s="3">
        <v>0.76600000000000001</v>
      </c>
      <c r="K274" s="21">
        <f ca="1">_xll.IMDP("BND",B274,K8,B3)</f>
        <v>20270409</v>
      </c>
      <c r="L274" s="23">
        <f ca="1">_xll.IMDP("BND",B274,L8,B3)</f>
        <v>3.7450000000000001</v>
      </c>
      <c r="M274" s="2"/>
      <c r="W274" s="21" t="str">
        <f ca="1">_xll.IMDP("BND",N274,W8,N3)</f>
        <v>입력오류</v>
      </c>
      <c r="X274" s="23" t="str">
        <f ca="1">_xll.IMDP("BND",N274,X8,N3)</f>
        <v>입력오류</v>
      </c>
      <c r="Y274" s="2"/>
      <c r="AI274" s="21" t="str">
        <f ca="1">_xll.IMDP("BND",Z274,AI8,Z3)</f>
        <v>입력오류</v>
      </c>
      <c r="AJ274" s="23" t="str">
        <f ca="1">_xll.IMDP("BND",Z274,AJ8,Z3)</f>
        <v>입력오류</v>
      </c>
      <c r="AK274" s="2"/>
      <c r="AU274" s="21" t="str">
        <f ca="1">_xll.IMDP("BND",AL274,AU8,AL3)</f>
        <v>입력오류</v>
      </c>
      <c r="AV274" s="23" t="str">
        <f ca="1">_xll.IMDP("BND",AL274,AV8,AL3)</f>
        <v>입력오류</v>
      </c>
      <c r="AW274" s="2"/>
      <c r="BG274" s="21" t="str">
        <f ca="1">_xll.IMDP("BND",AX274,BG8,AX3)</f>
        <v>입력오류</v>
      </c>
      <c r="BH274" s="23" t="str">
        <f ca="1">_xll.IMDP("BND",AX274,BH8,AX3)</f>
        <v>입력오류</v>
      </c>
      <c r="BI274" s="2">
        <v>46198</v>
      </c>
      <c r="BJ274" s="3" t="s">
        <v>1702</v>
      </c>
      <c r="BK274" s="3" t="s">
        <v>98</v>
      </c>
      <c r="BL274" s="3" t="s">
        <v>1703</v>
      </c>
      <c r="BM274" s="3">
        <v>0</v>
      </c>
      <c r="BN274" s="3">
        <v>0</v>
      </c>
      <c r="BO274" s="3">
        <v>0</v>
      </c>
      <c r="BP274" s="3">
        <v>5588</v>
      </c>
      <c r="BQ274" s="3">
        <v>8096.86</v>
      </c>
      <c r="BR274" s="3">
        <v>5.0058999999999996</v>
      </c>
      <c r="BS274" s="21">
        <f ca="1">_xll.IMDP("BND",BJ274,BS8,BJ3)</f>
        <v>20310910</v>
      </c>
      <c r="BT274" s="23">
        <f ca="1">_xll.IMDP("BND",BJ274,BT8,BJ3)</f>
        <v>4.1310000000000002</v>
      </c>
      <c r="BU274" s="2"/>
      <c r="CE274" s="21" t="str">
        <f ca="1">_xll.IMDP("BND",BV274,CE8,BV3)</f>
        <v>입력오류</v>
      </c>
      <c r="CF274" s="23" t="str">
        <f ca="1">_xll.IMDP("BND",BV274,CF8,BV3)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">
        <v>46198</v>
      </c>
      <c r="CT274" s="3" t="s">
        <v>937</v>
      </c>
      <c r="CU274" s="3" t="s">
        <v>938</v>
      </c>
      <c r="CV274" s="3" t="s">
        <v>939</v>
      </c>
      <c r="CW274" s="3">
        <v>0</v>
      </c>
      <c r="CX274" s="3">
        <v>0.03</v>
      </c>
      <c r="CY274" s="3">
        <v>0</v>
      </c>
      <c r="CZ274" s="3">
        <v>46800</v>
      </c>
      <c r="DA274" s="3">
        <v>10023.200000000001</v>
      </c>
      <c r="DB274" s="3">
        <v>2.4030999999999998</v>
      </c>
      <c r="DC274" s="21">
        <f ca="1">_xll.IMDP("BND",CT274,DC8,CT3)</f>
        <v>20290117</v>
      </c>
      <c r="DD274" s="23">
        <f ca="1">_xll.IMDP("BND",CT274,DD8,CT3)</f>
        <v>4.2830000000000004</v>
      </c>
      <c r="DE274" s="2"/>
      <c r="DO274" s="21" t="str">
        <f ca="1">_xll.IMDP("BND",DF274,DO8,DF3)</f>
        <v>입력오류</v>
      </c>
      <c r="DP274" s="23" t="str">
        <f ca="1">_xll.IMDP("BND",DF274,DP8,DF3)</f>
        <v>입력오류</v>
      </c>
      <c r="DQ274" s="2"/>
      <c r="EA274" s="21" t="str">
        <f ca="1">_xll.IMDP("BND",DR274,EA8,DR3)</f>
        <v>입력오류</v>
      </c>
      <c r="EB274" s="23" t="str">
        <f ca="1">_xll.IMDP("BND",DR274,EB8,DR3)</f>
        <v>입력오류</v>
      </c>
    </row>
    <row r="275" spans="1:132" ht="13.5" customHeight="1" x14ac:dyDescent="0.3">
      <c r="A275" s="2">
        <v>46198</v>
      </c>
      <c r="B275" s="3" t="s">
        <v>2095</v>
      </c>
      <c r="C275" s="3" t="s">
        <v>1721</v>
      </c>
      <c r="D275" s="3" t="s">
        <v>2096</v>
      </c>
      <c r="E275" s="3">
        <v>0</v>
      </c>
      <c r="F275" s="3">
        <v>0.14000000000000001</v>
      </c>
      <c r="G275" s="3">
        <v>0</v>
      </c>
      <c r="H275" s="3">
        <v>156600</v>
      </c>
      <c r="I275" s="3">
        <v>9072.73</v>
      </c>
      <c r="J275" s="3">
        <v>4.4351000000000003</v>
      </c>
      <c r="K275" s="21">
        <f ca="1">_xll.IMDP("BND",B275,K8,B3)</f>
        <v>20310307</v>
      </c>
      <c r="L275" s="23">
        <f ca="1">_xll.IMDP("BND",B275,L8,B3)</f>
        <v>4.2069999999999999</v>
      </c>
      <c r="M275" s="2"/>
      <c r="W275" s="21" t="str">
        <f ca="1">_xll.IMDP("BND",N275,W8,N3)</f>
        <v>입력오류</v>
      </c>
      <c r="X275" s="23" t="str">
        <f ca="1">_xll.IMDP("BND",N275,X8,N3)</f>
        <v>입력오류</v>
      </c>
      <c r="Y275" s="2"/>
      <c r="AI275" s="21" t="str">
        <f ca="1">_xll.IMDP("BND",Z275,AI8,Z3)</f>
        <v>입력오류</v>
      </c>
      <c r="AJ275" s="23" t="str">
        <f ca="1">_xll.IMDP("BND",Z275,AJ8,Z3)</f>
        <v>입력오류</v>
      </c>
      <c r="AK275" s="2"/>
      <c r="AU275" s="21" t="str">
        <f ca="1">_xll.IMDP("BND",AL275,AU8,AL3)</f>
        <v>입력오류</v>
      </c>
      <c r="AV275" s="23" t="str">
        <f ca="1">_xll.IMDP("BND",AL275,AV8,AL3)</f>
        <v>입력오류</v>
      </c>
      <c r="AW275" s="2"/>
      <c r="BG275" s="21" t="str">
        <f ca="1">_xll.IMDP("BND",AX275,BG8,AX3)</f>
        <v>입력오류</v>
      </c>
      <c r="BH275" s="23" t="str">
        <f ca="1">_xll.IMDP("BND",AX275,BH8,AX3)</f>
        <v>입력오류</v>
      </c>
      <c r="BI275" s="2">
        <v>46198</v>
      </c>
      <c r="BJ275" s="3" t="s">
        <v>140</v>
      </c>
      <c r="BK275" s="3" t="s">
        <v>50</v>
      </c>
      <c r="BL275" s="3" t="s">
        <v>141</v>
      </c>
      <c r="BM275" s="3">
        <v>0</v>
      </c>
      <c r="BN275" s="3">
        <v>0</v>
      </c>
      <c r="BO275" s="3">
        <v>0</v>
      </c>
      <c r="BP275" s="3">
        <v>4124</v>
      </c>
      <c r="BQ275" s="3">
        <v>9922.7199999999993</v>
      </c>
      <c r="BR275" s="3">
        <v>1.4142999999999999</v>
      </c>
      <c r="BS275" s="21">
        <f ca="1">_xll.IMDP("BND",BJ275,BS8,BJ3)</f>
        <v>20271210</v>
      </c>
      <c r="BT275" s="23">
        <f ca="1">_xll.IMDP("BND",BJ275,BT8,BJ3)</f>
        <v>3.5049999999999999</v>
      </c>
      <c r="BU275" s="2"/>
      <c r="CE275" s="21" t="str">
        <f ca="1">_xll.IMDP("BND",BV275,CE8,BV3)</f>
        <v>입력오류</v>
      </c>
      <c r="CF275" s="23" t="str">
        <f ca="1">_xll.IMDP("BND",BV275,CF8,BV3)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">
        <v>46198</v>
      </c>
      <c r="CT275" s="3" t="s">
        <v>2664</v>
      </c>
      <c r="CU275" s="3" t="s">
        <v>2665</v>
      </c>
      <c r="CV275" s="3" t="s">
        <v>2666</v>
      </c>
      <c r="CW275" s="3">
        <v>0</v>
      </c>
      <c r="CX275" s="3">
        <v>0.03</v>
      </c>
      <c r="CY275" s="3">
        <v>0</v>
      </c>
      <c r="CZ275" s="3">
        <v>46399</v>
      </c>
      <c r="DA275" s="3">
        <v>9936.33</v>
      </c>
      <c r="DB275" s="3">
        <v>1.9418</v>
      </c>
      <c r="DC275" s="21">
        <f ca="1">_xll.IMDP("BND",CT275,DC8,CT3)</f>
        <v>20280630</v>
      </c>
      <c r="DD275" s="23">
        <f ca="1">_xll.IMDP("BND",CT275,DD8,CT3)</f>
        <v>3.7930000000000001</v>
      </c>
      <c r="DE275" s="2"/>
      <c r="DO275" s="21" t="str">
        <f ca="1">_xll.IMDP("BND",DF275,DO8,DF3)</f>
        <v>입력오류</v>
      </c>
      <c r="DP275" s="23" t="str">
        <f ca="1">_xll.IMDP("BND",DF275,DP8,DF3)</f>
        <v>입력오류</v>
      </c>
      <c r="DQ275" s="2"/>
      <c r="EA275" s="21" t="str">
        <f ca="1">_xll.IMDP("BND",DR275,EA8,DR3)</f>
        <v>입력오류</v>
      </c>
      <c r="EB275" s="23" t="str">
        <f ca="1">_xll.IMDP("BND",DR275,EB8,DR3)</f>
        <v>입력오류</v>
      </c>
    </row>
    <row r="276" spans="1:132" ht="13.5" customHeight="1" x14ac:dyDescent="0.3">
      <c r="A276" s="2">
        <v>46198</v>
      </c>
      <c r="B276" s="3" t="s">
        <v>2097</v>
      </c>
      <c r="C276" s="3" t="s">
        <v>539</v>
      </c>
      <c r="D276" s="3" t="s">
        <v>2098</v>
      </c>
      <c r="E276" s="3">
        <v>0</v>
      </c>
      <c r="F276" s="3">
        <v>0.14000000000000001</v>
      </c>
      <c r="G276" s="3">
        <v>0</v>
      </c>
      <c r="H276" s="3">
        <v>155259</v>
      </c>
      <c r="I276" s="3">
        <v>5845.36</v>
      </c>
      <c r="J276" s="3">
        <v>17.819800000000001</v>
      </c>
      <c r="K276" s="21">
        <f ca="1">_xll.IMDP("BND",B276,K8,B3)</f>
        <v>20500918</v>
      </c>
      <c r="L276" s="23">
        <f ca="1">_xll.IMDP("BND",B276,L8,B3)</f>
        <v>4.5380000000000003</v>
      </c>
      <c r="M276" s="2"/>
      <c r="W276" s="21" t="str">
        <f ca="1">_xll.IMDP("BND",N276,W8,N3)</f>
        <v>입력오류</v>
      </c>
      <c r="X276" s="23" t="str">
        <f ca="1">_xll.IMDP("BND",N276,X8,N3)</f>
        <v>입력오류</v>
      </c>
      <c r="Y276" s="2"/>
      <c r="AI276" s="21" t="str">
        <f ca="1">_xll.IMDP("BND",Z276,AI8,Z3)</f>
        <v>입력오류</v>
      </c>
      <c r="AJ276" s="23" t="str">
        <f ca="1">_xll.IMDP("BND",Z276,AJ8,Z3)</f>
        <v>입력오류</v>
      </c>
      <c r="AK276" s="2"/>
      <c r="AU276" s="21" t="str">
        <f ca="1">_xll.IMDP("BND",AL276,AU8,AL3)</f>
        <v>입력오류</v>
      </c>
      <c r="AV276" s="23" t="str">
        <f ca="1">_xll.IMDP("BND",AL276,AV8,AL3)</f>
        <v>입력오류</v>
      </c>
      <c r="AW276" s="2"/>
      <c r="BG276" s="21" t="str">
        <f ca="1">_xll.IMDP("BND",AX276,BG8,AX3)</f>
        <v>입력오류</v>
      </c>
      <c r="BH276" s="23" t="str">
        <f ca="1">_xll.IMDP("BND",AX276,BH8,AX3)</f>
        <v>입력오류</v>
      </c>
      <c r="BI276" s="2">
        <v>46198</v>
      </c>
      <c r="BJ276" s="3" t="s">
        <v>734</v>
      </c>
      <c r="BK276" s="3" t="s">
        <v>29</v>
      </c>
      <c r="BL276" s="3" t="s">
        <v>735</v>
      </c>
      <c r="BM276" s="3">
        <v>0</v>
      </c>
      <c r="BN276" s="3">
        <v>0</v>
      </c>
      <c r="BO276" s="3">
        <v>0</v>
      </c>
      <c r="BP276" s="3">
        <v>3791</v>
      </c>
      <c r="BQ276" s="3">
        <v>7062.29</v>
      </c>
      <c r="BR276" s="3">
        <v>15.4528</v>
      </c>
      <c r="BS276" s="21">
        <f ca="1">_xll.IMDP("BND",BJ276,BS8,BJ3)</f>
        <v>20470310</v>
      </c>
      <c r="BT276" s="23">
        <f ca="1">_xll.IMDP("BND",BJ276,BT8,BJ3)</f>
        <v>4.3330000000000002</v>
      </c>
      <c r="BU276" s="2"/>
      <c r="CE276" s="21" t="str">
        <f ca="1">_xll.IMDP("BND",BV276,CE8,BV3)</f>
        <v>입력오류</v>
      </c>
      <c r="CF276" s="23" t="str">
        <f ca="1">_xll.IMDP("BND",BV276,CF8,BV3)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">
        <v>46198</v>
      </c>
      <c r="CT276" s="3" t="s">
        <v>2667</v>
      </c>
      <c r="CU276" s="3" t="s">
        <v>1366</v>
      </c>
      <c r="CV276" s="3" t="s">
        <v>2668</v>
      </c>
      <c r="CW276" s="3">
        <v>0</v>
      </c>
      <c r="CX276" s="3">
        <v>0.03</v>
      </c>
      <c r="CY276" s="3">
        <v>0</v>
      </c>
      <c r="CZ276" s="3">
        <v>46290</v>
      </c>
      <c r="DA276" s="3">
        <v>9913.32</v>
      </c>
      <c r="DB276" s="3">
        <v>0.89890000000000003</v>
      </c>
      <c r="DC276" s="21">
        <f ca="1">_xll.IMDP("BND",CT276,DC8,CT3)</f>
        <v>20270525</v>
      </c>
      <c r="DD276" s="23">
        <f ca="1">_xll.IMDP("BND",CT276,DD8,CT3)</f>
        <v>3.6880000000000002</v>
      </c>
      <c r="DE276" s="2"/>
      <c r="DO276" s="21" t="str">
        <f ca="1">_xll.IMDP("BND",DF276,DO8,DF3)</f>
        <v>입력오류</v>
      </c>
      <c r="DP276" s="23" t="str">
        <f ca="1">_xll.IMDP("BND",DF276,DP8,DF3)</f>
        <v>입력오류</v>
      </c>
      <c r="DQ276" s="2"/>
      <c r="EA276" s="21" t="str">
        <f ca="1">_xll.IMDP("BND",DR276,EA8,DR3)</f>
        <v>입력오류</v>
      </c>
      <c r="EB276" s="23" t="str">
        <f ca="1">_xll.IMDP("BND",DR276,EB8,DR3)</f>
        <v>입력오류</v>
      </c>
    </row>
    <row r="277" spans="1:132" ht="13.5" customHeight="1" x14ac:dyDescent="0.3">
      <c r="A277" s="2">
        <v>46198</v>
      </c>
      <c r="B277" s="3" t="s">
        <v>55</v>
      </c>
      <c r="C277" s="3" t="s">
        <v>56</v>
      </c>
      <c r="D277" s="3" t="s">
        <v>57</v>
      </c>
      <c r="E277" s="3">
        <v>0</v>
      </c>
      <c r="F277" s="3">
        <v>0.14000000000000001</v>
      </c>
      <c r="G277" s="3">
        <v>0</v>
      </c>
      <c r="H277" s="3">
        <v>153452</v>
      </c>
      <c r="I277" s="3">
        <v>9631.41</v>
      </c>
      <c r="J277" s="3">
        <v>3.4603000000000002</v>
      </c>
      <c r="K277" s="21">
        <f ca="1">_xll.IMDP("BND",B277,K8,B3)</f>
        <v>20300310</v>
      </c>
      <c r="L277" s="23">
        <f ca="1">_xll.IMDP("BND",B277,L8,B3)</f>
        <v>3.923</v>
      </c>
      <c r="M277" s="2"/>
      <c r="W277" s="21" t="str">
        <f ca="1">_xll.IMDP("BND",N277,W8,N3)</f>
        <v>입력오류</v>
      </c>
      <c r="X277" s="23" t="str">
        <f ca="1">_xll.IMDP("BND",N277,X8,N3)</f>
        <v>입력오류</v>
      </c>
      <c r="Y277" s="2"/>
      <c r="AI277" s="21" t="str">
        <f ca="1">_xll.IMDP("BND",Z277,AI8,Z3)</f>
        <v>입력오류</v>
      </c>
      <c r="AJ277" s="23" t="str">
        <f ca="1">_xll.IMDP("BND",Z277,AJ8,Z3)</f>
        <v>입력오류</v>
      </c>
      <c r="AK277" s="2"/>
      <c r="AU277" s="21" t="str">
        <f ca="1">_xll.IMDP("BND",AL277,AU8,AL3)</f>
        <v>입력오류</v>
      </c>
      <c r="AV277" s="23" t="str">
        <f ca="1">_xll.IMDP("BND",AL277,AV8,AL3)</f>
        <v>입력오류</v>
      </c>
      <c r="AW277" s="2"/>
      <c r="BG277" s="21" t="str">
        <f ca="1">_xll.IMDP("BND",AX277,BG8,AX3)</f>
        <v>입력오류</v>
      </c>
      <c r="BH277" s="23" t="str">
        <f ca="1">_xll.IMDP("BND",AX277,BH8,AX3)</f>
        <v>입력오류</v>
      </c>
      <c r="BI277" s="2">
        <v>46198</v>
      </c>
      <c r="BJ277" s="3" t="s">
        <v>1704</v>
      </c>
      <c r="BK277" s="3" t="s">
        <v>1705</v>
      </c>
      <c r="BL277" s="3" t="s">
        <v>1706</v>
      </c>
      <c r="BM277" s="3">
        <v>0</v>
      </c>
      <c r="BN277" s="3">
        <v>0</v>
      </c>
      <c r="BO277" s="3">
        <v>0</v>
      </c>
      <c r="BP277" s="3">
        <v>3217</v>
      </c>
      <c r="BQ277" s="3">
        <v>4193.67</v>
      </c>
      <c r="BR277" s="3">
        <v>19.3657</v>
      </c>
      <c r="BS277" s="21">
        <f ca="1">_xll.IMDP("BND",BJ277,BS8,BJ3)</f>
        <v>20460910</v>
      </c>
      <c r="BT277" s="23">
        <f ca="1">_xll.IMDP("BND",BJ277,BT8,BJ3)</f>
        <v>4.3920000000000003</v>
      </c>
      <c r="BU277" s="2"/>
      <c r="CE277" s="21" t="str">
        <f ca="1">_xll.IMDP("BND",BV277,CE8,BV3)</f>
        <v>입력오류</v>
      </c>
      <c r="CF277" s="23" t="str">
        <f ca="1">_xll.IMDP("BND",BV277,CF8,BV3)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">
        <v>46198</v>
      </c>
      <c r="CT277" s="3" t="s">
        <v>1691</v>
      </c>
      <c r="CU277" s="3" t="s">
        <v>1692</v>
      </c>
      <c r="CV277" s="3" t="s">
        <v>1693</v>
      </c>
      <c r="CW277" s="3">
        <v>0</v>
      </c>
      <c r="CX277" s="3">
        <v>0.03</v>
      </c>
      <c r="CY277" s="3">
        <v>0</v>
      </c>
      <c r="CZ277" s="3">
        <v>44148</v>
      </c>
      <c r="DA277" s="3">
        <v>9552.74</v>
      </c>
      <c r="DB277" s="3">
        <v>5.4953000000000003</v>
      </c>
      <c r="DC277" s="21">
        <f ca="1">_xll.IMDP("BND",CT277,DC8,CT3)</f>
        <v>20320824</v>
      </c>
      <c r="DD277" s="23">
        <f ca="1">_xll.IMDP("BND",CT277,DD8,CT3)</f>
        <v>4.2839999999999998</v>
      </c>
      <c r="DE277" s="2"/>
      <c r="DO277" s="21" t="str">
        <f ca="1">_xll.IMDP("BND",DF277,DO8,DF3)</f>
        <v>입력오류</v>
      </c>
      <c r="DP277" s="23" t="str">
        <f ca="1">_xll.IMDP("BND",DF277,DP8,DF3)</f>
        <v>입력오류</v>
      </c>
      <c r="DQ277" s="2"/>
      <c r="EA277" s="21" t="str">
        <f ca="1">_xll.IMDP("BND",DR277,EA8,DR3)</f>
        <v>입력오류</v>
      </c>
      <c r="EB277" s="23" t="str">
        <f ca="1">_xll.IMDP("BND",DR277,EB8,DR3)</f>
        <v>입력오류</v>
      </c>
    </row>
    <row r="278" spans="1:132" ht="13.5" customHeight="1" x14ac:dyDescent="0.3">
      <c r="A278" s="2">
        <v>46198</v>
      </c>
      <c r="B278" s="3" t="s">
        <v>2099</v>
      </c>
      <c r="C278" s="3" t="s">
        <v>408</v>
      </c>
      <c r="D278" s="3" t="s">
        <v>2100</v>
      </c>
      <c r="E278" s="3">
        <v>0</v>
      </c>
      <c r="F278" s="3">
        <v>0.14000000000000001</v>
      </c>
      <c r="G278" s="3">
        <v>0</v>
      </c>
      <c r="H278" s="3">
        <v>150581</v>
      </c>
      <c r="I278" s="3">
        <v>9959.48</v>
      </c>
      <c r="J278" s="3">
        <v>0.81659999999999999</v>
      </c>
      <c r="K278" s="21">
        <f ca="1">_xll.IMDP("BND",B278,K8,B3)</f>
        <v>20270425</v>
      </c>
      <c r="L278" s="23">
        <f ca="1">_xll.IMDP("BND",B278,L8,B3)</f>
        <v>3.57</v>
      </c>
      <c r="M278" s="2"/>
      <c r="W278" s="21" t="str">
        <f ca="1">_xll.IMDP("BND",N278,W8,N3)</f>
        <v>입력오류</v>
      </c>
      <c r="X278" s="23" t="str">
        <f ca="1">_xll.IMDP("BND",N278,X8,N3)</f>
        <v>입력오류</v>
      </c>
      <c r="Y278" s="2"/>
      <c r="AI278" s="21" t="str">
        <f ca="1">_xll.IMDP("BND",Z278,AI8,Z3)</f>
        <v>입력오류</v>
      </c>
      <c r="AJ278" s="23" t="str">
        <f ca="1">_xll.IMDP("BND",Z278,AJ8,Z3)</f>
        <v>입력오류</v>
      </c>
      <c r="AK278" s="2"/>
      <c r="AU278" s="21" t="str">
        <f ca="1">_xll.IMDP("BND",AL278,AU8,AL3)</f>
        <v>입력오류</v>
      </c>
      <c r="AV278" s="23" t="str">
        <f ca="1">_xll.IMDP("BND",AL278,AV8,AL3)</f>
        <v>입력오류</v>
      </c>
      <c r="AW278" s="2"/>
      <c r="BG278" s="21" t="str">
        <f ca="1">_xll.IMDP("BND",AX278,BG8,AX3)</f>
        <v>입력오류</v>
      </c>
      <c r="BH278" s="23" t="str">
        <f ca="1">_xll.IMDP("BND",AX278,BH8,AX3)</f>
        <v>입력오류</v>
      </c>
      <c r="BI278" s="2">
        <v>46198</v>
      </c>
      <c r="BJ278" s="3" t="s">
        <v>1707</v>
      </c>
      <c r="BK278" s="3" t="s">
        <v>29</v>
      </c>
      <c r="BL278" s="3" t="s">
        <v>1708</v>
      </c>
      <c r="BM278" s="3">
        <v>0</v>
      </c>
      <c r="BN278" s="3">
        <v>0</v>
      </c>
      <c r="BO278" s="3">
        <v>0</v>
      </c>
      <c r="BP278" s="3">
        <v>2649</v>
      </c>
      <c r="BQ278" s="3">
        <v>6910.39</v>
      </c>
      <c r="BR278" s="3">
        <v>11.764900000000001</v>
      </c>
      <c r="BS278" s="21">
        <f ca="1">_xll.IMDP("BND",BJ278,BS8,BJ3)</f>
        <v>20390910</v>
      </c>
      <c r="BT278" s="23">
        <f ca="1">_xll.IMDP("BND",BJ278,BT8,BJ3)</f>
        <v>4.2350000000000003</v>
      </c>
      <c r="BU278" s="2"/>
      <c r="CE278" s="21" t="str">
        <f ca="1">_xll.IMDP("BND",BV278,CE8,BV3)</f>
        <v>입력오류</v>
      </c>
      <c r="CF278" s="23" t="str">
        <f ca="1">_xll.IMDP("BND",BV278,CF8,BV3)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">
        <v>46198</v>
      </c>
      <c r="CT278" s="3" t="s">
        <v>2669</v>
      </c>
      <c r="CU278" s="3" t="s">
        <v>108</v>
      </c>
      <c r="CV278" s="3" t="s">
        <v>2670</v>
      </c>
      <c r="CW278" s="3">
        <v>0</v>
      </c>
      <c r="CX278" s="3">
        <v>0.03</v>
      </c>
      <c r="CY278" s="3">
        <v>0</v>
      </c>
      <c r="CZ278" s="3">
        <v>43483</v>
      </c>
      <c r="DA278" s="3">
        <v>9311.16</v>
      </c>
      <c r="DB278" s="3">
        <v>3.3683999999999998</v>
      </c>
      <c r="DC278" s="21">
        <f ca="1">_xll.IMDP("BND",CT278,DC8,CT3)</f>
        <v>20300121</v>
      </c>
      <c r="DD278" s="23">
        <f ca="1">_xll.IMDP("BND",CT278,DD8,CT3)</f>
        <v>4.22</v>
      </c>
      <c r="DE278" s="2"/>
      <c r="DO278" s="21" t="str">
        <f ca="1">_xll.IMDP("BND",DF278,DO8,DF3)</f>
        <v>입력오류</v>
      </c>
      <c r="DP278" s="23" t="str">
        <f ca="1">_xll.IMDP("BND",DF278,DP8,DF3)</f>
        <v>입력오류</v>
      </c>
      <c r="DQ278" s="2"/>
      <c r="EA278" s="21" t="str">
        <f ca="1">_xll.IMDP("BND",DR278,EA8,DR3)</f>
        <v>입력오류</v>
      </c>
      <c r="EB278" s="23" t="str">
        <f ca="1">_xll.IMDP("BND",DR278,EB8,DR3)</f>
        <v>입력오류</v>
      </c>
    </row>
    <row r="279" spans="1:132" ht="13.5" customHeight="1" x14ac:dyDescent="0.3">
      <c r="A279" s="2">
        <v>46198</v>
      </c>
      <c r="B279" s="3" t="s">
        <v>2101</v>
      </c>
      <c r="C279" s="3" t="s">
        <v>2102</v>
      </c>
      <c r="D279" s="3" t="s">
        <v>2103</v>
      </c>
      <c r="E279" s="3">
        <v>0</v>
      </c>
      <c r="F279" s="3">
        <v>0.13</v>
      </c>
      <c r="G279" s="3">
        <v>0</v>
      </c>
      <c r="H279" s="3">
        <v>149960</v>
      </c>
      <c r="I279" s="3">
        <v>10268.719999999999</v>
      </c>
      <c r="J279" s="3">
        <v>2.1812</v>
      </c>
      <c r="K279" s="21">
        <f ca="1">_xll.IMDP("BND",B279,K8,B3)</f>
        <v>20281027</v>
      </c>
      <c r="L279" s="23">
        <f ca="1">_xll.IMDP("BND",B279,L8,B3)</f>
        <v>4.2750000000000004</v>
      </c>
      <c r="M279" s="2"/>
      <c r="W279" s="21" t="str">
        <f ca="1">_xll.IMDP("BND",N279,W8,N3)</f>
        <v>입력오류</v>
      </c>
      <c r="X279" s="23" t="str">
        <f ca="1">_xll.IMDP("BND",N279,X8,N3)</f>
        <v>입력오류</v>
      </c>
      <c r="Y279" s="2"/>
      <c r="AI279" s="21" t="str">
        <f ca="1">_xll.IMDP("BND",Z279,AI8,Z3)</f>
        <v>입력오류</v>
      </c>
      <c r="AJ279" s="23" t="str">
        <f ca="1">_xll.IMDP("BND",Z279,AJ8,Z3)</f>
        <v>입력오류</v>
      </c>
      <c r="AK279" s="2"/>
      <c r="AU279" s="21" t="str">
        <f ca="1">_xll.IMDP("BND",AL279,AU8,AL3)</f>
        <v>입력오류</v>
      </c>
      <c r="AV279" s="23" t="str">
        <f ca="1">_xll.IMDP("BND",AL279,AV8,AL3)</f>
        <v>입력오류</v>
      </c>
      <c r="AW279" s="2"/>
      <c r="BG279" s="21" t="str">
        <f ca="1">_xll.IMDP("BND",AX279,BG8,AX3)</f>
        <v>입력오류</v>
      </c>
      <c r="BH279" s="23" t="str">
        <f ca="1">_xll.IMDP("BND",AX279,BH8,AX3)</f>
        <v>입력오류</v>
      </c>
      <c r="BI279" s="2">
        <v>46198</v>
      </c>
      <c r="BJ279" s="3" t="s">
        <v>1709</v>
      </c>
      <c r="BK279" s="3" t="s">
        <v>50</v>
      </c>
      <c r="BL279" s="3" t="s">
        <v>1710</v>
      </c>
      <c r="BM279" s="3">
        <v>0</v>
      </c>
      <c r="BN279" s="3">
        <v>0</v>
      </c>
      <c r="BO279" s="3">
        <v>0</v>
      </c>
      <c r="BP279" s="3">
        <v>2292</v>
      </c>
      <c r="BQ279" s="3">
        <v>9960.9599999999991</v>
      </c>
      <c r="BR279" s="3">
        <v>2.5438999999999998</v>
      </c>
      <c r="BS279" s="21">
        <f ca="1">_xll.IMDP("BND",BJ279,BS8,BJ3)</f>
        <v>20290310</v>
      </c>
      <c r="BT279" s="23">
        <f ca="1">_xll.IMDP("BND",BJ279,BT8,BJ3)</f>
        <v>3.77</v>
      </c>
      <c r="BU279" s="2"/>
      <c r="CE279" s="21" t="str">
        <f ca="1">_xll.IMDP("BND",BV279,CE8,BV3)</f>
        <v>입력오류</v>
      </c>
      <c r="CF279" s="23" t="str">
        <f ca="1">_xll.IMDP("BND",BV279,CF8,BV3)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">
        <v>46198</v>
      </c>
      <c r="CT279" s="3" t="s">
        <v>2163</v>
      </c>
      <c r="CU279" s="3" t="s">
        <v>2164</v>
      </c>
      <c r="CV279" s="3" t="s">
        <v>2671</v>
      </c>
      <c r="CW279" s="3">
        <v>0</v>
      </c>
      <c r="CX279" s="3">
        <v>0.03</v>
      </c>
      <c r="CY279" s="3">
        <v>0</v>
      </c>
      <c r="CZ279" s="3">
        <v>42283</v>
      </c>
      <c r="DA279" s="3">
        <v>9050.43</v>
      </c>
      <c r="DB279" s="3">
        <v>4.3494000000000002</v>
      </c>
      <c r="DC279" s="21">
        <f ca="1">_xll.IMDP("BND",CT279,DC8,CT3)</f>
        <v>20310205</v>
      </c>
      <c r="DD279" s="23">
        <f ca="1">_xll.IMDP("BND",CT279,DD8,CT3)</f>
        <v>4.3209999999999997</v>
      </c>
      <c r="DE279" s="2"/>
      <c r="DO279" s="21" t="str">
        <f ca="1">_xll.IMDP("BND",DF279,DO8,DF3)</f>
        <v>입력오류</v>
      </c>
      <c r="DP279" s="23" t="str">
        <f ca="1">_xll.IMDP("BND",DF279,DP8,DF3)</f>
        <v>입력오류</v>
      </c>
      <c r="DQ279" s="2"/>
      <c r="EA279" s="21" t="str">
        <f ca="1">_xll.IMDP("BND",DR279,EA8,DR3)</f>
        <v>입력오류</v>
      </c>
      <c r="EB279" s="23" t="str">
        <f ca="1">_xll.IMDP("BND",DR279,EB8,DR3)</f>
        <v>입력오류</v>
      </c>
    </row>
    <row r="280" spans="1:132" ht="13.5" customHeight="1" x14ac:dyDescent="0.3">
      <c r="A280" s="2">
        <v>46198</v>
      </c>
      <c r="B280" s="3" t="s">
        <v>2104</v>
      </c>
      <c r="C280" s="3" t="s">
        <v>122</v>
      </c>
      <c r="D280" s="3" t="s">
        <v>2105</v>
      </c>
      <c r="E280" s="3">
        <v>0</v>
      </c>
      <c r="F280" s="3">
        <v>0.13</v>
      </c>
      <c r="G280" s="3">
        <v>0</v>
      </c>
      <c r="H280" s="3">
        <v>147644</v>
      </c>
      <c r="I280" s="3">
        <v>10109.049999999999</v>
      </c>
      <c r="J280" s="3">
        <v>3.8041</v>
      </c>
      <c r="K280" s="21">
        <f ca="1">_xll.IMDP("BND",B280,K8,B3)</f>
        <v>20300910</v>
      </c>
      <c r="L280" s="23">
        <f ca="1">_xll.IMDP("BND",B280,L8,B3)</f>
        <v>4.41</v>
      </c>
      <c r="M280" s="2"/>
      <c r="W280" s="21" t="str">
        <f ca="1">_xll.IMDP("BND",N280,W8,N3)</f>
        <v>입력오류</v>
      </c>
      <c r="X280" s="23" t="str">
        <f ca="1">_xll.IMDP("BND",N280,X8,N3)</f>
        <v>입력오류</v>
      </c>
      <c r="Y280" s="2"/>
      <c r="AI280" s="21" t="str">
        <f ca="1">_xll.IMDP("BND",Z280,AI8,Z3)</f>
        <v>입력오류</v>
      </c>
      <c r="AJ280" s="23" t="str">
        <f ca="1">_xll.IMDP("BND",Z280,AJ8,Z3)</f>
        <v>입력오류</v>
      </c>
      <c r="AK280" s="2"/>
      <c r="AU280" s="21" t="str">
        <f ca="1">_xll.IMDP("BND",AL280,AU8,AL3)</f>
        <v>입력오류</v>
      </c>
      <c r="AV280" s="23" t="str">
        <f ca="1">_xll.IMDP("BND",AL280,AV8,AL3)</f>
        <v>입력오류</v>
      </c>
      <c r="AW280" s="2"/>
      <c r="BG280" s="21" t="str">
        <f ca="1">_xll.IMDP("BND",AX280,BG8,AX3)</f>
        <v>입력오류</v>
      </c>
      <c r="BH280" s="23" t="str">
        <f ca="1">_xll.IMDP("BND",AX280,BH8,AX3)</f>
        <v>입력오류</v>
      </c>
      <c r="BI280" s="2">
        <v>46198</v>
      </c>
      <c r="BJ280" s="3" t="s">
        <v>1711</v>
      </c>
      <c r="BK280" s="3" t="s">
        <v>98</v>
      </c>
      <c r="BL280" s="3" t="s">
        <v>1712</v>
      </c>
      <c r="BM280" s="3">
        <v>0</v>
      </c>
      <c r="BN280" s="3">
        <v>0</v>
      </c>
      <c r="BO280" s="3">
        <v>0</v>
      </c>
      <c r="BP280" s="3">
        <v>2280</v>
      </c>
      <c r="BQ280" s="3">
        <v>7434.56</v>
      </c>
      <c r="BR280" s="3">
        <v>6.9231999999999996</v>
      </c>
      <c r="BS280" s="21">
        <f ca="1">_xll.IMDP("BND",BJ280,BS8,BJ3)</f>
        <v>20330910</v>
      </c>
      <c r="BT280" s="23">
        <f ca="1">_xll.IMDP("BND",BJ280,BT8,BJ3)</f>
        <v>4.194</v>
      </c>
      <c r="BU280" s="2"/>
      <c r="CE280" s="21" t="str">
        <f ca="1">_xll.IMDP("BND",BV280,CE8,BV3)</f>
        <v>입력오류</v>
      </c>
      <c r="CF280" s="23" t="str">
        <f ca="1">_xll.IMDP("BND",BV280,CF8,BV3)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">
        <v>46198</v>
      </c>
      <c r="CT280" s="3" t="s">
        <v>2672</v>
      </c>
      <c r="CU280" s="3" t="s">
        <v>408</v>
      </c>
      <c r="CV280" s="3" t="s">
        <v>2673</v>
      </c>
      <c r="CW280" s="3">
        <v>0</v>
      </c>
      <c r="CX280" s="3">
        <v>0.03</v>
      </c>
      <c r="CY280" s="3">
        <v>0</v>
      </c>
      <c r="CZ280" s="3">
        <v>42053</v>
      </c>
      <c r="DA280" s="3">
        <v>9004.8799999999992</v>
      </c>
      <c r="DB280" s="3">
        <v>7.3628</v>
      </c>
      <c r="DC280" s="21">
        <f ca="1">_xll.IMDP("BND",CT280,DC8,CT3)</f>
        <v>20341211</v>
      </c>
      <c r="DD280" s="23">
        <f ca="1">_xll.IMDP("BND",CT280,DD8,CT3)</f>
        <v>4.3929999999999998</v>
      </c>
      <c r="DE280" s="2"/>
      <c r="DO280" s="21" t="str">
        <f ca="1">_xll.IMDP("BND",DF280,DO8,DF3)</f>
        <v>입력오류</v>
      </c>
      <c r="DP280" s="23" t="str">
        <f ca="1">_xll.IMDP("BND",DF280,DP8,DF3)</f>
        <v>입력오류</v>
      </c>
      <c r="DQ280" s="2"/>
      <c r="EA280" s="21" t="str">
        <f ca="1">_xll.IMDP("BND",DR280,EA8,DR3)</f>
        <v>입력오류</v>
      </c>
      <c r="EB280" s="23" t="str">
        <f ca="1">_xll.IMDP("BND",DR280,EB8,DR3)</f>
        <v>입력오류</v>
      </c>
    </row>
    <row r="281" spans="1:132" ht="13.5" customHeight="1" x14ac:dyDescent="0.3">
      <c r="A281" s="2">
        <v>46198</v>
      </c>
      <c r="B281" s="3" t="s">
        <v>1665</v>
      </c>
      <c r="C281" s="3" t="s">
        <v>50</v>
      </c>
      <c r="D281" s="3" t="s">
        <v>1666</v>
      </c>
      <c r="E281" s="3">
        <v>0</v>
      </c>
      <c r="F281" s="3">
        <v>0.12</v>
      </c>
      <c r="G281" s="3">
        <v>0</v>
      </c>
      <c r="H281" s="3">
        <v>138421</v>
      </c>
      <c r="I281" s="3">
        <v>10025.08</v>
      </c>
      <c r="J281" s="3">
        <v>1.6326000000000001</v>
      </c>
      <c r="K281" s="21">
        <f ca="1">_xll.IMDP("BND",B281,K8,B3)</f>
        <v>20280310</v>
      </c>
      <c r="L281" s="23">
        <f ca="1">_xll.IMDP("BND",B281,L8,B3)</f>
        <v>3.6680000000000001</v>
      </c>
      <c r="M281" s="2"/>
      <c r="W281" s="21" t="str">
        <f ca="1">_xll.IMDP("BND",N281,W8,N3)</f>
        <v>입력오류</v>
      </c>
      <c r="X281" s="23" t="str">
        <f ca="1">_xll.IMDP("BND",N281,X8,N3)</f>
        <v>입력오류</v>
      </c>
      <c r="Y281" s="2"/>
      <c r="AI281" s="21" t="str">
        <f ca="1">_xll.IMDP("BND",Z281,AI8,Z3)</f>
        <v>입력오류</v>
      </c>
      <c r="AJ281" s="23" t="str">
        <f ca="1">_xll.IMDP("BND",Z281,AJ8,Z3)</f>
        <v>입력오류</v>
      </c>
      <c r="AK281" s="2"/>
      <c r="AU281" s="21" t="str">
        <f ca="1">_xll.IMDP("BND",AL281,AU8,AL3)</f>
        <v>입력오류</v>
      </c>
      <c r="AV281" s="23" t="str">
        <f ca="1">_xll.IMDP("BND",AL281,AV8,AL3)</f>
        <v>입력오류</v>
      </c>
      <c r="AW281" s="2"/>
      <c r="BG281" s="21" t="str">
        <f ca="1">_xll.IMDP("BND",AX281,BG8,AX3)</f>
        <v>입력오류</v>
      </c>
      <c r="BH281" s="23" t="str">
        <f ca="1">_xll.IMDP("BND",AX281,BH8,AX3)</f>
        <v>입력오류</v>
      </c>
      <c r="BI281" s="2">
        <v>46198</v>
      </c>
      <c r="BJ281" s="3" t="s">
        <v>1713</v>
      </c>
      <c r="BK281" s="3" t="s">
        <v>1714</v>
      </c>
      <c r="BL281" s="3" t="s">
        <v>1715</v>
      </c>
      <c r="BM281" s="3">
        <v>0</v>
      </c>
      <c r="BN281" s="3">
        <v>0</v>
      </c>
      <c r="BO281" s="3">
        <v>0</v>
      </c>
      <c r="BP281" s="3">
        <v>1448</v>
      </c>
      <c r="BQ281" s="3">
        <v>9446.1299999999992</v>
      </c>
      <c r="BR281" s="3">
        <v>5.8578999999999999</v>
      </c>
      <c r="BS281" s="21">
        <f ca="1">_xll.IMDP("BND",BJ281,BS8,BJ3)</f>
        <v>20330117</v>
      </c>
      <c r="BT281" s="23">
        <f ca="1">_xll.IMDP("BND",BJ281,BT8,BJ3)</f>
        <v>4.3029999999999999</v>
      </c>
      <c r="BU281" s="2"/>
      <c r="CE281" s="21" t="str">
        <f ca="1">_xll.IMDP("BND",BV281,CE8,BV3)</f>
        <v>입력오류</v>
      </c>
      <c r="CF281" s="23" t="str">
        <f ca="1">_xll.IMDP("BND",BV281,CF8,BV3)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">
        <v>46198</v>
      </c>
      <c r="CT281" s="3" t="s">
        <v>2674</v>
      </c>
      <c r="CU281" s="3" t="s">
        <v>1705</v>
      </c>
      <c r="CV281" s="3" t="s">
        <v>2675</v>
      </c>
      <c r="CW281" s="3">
        <v>0</v>
      </c>
      <c r="CX281" s="3">
        <v>0.03</v>
      </c>
      <c r="CY281" s="3">
        <v>0</v>
      </c>
      <c r="CZ281" s="3">
        <v>41882</v>
      </c>
      <c r="DA281" s="3">
        <v>4485.1499999999996</v>
      </c>
      <c r="DB281" s="3">
        <v>17.927399999999999</v>
      </c>
      <c r="DC281" s="21">
        <f ca="1">_xll.IMDP("BND",CT281,DC8,CT3)</f>
        <v>20450310</v>
      </c>
      <c r="DD281" s="23">
        <f ca="1">_xll.IMDP("BND",CT281,DD8,CT3)</f>
        <v>4.3780000000000001</v>
      </c>
      <c r="DE281" s="2"/>
      <c r="DO281" s="21" t="str">
        <f ca="1">_xll.IMDP("BND",DF281,DO8,DF3)</f>
        <v>입력오류</v>
      </c>
      <c r="DP281" s="23" t="str">
        <f ca="1">_xll.IMDP("BND",DF281,DP8,DF3)</f>
        <v>입력오류</v>
      </c>
      <c r="DQ281" s="2"/>
      <c r="EA281" s="21" t="str">
        <f ca="1">_xll.IMDP("BND",DR281,EA8,DR3)</f>
        <v>입력오류</v>
      </c>
      <c r="EB281" s="23" t="str">
        <f ca="1">_xll.IMDP("BND",DR281,EB8,DR3)</f>
        <v>입력오류</v>
      </c>
    </row>
    <row r="282" spans="1:132" ht="13.5" customHeight="1" x14ac:dyDescent="0.3">
      <c r="A282" s="2">
        <v>46198</v>
      </c>
      <c r="B282" s="3" t="s">
        <v>2106</v>
      </c>
      <c r="C282" s="3" t="s">
        <v>2107</v>
      </c>
      <c r="D282" s="3" t="s">
        <v>2108</v>
      </c>
      <c r="E282" s="3">
        <v>0</v>
      </c>
      <c r="F282" s="3">
        <v>0.12</v>
      </c>
      <c r="G282" s="3">
        <v>0</v>
      </c>
      <c r="H282" s="3">
        <v>135393</v>
      </c>
      <c r="I282" s="3">
        <v>10196.780000000001</v>
      </c>
      <c r="J282" s="3">
        <v>6.0713999999999997</v>
      </c>
      <c r="K282" s="21">
        <f ca="1">_xll.IMDP("BND",B282,K8,B3)</f>
        <v>20330911</v>
      </c>
      <c r="L282" s="23">
        <f ca="1">_xll.IMDP("BND",B282,L8,B3)</f>
        <v>4.5190000000000001</v>
      </c>
      <c r="M282" s="2"/>
      <c r="W282" s="21" t="str">
        <f ca="1">_xll.IMDP("BND",N282,W8,N3)</f>
        <v>입력오류</v>
      </c>
      <c r="X282" s="23" t="str">
        <f ca="1">_xll.IMDP("BND",N282,X8,N3)</f>
        <v>입력오류</v>
      </c>
      <c r="Y282" s="2"/>
      <c r="AI282" s="21" t="str">
        <f ca="1">_xll.IMDP("BND",Z282,AI8,Z3)</f>
        <v>입력오류</v>
      </c>
      <c r="AJ282" s="23" t="str">
        <f ca="1">_xll.IMDP("BND",Z282,AJ8,Z3)</f>
        <v>입력오류</v>
      </c>
      <c r="AK282" s="2"/>
      <c r="AU282" s="21" t="str">
        <f ca="1">_xll.IMDP("BND",AL282,AU8,AL3)</f>
        <v>입력오류</v>
      </c>
      <c r="AV282" s="23" t="str">
        <f ca="1">_xll.IMDP("BND",AL282,AV8,AL3)</f>
        <v>입력오류</v>
      </c>
      <c r="AW282" s="2"/>
      <c r="BG282" s="21" t="str">
        <f ca="1">_xll.IMDP("BND",AX282,BG8,AX3)</f>
        <v>입력오류</v>
      </c>
      <c r="BH282" s="23" t="str">
        <f ca="1">_xll.IMDP("BND",AX282,BH8,AX3)</f>
        <v>입력오류</v>
      </c>
      <c r="BI282" s="2">
        <v>46198</v>
      </c>
      <c r="BJ282" s="3" t="s">
        <v>852</v>
      </c>
      <c r="BK282" s="3" t="s">
        <v>216</v>
      </c>
      <c r="BL282" s="3" t="s">
        <v>853</v>
      </c>
      <c r="BM282" s="3">
        <v>0</v>
      </c>
      <c r="BN282" s="3">
        <v>0</v>
      </c>
      <c r="BO282" s="3">
        <v>0</v>
      </c>
      <c r="BP282" s="3">
        <v>1363</v>
      </c>
      <c r="BQ282" s="3">
        <v>10459.07</v>
      </c>
      <c r="BR282" s="3">
        <v>1.6033999999999999</v>
      </c>
      <c r="BS282" s="21">
        <f ca="1">_xll.IMDP("BND",BJ282,BS8,BJ3)</f>
        <v>20280310</v>
      </c>
      <c r="BT282" s="23">
        <f ca="1">_xll.IMDP("BND",BJ282,BT8,BJ3)</f>
        <v>3.6720000000000002</v>
      </c>
      <c r="BU282" s="2"/>
      <c r="CE282" s="21" t="str">
        <f ca="1">_xll.IMDP("BND",BV282,CE8,BV3)</f>
        <v>입력오류</v>
      </c>
      <c r="CF282" s="23" t="str">
        <f ca="1">_xll.IMDP("BND",BV282,CF8,BV3)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">
        <v>46198</v>
      </c>
      <c r="CT282" s="3" t="s">
        <v>1709</v>
      </c>
      <c r="CU282" s="3" t="s">
        <v>50</v>
      </c>
      <c r="CV282" s="3" t="s">
        <v>2676</v>
      </c>
      <c r="CW282" s="3">
        <v>0</v>
      </c>
      <c r="CX282" s="3">
        <v>0.03</v>
      </c>
      <c r="CY282" s="3">
        <v>0</v>
      </c>
      <c r="CZ282" s="3">
        <v>41862</v>
      </c>
      <c r="DA282" s="3">
        <v>9960.9599999999991</v>
      </c>
      <c r="DB282" s="3">
        <v>2.5438999999999998</v>
      </c>
      <c r="DC282" s="21">
        <f ca="1">_xll.IMDP("BND",CT282,DC8,CT3)</f>
        <v>20290310</v>
      </c>
      <c r="DD282" s="23">
        <f ca="1">_xll.IMDP("BND",CT282,DD8,CT3)</f>
        <v>3.77</v>
      </c>
      <c r="DE282" s="2"/>
      <c r="DO282" s="21" t="str">
        <f ca="1">_xll.IMDP("BND",DF282,DO8,DF3)</f>
        <v>입력오류</v>
      </c>
      <c r="DP282" s="23" t="str">
        <f ca="1">_xll.IMDP("BND",DF282,DP8,DF3)</f>
        <v>입력오류</v>
      </c>
      <c r="DQ282" s="2"/>
      <c r="EA282" s="21" t="str">
        <f ca="1">_xll.IMDP("BND",DR282,EA8,DR3)</f>
        <v>입력오류</v>
      </c>
      <c r="EB282" s="23" t="str">
        <f ca="1">_xll.IMDP("BND",DR282,EB8,DR3)</f>
        <v>입력오류</v>
      </c>
    </row>
    <row r="283" spans="1:132" ht="13.5" customHeight="1" x14ac:dyDescent="0.3">
      <c r="A283" s="2">
        <v>46198</v>
      </c>
      <c r="B283" s="3" t="s">
        <v>2109</v>
      </c>
      <c r="C283" s="3" t="s">
        <v>2110</v>
      </c>
      <c r="D283" s="3" t="s">
        <v>2111</v>
      </c>
      <c r="E283" s="3">
        <v>0</v>
      </c>
      <c r="F283" s="3">
        <v>0.12</v>
      </c>
      <c r="G283" s="3">
        <v>0</v>
      </c>
      <c r="H283" s="3">
        <v>135031</v>
      </c>
      <c r="I283" s="3">
        <v>10170.59</v>
      </c>
      <c r="J283" s="3">
        <v>0.71120000000000005</v>
      </c>
      <c r="K283" s="21">
        <f ca="1">_xll.IMDP("BND",B283,K8,B3)</f>
        <v>20270319</v>
      </c>
      <c r="L283" s="23">
        <f ca="1">_xll.IMDP("BND",B283,L8,B3)</f>
        <v>3.4529999999999998</v>
      </c>
      <c r="M283" s="2"/>
      <c r="W283" s="21" t="str">
        <f ca="1">_xll.IMDP("BND",N283,W8,N3)</f>
        <v>입력오류</v>
      </c>
      <c r="X283" s="23" t="str">
        <f ca="1">_xll.IMDP("BND",N283,X8,N3)</f>
        <v>입력오류</v>
      </c>
      <c r="Y283" s="2"/>
      <c r="AI283" s="21" t="str">
        <f ca="1">_xll.IMDP("BND",Z283,AI8,Z3)</f>
        <v>입력오류</v>
      </c>
      <c r="AJ283" s="23" t="str">
        <f ca="1">_xll.IMDP("BND",Z283,AJ8,Z3)</f>
        <v>입력오류</v>
      </c>
      <c r="AK283" s="2"/>
      <c r="AU283" s="21" t="str">
        <f ca="1">_xll.IMDP("BND",AL283,AU8,AL3)</f>
        <v>입력오류</v>
      </c>
      <c r="AV283" s="23" t="str">
        <f ca="1">_xll.IMDP("BND",AL283,AV8,AL3)</f>
        <v>입력오류</v>
      </c>
      <c r="AW283" s="2"/>
      <c r="BG283" s="21" t="str">
        <f ca="1">_xll.IMDP("BND",AX283,BG8,AX3)</f>
        <v>입력오류</v>
      </c>
      <c r="BH283" s="23" t="str">
        <f ca="1">_xll.IMDP("BND",AX283,BH8,AX3)</f>
        <v>입력오류</v>
      </c>
      <c r="BI283" s="2">
        <v>46198</v>
      </c>
      <c r="BJ283" s="3" t="s">
        <v>220</v>
      </c>
      <c r="BK283" s="3" t="s">
        <v>56</v>
      </c>
      <c r="BL283" s="3" t="s">
        <v>765</v>
      </c>
      <c r="BM283" s="3">
        <v>0</v>
      </c>
      <c r="BN283" s="3">
        <v>0</v>
      </c>
      <c r="BO283" s="3">
        <v>0</v>
      </c>
      <c r="BP283" s="3">
        <v>949</v>
      </c>
      <c r="BQ283" s="3">
        <v>12381.72</v>
      </c>
      <c r="BR283" s="3">
        <v>1.931</v>
      </c>
      <c r="BS283" s="21">
        <f ca="1">_xll.IMDP("BND",BJ283,BS8,BJ3)</f>
        <v>20280610</v>
      </c>
      <c r="BT283" s="23">
        <f ca="1">_xll.IMDP("BND",BJ283,BT8,BJ3)</f>
        <v>0.439</v>
      </c>
      <c r="BU283" s="2"/>
      <c r="CE283" s="21" t="str">
        <f ca="1">_xll.IMDP("BND",BV283,CE8,BV3)</f>
        <v>입력오류</v>
      </c>
      <c r="CF283" s="23" t="str">
        <f ca="1">_xll.IMDP("BND",BV283,CF8,BV3)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">
        <v>46198</v>
      </c>
      <c r="CT283" s="3" t="s">
        <v>1575</v>
      </c>
      <c r="CU283" s="3" t="s">
        <v>29</v>
      </c>
      <c r="CV283" s="3" t="s">
        <v>2677</v>
      </c>
      <c r="CW283" s="3">
        <v>0</v>
      </c>
      <c r="CX283" s="3">
        <v>0.03</v>
      </c>
      <c r="CY283" s="3">
        <v>0</v>
      </c>
      <c r="CZ283" s="3">
        <v>41196</v>
      </c>
      <c r="DA283" s="3">
        <v>9774.2900000000009</v>
      </c>
      <c r="DB283" s="3">
        <v>6.4225000000000003</v>
      </c>
      <c r="DC283" s="21">
        <f ca="1">_xll.IMDP("BND",CT283,DC8,CT3)</f>
        <v>20331210</v>
      </c>
      <c r="DD283" s="23">
        <f ca="1">_xll.IMDP("BND",CT283,DD8,CT3)</f>
        <v>4.1280000000000001</v>
      </c>
      <c r="DE283" s="2"/>
      <c r="DO283" s="21" t="str">
        <f ca="1">_xll.IMDP("BND",DF283,DO8,DF3)</f>
        <v>입력오류</v>
      </c>
      <c r="DP283" s="23" t="str">
        <f ca="1">_xll.IMDP("BND",DF283,DP8,DF3)</f>
        <v>입력오류</v>
      </c>
      <c r="DQ283" s="2"/>
      <c r="EA283" s="21" t="str">
        <f ca="1">_xll.IMDP("BND",DR283,EA8,DR3)</f>
        <v>입력오류</v>
      </c>
      <c r="EB283" s="23" t="str">
        <f ca="1">_xll.IMDP("BND",DR283,EB8,DR3)</f>
        <v>입력오류</v>
      </c>
    </row>
    <row r="284" spans="1:132" ht="13.5" customHeight="1" x14ac:dyDescent="0.3">
      <c r="A284" s="2">
        <v>46198</v>
      </c>
      <c r="B284" s="3" t="s">
        <v>2112</v>
      </c>
      <c r="C284" s="3" t="s">
        <v>2113</v>
      </c>
      <c r="D284" s="3" t="s">
        <v>2114</v>
      </c>
      <c r="E284" s="3">
        <v>0</v>
      </c>
      <c r="F284" s="3">
        <v>0.12</v>
      </c>
      <c r="G284" s="3">
        <v>0</v>
      </c>
      <c r="H284" s="3">
        <v>134560</v>
      </c>
      <c r="I284" s="3">
        <v>10132.82</v>
      </c>
      <c r="J284" s="3">
        <v>1.8935999999999999</v>
      </c>
      <c r="K284" s="21">
        <f ca="1">_xll.IMDP("BND",B284,K8,B3)</f>
        <v>20280627</v>
      </c>
      <c r="L284" s="23">
        <f ca="1">_xll.IMDP("BND",B284,L8,B3)</f>
        <v>4.1840000000000002</v>
      </c>
      <c r="M284" s="2"/>
      <c r="W284" s="21" t="str">
        <f ca="1">_xll.IMDP("BND",N284,W8,N3)</f>
        <v>입력오류</v>
      </c>
      <c r="X284" s="23" t="str">
        <f ca="1">_xll.IMDP("BND",N284,X8,N3)</f>
        <v>입력오류</v>
      </c>
      <c r="Y284" s="2"/>
      <c r="AI284" s="21" t="str">
        <f ca="1">_xll.IMDP("BND",Z284,AI8,Z3)</f>
        <v>입력오류</v>
      </c>
      <c r="AJ284" s="23" t="str">
        <f ca="1">_xll.IMDP("BND",Z284,AJ8,Z3)</f>
        <v>입력오류</v>
      </c>
      <c r="AK284" s="2"/>
      <c r="AU284" s="21" t="str">
        <f ca="1">_xll.IMDP("BND",AL284,AU8,AL3)</f>
        <v>입력오류</v>
      </c>
      <c r="AV284" s="23" t="str">
        <f ca="1">_xll.IMDP("BND",AL284,AV8,AL3)</f>
        <v>입력오류</v>
      </c>
      <c r="AW284" s="2"/>
      <c r="BG284" s="21" t="str">
        <f ca="1">_xll.IMDP("BND",AX284,BG8,AX3)</f>
        <v>입력오류</v>
      </c>
      <c r="BH284" s="23" t="str">
        <f ca="1">_xll.IMDP("BND",AX284,BH8,AX3)</f>
        <v>입력오류</v>
      </c>
      <c r="BI284" s="2">
        <v>46198</v>
      </c>
      <c r="BJ284" s="3" t="s">
        <v>7</v>
      </c>
      <c r="BK284" s="3" t="s">
        <v>7</v>
      </c>
      <c r="BL284" s="3" t="s">
        <v>46</v>
      </c>
      <c r="BN284" s="3">
        <v>6.66</v>
      </c>
      <c r="BP284" s="3">
        <v>-8343167</v>
      </c>
      <c r="BS284" s="21" t="str">
        <f ca="1">_xll.IMDP("BND",BJ284,BS8,BJ3)</f>
        <v/>
      </c>
      <c r="BT284" s="23" t="str">
        <f ca="1">_xll.IMDP("BND",BJ284,BT8,BJ3)</f>
        <v/>
      </c>
      <c r="BU284" s="2"/>
      <c r="CE284" s="21" t="str">
        <f ca="1">_xll.IMDP("BND",BV284,CE8,BV3)</f>
        <v>입력오류</v>
      </c>
      <c r="CF284" s="23" t="str">
        <f ca="1">_xll.IMDP("BND",BV284,CF8,BV3)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">
        <v>46198</v>
      </c>
      <c r="CT284" s="3" t="s">
        <v>2678</v>
      </c>
      <c r="CU284" s="3" t="s">
        <v>98</v>
      </c>
      <c r="CV284" s="3" t="s">
        <v>2679</v>
      </c>
      <c r="CW284" s="3">
        <v>0</v>
      </c>
      <c r="CX284" s="3">
        <v>0.03</v>
      </c>
      <c r="CY284" s="3">
        <v>0</v>
      </c>
      <c r="CZ284" s="3">
        <v>37429</v>
      </c>
      <c r="DA284" s="3">
        <v>8015.43</v>
      </c>
      <c r="DB284" s="3">
        <v>5.2454000000000001</v>
      </c>
      <c r="DC284" s="21">
        <f ca="1">_xll.IMDP("BND",CT284,DC8,CT3)</f>
        <v>20311210</v>
      </c>
      <c r="DD284" s="23">
        <f ca="1">_xll.IMDP("BND",CT284,DD8,CT3)</f>
        <v>4.13</v>
      </c>
      <c r="DE284" s="2"/>
      <c r="DO284" s="21" t="str">
        <f ca="1">_xll.IMDP("BND",DF284,DO8,DF3)</f>
        <v>입력오류</v>
      </c>
      <c r="DP284" s="23" t="str">
        <f ca="1">_xll.IMDP("BND",DF284,DP8,DF3)</f>
        <v>입력오류</v>
      </c>
      <c r="DQ284" s="2"/>
      <c r="EA284" s="21" t="str">
        <f ca="1">_xll.IMDP("BND",DR284,EA8,DR3)</f>
        <v>입력오류</v>
      </c>
      <c r="EB284" s="23" t="str">
        <f ca="1">_xll.IMDP("BND",DR284,EB8,DR3)</f>
        <v>입력오류</v>
      </c>
    </row>
    <row r="285" spans="1:132" ht="13.5" customHeight="1" x14ac:dyDescent="0.3">
      <c r="A285" s="2">
        <v>46198</v>
      </c>
      <c r="B285" s="3" t="s">
        <v>2115</v>
      </c>
      <c r="C285" s="3" t="s">
        <v>338</v>
      </c>
      <c r="D285" s="3" t="s">
        <v>2116</v>
      </c>
      <c r="E285" s="3">
        <v>0</v>
      </c>
      <c r="F285" s="3">
        <v>0.12</v>
      </c>
      <c r="G285" s="3">
        <v>0</v>
      </c>
      <c r="H285" s="3">
        <v>133878</v>
      </c>
      <c r="I285" s="3">
        <v>10084.16</v>
      </c>
      <c r="J285" s="3">
        <v>0.5827</v>
      </c>
      <c r="K285" s="21">
        <f ca="1">_xll.IMDP("BND",B285,K8,B3)</f>
        <v>20270129</v>
      </c>
      <c r="L285" s="23">
        <f ca="1">_xll.IMDP("BND",B285,L8,B3)</f>
        <v>3.7050000000000001</v>
      </c>
      <c r="M285" s="2"/>
      <c r="W285" s="21" t="str">
        <f ca="1">_xll.IMDP("BND",N285,W8,N3)</f>
        <v>입력오류</v>
      </c>
      <c r="X285" s="23" t="str">
        <f ca="1">_xll.IMDP("BND",N285,X8,N3)</f>
        <v>입력오류</v>
      </c>
      <c r="Y285" s="2"/>
      <c r="AI285" s="21" t="str">
        <f ca="1">_xll.IMDP("BND",Z285,AI8,Z3)</f>
        <v>입력오류</v>
      </c>
      <c r="AJ285" s="23" t="str">
        <f ca="1">_xll.IMDP("BND",Z285,AJ8,Z3)</f>
        <v>입력오류</v>
      </c>
      <c r="AK285" s="2"/>
      <c r="AU285" s="21" t="str">
        <f ca="1">_xll.IMDP("BND",AL285,AU8,AL3)</f>
        <v>입력오류</v>
      </c>
      <c r="AV285" s="23" t="str">
        <f ca="1">_xll.IMDP("BND",AL285,AV8,AL3)</f>
        <v>입력오류</v>
      </c>
      <c r="AW285" s="2"/>
      <c r="BG285" s="21" t="str">
        <f ca="1">_xll.IMDP("BND",AX285,BG8,AX3)</f>
        <v>입력오류</v>
      </c>
      <c r="BH285" s="23" t="str">
        <f ca="1">_xll.IMDP("BND",AX285,BH8,AX3)</f>
        <v>입력오류</v>
      </c>
      <c r="BI285" s="2"/>
      <c r="BS285" s="21" t="str">
        <f ca="1">_xll.IMDP("BND",BJ285,BS8,BJ3)</f>
        <v>입력오류</v>
      </c>
      <c r="BT285" s="23" t="str">
        <f ca="1">_xll.IMDP("BND",BJ285,BT8,BJ3)</f>
        <v>입력오류</v>
      </c>
      <c r="BU285" s="2"/>
      <c r="CE285" s="21" t="str">
        <f ca="1">_xll.IMDP("BND",BV285,CE8,BV3)</f>
        <v>입력오류</v>
      </c>
      <c r="CF285" s="23" t="str">
        <f ca="1">_xll.IMDP("BND",BV285,CF8,BV3)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">
        <v>46198</v>
      </c>
      <c r="CT285" s="3" t="s">
        <v>2255</v>
      </c>
      <c r="CU285" s="3" t="s">
        <v>56</v>
      </c>
      <c r="CV285" s="3" t="s">
        <v>2680</v>
      </c>
      <c r="CW285" s="3">
        <v>0</v>
      </c>
      <c r="CX285" s="3">
        <v>0.03</v>
      </c>
      <c r="CY285" s="3">
        <v>0</v>
      </c>
      <c r="CZ285" s="3">
        <v>37252</v>
      </c>
      <c r="DA285" s="3">
        <v>11995.38</v>
      </c>
      <c r="DB285" s="3">
        <v>3.8643000000000001</v>
      </c>
      <c r="DC285" s="21">
        <f ca="1">_xll.IMDP("BND",CT285,DC8,CT3)</f>
        <v>20300610</v>
      </c>
      <c r="DD285" s="23">
        <f ca="1">_xll.IMDP("BND",CT285,DD8,CT3)</f>
        <v>0.99399999999999999</v>
      </c>
      <c r="DE285" s="2"/>
      <c r="DO285" s="21" t="str">
        <f ca="1">_xll.IMDP("BND",DF285,DO8,DF3)</f>
        <v>입력오류</v>
      </c>
      <c r="DP285" s="23" t="str">
        <f ca="1">_xll.IMDP("BND",DF285,DP8,DF3)</f>
        <v>입력오류</v>
      </c>
      <c r="DQ285" s="2"/>
      <c r="EA285" s="21" t="str">
        <f ca="1">_xll.IMDP("BND",DR285,EA8,DR3)</f>
        <v>입력오류</v>
      </c>
      <c r="EB285" s="23" t="str">
        <f ca="1">_xll.IMDP("BND",DR285,EB8,DR3)</f>
        <v>입력오류</v>
      </c>
    </row>
    <row r="286" spans="1:132" ht="13.5" customHeight="1" x14ac:dyDescent="0.3">
      <c r="A286" s="2">
        <v>46198</v>
      </c>
      <c r="B286" s="3" t="s">
        <v>2117</v>
      </c>
      <c r="C286" s="3" t="s">
        <v>50</v>
      </c>
      <c r="D286" s="3" t="s">
        <v>2118</v>
      </c>
      <c r="E286" s="3">
        <v>0</v>
      </c>
      <c r="F286" s="3">
        <v>0.12</v>
      </c>
      <c r="G286" s="3">
        <v>0</v>
      </c>
      <c r="H286" s="3">
        <v>133507</v>
      </c>
      <c r="I286" s="3">
        <v>10055.879999999999</v>
      </c>
      <c r="J286" s="3">
        <v>0.4536</v>
      </c>
      <c r="K286" s="21">
        <f ca="1">_xll.IMDP("BND",B286,K8,B3)</f>
        <v>20261210</v>
      </c>
      <c r="L286" s="23">
        <f ca="1">_xll.IMDP("BND",B286,L8,B3)</f>
        <v>2.9860000000000002</v>
      </c>
      <c r="M286" s="2"/>
      <c r="W286" s="21" t="str">
        <f ca="1">_xll.IMDP("BND",N286,W8,N3)</f>
        <v>입력오류</v>
      </c>
      <c r="X286" s="23" t="str">
        <f ca="1">_xll.IMDP("BND",N286,X8,N3)</f>
        <v>입력오류</v>
      </c>
      <c r="Y286" s="2"/>
      <c r="AI286" s="21" t="str">
        <f ca="1">_xll.IMDP("BND",Z286,AI8,Z3)</f>
        <v>입력오류</v>
      </c>
      <c r="AJ286" s="23" t="str">
        <f ca="1">_xll.IMDP("BND",Z286,AJ8,Z3)</f>
        <v>입력오류</v>
      </c>
      <c r="AK286" s="2"/>
      <c r="AU286" s="21" t="str">
        <f ca="1">_xll.IMDP("BND",AL286,AU8,AL3)</f>
        <v>입력오류</v>
      </c>
      <c r="AV286" s="23" t="str">
        <f ca="1">_xll.IMDP("BND",AL286,AV8,AL3)</f>
        <v>입력오류</v>
      </c>
      <c r="AW286" s="2"/>
      <c r="BG286" s="21" t="str">
        <f ca="1">_xll.IMDP("BND",AX286,BG8,AX3)</f>
        <v>입력오류</v>
      </c>
      <c r="BH286" s="23" t="str">
        <f ca="1">_xll.IMDP("BND",AX286,BH8,AX3)</f>
        <v>입력오류</v>
      </c>
      <c r="BI286" s="2"/>
      <c r="BS286" s="21" t="str">
        <f ca="1">_xll.IMDP("BND",BJ286,BS8,BJ3)</f>
        <v>입력오류</v>
      </c>
      <c r="BT286" s="23" t="str">
        <f ca="1">_xll.IMDP("BND",BJ286,BT8,BJ3)</f>
        <v>입력오류</v>
      </c>
      <c r="BU286" s="2"/>
      <c r="CE286" s="21" t="str">
        <f ca="1">_xll.IMDP("BND",BV286,CE8,BV3)</f>
        <v>입력오류</v>
      </c>
      <c r="CF286" s="23" t="str">
        <f ca="1">_xll.IMDP("BND",BV286,CF8,BV3)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">
        <v>46198</v>
      </c>
      <c r="CT286" s="3" t="s">
        <v>77</v>
      </c>
      <c r="CU286" s="3" t="s">
        <v>29</v>
      </c>
      <c r="CV286" s="3" t="s">
        <v>2681</v>
      </c>
      <c r="CW286" s="3">
        <v>0</v>
      </c>
      <c r="CX286" s="3">
        <v>0.03</v>
      </c>
      <c r="CY286" s="3">
        <v>0</v>
      </c>
      <c r="CZ286" s="3">
        <v>36115</v>
      </c>
      <c r="DA286" s="3">
        <v>8139.76</v>
      </c>
      <c r="DB286" s="3">
        <v>16.4742</v>
      </c>
      <c r="DC286" s="21">
        <f ca="1">_xll.IMDP("BND",CT286,DC8,CT3)</f>
        <v>20520910</v>
      </c>
      <c r="DD286" s="23">
        <f ca="1">_xll.IMDP("BND",CT286,DD8,CT3)</f>
        <v>4.3840000000000003</v>
      </c>
      <c r="DE286" s="2"/>
      <c r="DO286" s="21" t="str">
        <f ca="1">_xll.IMDP("BND",DF286,DO8,DF3)</f>
        <v>입력오류</v>
      </c>
      <c r="DP286" s="23" t="str">
        <f ca="1">_xll.IMDP("BND",DF286,DP8,DF3)</f>
        <v>입력오류</v>
      </c>
      <c r="DQ286" s="2"/>
      <c r="EA286" s="21" t="str">
        <f ca="1">_xll.IMDP("BND",DR286,EA8,DR3)</f>
        <v>입력오류</v>
      </c>
      <c r="EB286" s="23" t="str">
        <f ca="1">_xll.IMDP("BND",DR286,EB8,DR3)</f>
        <v>입력오류</v>
      </c>
    </row>
    <row r="287" spans="1:132" ht="13.5" customHeight="1" x14ac:dyDescent="0.3">
      <c r="A287" s="2">
        <v>46198</v>
      </c>
      <c r="B287" s="3" t="s">
        <v>2119</v>
      </c>
      <c r="C287" s="3" t="s">
        <v>2120</v>
      </c>
      <c r="D287" s="3" t="s">
        <v>2121</v>
      </c>
      <c r="E287" s="3">
        <v>0</v>
      </c>
      <c r="F287" s="3">
        <v>0.12</v>
      </c>
      <c r="G287" s="3">
        <v>0</v>
      </c>
      <c r="H287" s="3">
        <v>133071</v>
      </c>
      <c r="I287" s="3">
        <v>10021.719999999999</v>
      </c>
      <c r="J287" s="3">
        <v>3.4931000000000001</v>
      </c>
      <c r="K287" s="21">
        <f ca="1">_xll.IMDP("BND",B287,K8,B3)</f>
        <v>20300426</v>
      </c>
      <c r="L287" s="23">
        <f ca="1">_xll.IMDP("BND",B287,L8,B3)</f>
        <v>4.4459999999999997</v>
      </c>
      <c r="M287" s="2"/>
      <c r="W287" s="21" t="str">
        <f ca="1">_xll.IMDP("BND",N287,W8,N3)</f>
        <v>입력오류</v>
      </c>
      <c r="X287" s="23" t="str">
        <f ca="1">_xll.IMDP("BND",N287,X8,N3)</f>
        <v>입력오류</v>
      </c>
      <c r="Y287" s="2"/>
      <c r="AI287" s="21" t="str">
        <f ca="1">_xll.IMDP("BND",Z287,AI8,Z3)</f>
        <v>입력오류</v>
      </c>
      <c r="AJ287" s="23" t="str">
        <f ca="1">_xll.IMDP("BND",Z287,AJ8,Z3)</f>
        <v>입력오류</v>
      </c>
      <c r="AK287" s="2"/>
      <c r="AU287" s="21" t="str">
        <f ca="1">_xll.IMDP("BND",AL287,AU8,AL3)</f>
        <v>입력오류</v>
      </c>
      <c r="AV287" s="23" t="str">
        <f ca="1">_xll.IMDP("BND",AL287,AV8,AL3)</f>
        <v>입력오류</v>
      </c>
      <c r="AW287" s="2"/>
      <c r="BG287" s="21" t="str">
        <f ca="1">_xll.IMDP("BND",AX287,BG8,AX3)</f>
        <v>입력오류</v>
      </c>
      <c r="BH287" s="23" t="str">
        <f ca="1">_xll.IMDP("BND",AX287,BH8,AX3)</f>
        <v>입력오류</v>
      </c>
      <c r="BI287" s="2"/>
      <c r="BS287" s="21" t="str">
        <f ca="1">_xll.IMDP("BND",BJ287,BS8,BJ3)</f>
        <v>입력오류</v>
      </c>
      <c r="BT287" s="23" t="str">
        <f ca="1">_xll.IMDP("BND",BJ287,BT8,BJ3)</f>
        <v>입력오류</v>
      </c>
      <c r="BU287" s="2"/>
      <c r="CE287" s="21" t="str">
        <f ca="1">_xll.IMDP("BND",BV287,CE8,BV3)</f>
        <v>입력오류</v>
      </c>
      <c r="CF287" s="23" t="str">
        <f ca="1">_xll.IMDP("BND",BV287,CF8,BV3)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">
        <v>46198</v>
      </c>
      <c r="CT287" s="3" t="s">
        <v>2724</v>
      </c>
      <c r="CU287" s="3" t="s">
        <v>98</v>
      </c>
      <c r="CV287" s="3" t="s">
        <v>2725</v>
      </c>
      <c r="CW287" s="3">
        <v>0</v>
      </c>
      <c r="CX287" s="3">
        <v>0.02</v>
      </c>
      <c r="CY287" s="3">
        <v>0</v>
      </c>
      <c r="CZ287" s="3">
        <v>31874</v>
      </c>
      <c r="DA287" s="3">
        <v>6826.03</v>
      </c>
      <c r="DB287" s="3">
        <v>8.8397000000000006</v>
      </c>
      <c r="DC287" s="21">
        <f ca="1">_xll.IMDP("BND",CT287,DC8,CT3)</f>
        <v>20350910</v>
      </c>
      <c r="DD287" s="23">
        <f ca="1">_xll.IMDP("BND",CT287,DD8,CT3)</f>
        <v>4.2309999999999999</v>
      </c>
      <c r="DE287" s="2"/>
      <c r="DO287" s="21" t="str">
        <f ca="1">_xll.IMDP("BND",DF287,DO8,DF3)</f>
        <v>입력오류</v>
      </c>
      <c r="DP287" s="23" t="str">
        <f ca="1">_xll.IMDP("BND",DF287,DP8,DF3)</f>
        <v>입력오류</v>
      </c>
      <c r="DQ287" s="2"/>
      <c r="EA287" s="21" t="str">
        <f ca="1">_xll.IMDP("BND",DR287,EA8,DR3)</f>
        <v>입력오류</v>
      </c>
      <c r="EB287" s="23" t="str">
        <f ca="1">_xll.IMDP("BND",DR287,EB8,DR3)</f>
        <v>입력오류</v>
      </c>
    </row>
    <row r="288" spans="1:132" ht="13.5" customHeight="1" x14ac:dyDescent="0.3">
      <c r="A288" s="2">
        <v>46198</v>
      </c>
      <c r="B288" s="3" t="s">
        <v>2122</v>
      </c>
      <c r="C288" s="3" t="s">
        <v>2123</v>
      </c>
      <c r="D288" s="3" t="s">
        <v>2124</v>
      </c>
      <c r="E288" s="3">
        <v>0</v>
      </c>
      <c r="F288" s="3">
        <v>0.12</v>
      </c>
      <c r="G288" s="3">
        <v>0</v>
      </c>
      <c r="H288" s="3">
        <v>131162</v>
      </c>
      <c r="I288" s="3">
        <v>9877.74</v>
      </c>
      <c r="J288" s="3">
        <v>1.5273000000000001</v>
      </c>
      <c r="K288" s="21">
        <f ca="1">_xll.IMDP("BND",B288,K8,B3)</f>
        <v>20280124</v>
      </c>
      <c r="L288" s="23">
        <f ca="1">_xll.IMDP("BND",B288,L8,B3)</f>
        <v>4.1159999999999997</v>
      </c>
      <c r="M288" s="2"/>
      <c r="W288" s="21" t="str">
        <f ca="1">_xll.IMDP("BND",N288,W8,N3)</f>
        <v>입력오류</v>
      </c>
      <c r="X288" s="23" t="str">
        <f ca="1">_xll.IMDP("BND",N288,X8,N3)</f>
        <v>입력오류</v>
      </c>
      <c r="Y288" s="2"/>
      <c r="AI288" s="21" t="str">
        <f ca="1">_xll.IMDP("BND",Z288,AI8,Z3)</f>
        <v>입력오류</v>
      </c>
      <c r="AJ288" s="23" t="str">
        <f ca="1">_xll.IMDP("BND",Z288,AJ8,Z3)</f>
        <v>입력오류</v>
      </c>
      <c r="AK288" s="2"/>
      <c r="AU288" s="21" t="str">
        <f ca="1">_xll.IMDP("BND",AL288,AU8,AL3)</f>
        <v>입력오류</v>
      </c>
      <c r="AV288" s="23" t="str">
        <f ca="1">_xll.IMDP("BND",AL288,AV8,AL3)</f>
        <v>입력오류</v>
      </c>
      <c r="AW288" s="2"/>
      <c r="BG288" s="21" t="str">
        <f ca="1">_xll.IMDP("BND",AX288,BG8,AX3)</f>
        <v>입력오류</v>
      </c>
      <c r="BH288" s="23" t="str">
        <f ca="1">_xll.IMDP("BND",AX288,BH8,AX3)</f>
        <v>입력오류</v>
      </c>
      <c r="BI288" s="2"/>
      <c r="BS288" s="21" t="str">
        <f ca="1">_xll.IMDP("BND",BJ288,BS8,BJ3)</f>
        <v>입력오류</v>
      </c>
      <c r="BT288" s="23" t="str">
        <f ca="1">_xll.IMDP("BND",BJ288,BT8,BJ3)</f>
        <v>입력오류</v>
      </c>
      <c r="BU288" s="2"/>
      <c r="CE288" s="21" t="str">
        <f ca="1">_xll.IMDP("BND",BV288,CE8,BV3)</f>
        <v>입력오류</v>
      </c>
      <c r="CF288" s="23" t="str">
        <f ca="1">_xll.IMDP("BND",BV288,CF8,BV3)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">
        <v>46198</v>
      </c>
      <c r="CT288" s="3" t="s">
        <v>2682</v>
      </c>
      <c r="CU288" s="3" t="s">
        <v>29</v>
      </c>
      <c r="CV288" s="3" t="s">
        <v>2683</v>
      </c>
      <c r="CW288" s="3">
        <v>0</v>
      </c>
      <c r="CX288" s="3">
        <v>0.02</v>
      </c>
      <c r="CY288" s="3">
        <v>0</v>
      </c>
      <c r="CZ288" s="3">
        <v>31462</v>
      </c>
      <c r="DA288" s="3">
        <v>7003.95</v>
      </c>
      <c r="DB288" s="3">
        <v>15.0961</v>
      </c>
      <c r="DC288" s="21">
        <f ca="1">_xll.IMDP("BND",CT288,DC8,CT3)</f>
        <v>20460310</v>
      </c>
      <c r="DD288" s="23">
        <f ca="1">_xll.IMDP("BND",CT288,DD8,CT3)</f>
        <v>4.3159999999999998</v>
      </c>
      <c r="DE288" s="2"/>
      <c r="DO288" s="21" t="str">
        <f ca="1">_xll.IMDP("BND",DF288,DO8,DF3)</f>
        <v>입력오류</v>
      </c>
      <c r="DP288" s="23" t="str">
        <f ca="1">_xll.IMDP("BND",DF288,DP8,DF3)</f>
        <v>입력오류</v>
      </c>
      <c r="DQ288" s="2"/>
      <c r="EA288" s="21" t="str">
        <f ca="1">_xll.IMDP("BND",DR288,EA8,DR3)</f>
        <v>입력오류</v>
      </c>
      <c r="EB288" s="23" t="str">
        <f ca="1">_xll.IMDP("BND",DR288,EB8,DR3)</f>
        <v>입력오류</v>
      </c>
    </row>
    <row r="289" spans="1:132" ht="13.5" customHeight="1" x14ac:dyDescent="0.3">
      <c r="A289" s="2">
        <v>46198</v>
      </c>
      <c r="B289" s="3" t="s">
        <v>202</v>
      </c>
      <c r="C289" s="3" t="s">
        <v>29</v>
      </c>
      <c r="D289" s="3" t="s">
        <v>513</v>
      </c>
      <c r="E289" s="3">
        <v>0</v>
      </c>
      <c r="F289" s="3">
        <v>0.12</v>
      </c>
      <c r="G289" s="3">
        <v>0</v>
      </c>
      <c r="H289" s="3">
        <v>128260</v>
      </c>
      <c r="I289" s="3">
        <v>9471.27</v>
      </c>
      <c r="J289" s="3">
        <v>2.8355999999999999</v>
      </c>
      <c r="K289" s="21">
        <f ca="1">_xll.IMDP("BND",B289,K8,B3)</f>
        <v>20290610</v>
      </c>
      <c r="L289" s="23">
        <f ca="1">_xll.IMDP("BND",B289,L8,B3)</f>
        <v>3.8079999999999998</v>
      </c>
      <c r="M289" s="2"/>
      <c r="W289" s="21" t="str">
        <f ca="1">_xll.IMDP("BND",N289,W8,N3)</f>
        <v>입력오류</v>
      </c>
      <c r="X289" s="23" t="str">
        <f ca="1">_xll.IMDP("BND",N289,X8,N3)</f>
        <v>입력오류</v>
      </c>
      <c r="Y289" s="2"/>
      <c r="AI289" s="21" t="str">
        <f ca="1">_xll.IMDP("BND",Z289,AI8,Z3)</f>
        <v>입력오류</v>
      </c>
      <c r="AJ289" s="23" t="str">
        <f ca="1">_xll.IMDP("BND",Z289,AJ8,Z3)</f>
        <v>입력오류</v>
      </c>
      <c r="AK289" s="2"/>
      <c r="AU289" s="21" t="str">
        <f ca="1">_xll.IMDP("BND",AL289,AU8,AL3)</f>
        <v>입력오류</v>
      </c>
      <c r="AV289" s="23" t="str">
        <f ca="1">_xll.IMDP("BND",AL289,AV8,AL3)</f>
        <v>입력오류</v>
      </c>
      <c r="AW289" s="2"/>
      <c r="BG289" s="21" t="str">
        <f ca="1">_xll.IMDP("BND",AX289,BG8,AX3)</f>
        <v>입력오류</v>
      </c>
      <c r="BH289" s="23" t="str">
        <f ca="1">_xll.IMDP("BND",AX289,BH8,AX3)</f>
        <v>입력오류</v>
      </c>
      <c r="BI289" s="2"/>
      <c r="BS289" s="21" t="str">
        <f ca="1">_xll.IMDP("BND",BJ289,BS8,BJ3)</f>
        <v>입력오류</v>
      </c>
      <c r="BT289" s="23" t="str">
        <f ca="1">_xll.IMDP("BND",BJ289,BT8,BJ3)</f>
        <v>입력오류</v>
      </c>
      <c r="BU289" s="2"/>
      <c r="CE289" s="21" t="str">
        <f ca="1">_xll.IMDP("BND",BV289,CE8,BV3)</f>
        <v>입력오류</v>
      </c>
      <c r="CF289" s="23" t="str">
        <f ca="1">_xll.IMDP("BND",BV289,CF8,BV3)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">
        <v>46198</v>
      </c>
      <c r="CT289" s="3" t="s">
        <v>2684</v>
      </c>
      <c r="CU289" s="3" t="s">
        <v>1692</v>
      </c>
      <c r="CV289" s="3" t="s">
        <v>2685</v>
      </c>
      <c r="CW289" s="3">
        <v>0</v>
      </c>
      <c r="CX289" s="3">
        <v>0.02</v>
      </c>
      <c r="CY289" s="3">
        <v>0</v>
      </c>
      <c r="CZ289" s="3">
        <v>26518</v>
      </c>
      <c r="DA289" s="3">
        <v>9467.39</v>
      </c>
      <c r="DB289" s="3">
        <v>5.5914999999999999</v>
      </c>
      <c r="DC289" s="21">
        <f ca="1">_xll.IMDP("BND",CT289,DC8,CT3)</f>
        <v>20320924</v>
      </c>
      <c r="DD289" s="23">
        <f ca="1">_xll.IMDP("BND",CT289,DD8,CT3)</f>
        <v>4.2880000000000003</v>
      </c>
      <c r="DE289" s="2"/>
      <c r="DO289" s="21" t="str">
        <f ca="1">_xll.IMDP("BND",DF289,DO8,DF3)</f>
        <v>입력오류</v>
      </c>
      <c r="DP289" s="23" t="str">
        <f ca="1">_xll.IMDP("BND",DF289,DP8,DF3)</f>
        <v>입력오류</v>
      </c>
      <c r="DQ289" s="2"/>
      <c r="EA289" s="21" t="str">
        <f ca="1">_xll.IMDP("BND",DR289,EA8,DR3)</f>
        <v>입력오류</v>
      </c>
      <c r="EB289" s="23" t="str">
        <f ca="1">_xll.IMDP("BND",DR289,EB8,DR3)</f>
        <v>입력오류</v>
      </c>
    </row>
    <row r="290" spans="1:132" ht="13.5" customHeight="1" x14ac:dyDescent="0.3">
      <c r="A290" s="2">
        <v>46198</v>
      </c>
      <c r="B290" s="3" t="s">
        <v>1447</v>
      </c>
      <c r="C290" s="3" t="s">
        <v>29</v>
      </c>
      <c r="D290" s="3" t="s">
        <v>1448</v>
      </c>
      <c r="E290" s="3">
        <v>0</v>
      </c>
      <c r="F290" s="3">
        <v>0.11</v>
      </c>
      <c r="G290" s="3">
        <v>0</v>
      </c>
      <c r="H290" s="3">
        <v>126053</v>
      </c>
      <c r="I290" s="3">
        <v>9190.9699999999993</v>
      </c>
      <c r="J290" s="3">
        <v>3.3214000000000001</v>
      </c>
      <c r="K290" s="21">
        <f ca="1">_xll.IMDP("BND",B290,K8,B3)</f>
        <v>20291210</v>
      </c>
      <c r="L290" s="23">
        <f ca="1">_xll.IMDP("BND",B290,L8,B3)</f>
        <v>3.915</v>
      </c>
      <c r="M290" s="2"/>
      <c r="W290" s="21" t="str">
        <f ca="1">_xll.IMDP("BND",N290,W8,N3)</f>
        <v>입력오류</v>
      </c>
      <c r="X290" s="23" t="str">
        <f ca="1">_xll.IMDP("BND",N290,X8,N3)</f>
        <v>입력오류</v>
      </c>
      <c r="Y290" s="2"/>
      <c r="AI290" s="21" t="str">
        <f ca="1">_xll.IMDP("BND",Z290,AI8,Z3)</f>
        <v>입력오류</v>
      </c>
      <c r="AJ290" s="23" t="str">
        <f ca="1">_xll.IMDP("BND",Z290,AJ8,Z3)</f>
        <v>입력오류</v>
      </c>
      <c r="AK290" s="2"/>
      <c r="AU290" s="21" t="str">
        <f ca="1">_xll.IMDP("BND",AL290,AU8,AL3)</f>
        <v>입력오류</v>
      </c>
      <c r="AV290" s="23" t="str">
        <f ca="1">_xll.IMDP("BND",AL290,AV8,AL3)</f>
        <v>입력오류</v>
      </c>
      <c r="AW290" s="2"/>
      <c r="BG290" s="21" t="str">
        <f ca="1">_xll.IMDP("BND",AX290,BG8,AX3)</f>
        <v>입력오류</v>
      </c>
      <c r="BH290" s="23" t="str">
        <f ca="1">_xll.IMDP("BND",AX290,BH8,AX3)</f>
        <v>입력오류</v>
      </c>
      <c r="BI290" s="2"/>
      <c r="BS290" s="21" t="str">
        <f ca="1">_xll.IMDP("BND",BJ290,BS8,BJ3)</f>
        <v>입력오류</v>
      </c>
      <c r="BT290" s="23" t="str">
        <f ca="1">_xll.IMDP("BND",BJ290,BT8,BJ3)</f>
        <v>입력오류</v>
      </c>
      <c r="BU290" s="2"/>
      <c r="CE290" s="21" t="str">
        <f ca="1">_xll.IMDP("BND",BV290,CE8,BV3)</f>
        <v>입력오류</v>
      </c>
      <c r="CF290" s="23" t="str">
        <f ca="1">_xll.IMDP("BND",BV290,CF8,BV3)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">
        <v>46198</v>
      </c>
      <c r="CT290" s="3" t="s">
        <v>2264</v>
      </c>
      <c r="CU290" s="3" t="s">
        <v>2265</v>
      </c>
      <c r="CV290" s="3" t="s">
        <v>2686</v>
      </c>
      <c r="CW290" s="3">
        <v>0</v>
      </c>
      <c r="CX290" s="3">
        <v>0.02</v>
      </c>
      <c r="CY290" s="3">
        <v>0</v>
      </c>
      <c r="CZ290" s="3">
        <v>24331</v>
      </c>
      <c r="DA290" s="3">
        <v>10421.530000000001</v>
      </c>
      <c r="DB290" s="3">
        <v>0.8206</v>
      </c>
      <c r="DC290" s="21">
        <f ca="1">_xll.IMDP("BND",CT290,DC8,CT3)</f>
        <v>20270430</v>
      </c>
      <c r="DD290" s="23">
        <f ca="1">_xll.IMDP("BND",CT290,DD8,CT3)</f>
        <v>3.27</v>
      </c>
      <c r="DE290" s="2"/>
      <c r="DO290" s="21" t="str">
        <f ca="1">_xll.IMDP("BND",DF290,DO8,DF3)</f>
        <v>입력오류</v>
      </c>
      <c r="DP290" s="23" t="str">
        <f ca="1">_xll.IMDP("BND",DF290,DP8,DF3)</f>
        <v>입력오류</v>
      </c>
      <c r="DQ290" s="2"/>
      <c r="EA290" s="21" t="str">
        <f ca="1">_xll.IMDP("BND",DR290,EA8,DR3)</f>
        <v>입력오류</v>
      </c>
      <c r="EB290" s="23" t="str">
        <f ca="1">_xll.IMDP("BND",DR290,EB8,DR3)</f>
        <v>입력오류</v>
      </c>
    </row>
    <row r="291" spans="1:132" ht="13.5" customHeight="1" x14ac:dyDescent="0.3">
      <c r="A291" s="2">
        <v>46198</v>
      </c>
      <c r="B291" s="3" t="s">
        <v>110</v>
      </c>
      <c r="C291" s="3" t="s">
        <v>63</v>
      </c>
      <c r="D291" s="3" t="s">
        <v>111</v>
      </c>
      <c r="E291" s="3">
        <v>0</v>
      </c>
      <c r="F291" s="3">
        <v>0.11</v>
      </c>
      <c r="G291" s="3">
        <v>0</v>
      </c>
      <c r="H291" s="3">
        <v>125758</v>
      </c>
      <c r="I291" s="3">
        <v>8902</v>
      </c>
      <c r="J291" s="3">
        <v>12.0678</v>
      </c>
      <c r="K291" s="21">
        <f ca="1">_xll.IMDP("BND",B291,K8,B3)</f>
        <v>20420910</v>
      </c>
      <c r="L291" s="23">
        <f ca="1">_xll.IMDP("BND",B291,L8,B3)</f>
        <v>4.2759999999999998</v>
      </c>
      <c r="M291" s="2"/>
      <c r="W291" s="21" t="str">
        <f ca="1">_xll.IMDP("BND",N291,W8,N3)</f>
        <v>입력오류</v>
      </c>
      <c r="X291" s="23" t="str">
        <f ca="1">_xll.IMDP("BND",N291,X8,N3)</f>
        <v>입력오류</v>
      </c>
      <c r="Y291" s="2"/>
      <c r="AI291" s="21" t="str">
        <f ca="1">_xll.IMDP("BND",Z291,AI8,Z3)</f>
        <v>입력오류</v>
      </c>
      <c r="AJ291" s="23" t="str">
        <f ca="1">_xll.IMDP("BND",Z291,AJ8,Z3)</f>
        <v>입력오류</v>
      </c>
      <c r="AK291" s="2"/>
      <c r="AU291" s="21" t="str">
        <f ca="1">_xll.IMDP("BND",AL291,AU8,AL3)</f>
        <v>입력오류</v>
      </c>
      <c r="AV291" s="23" t="str">
        <f ca="1">_xll.IMDP("BND",AL291,AV8,AL3)</f>
        <v>입력오류</v>
      </c>
      <c r="AW291" s="2"/>
      <c r="BG291" s="21" t="str">
        <f ca="1">_xll.IMDP("BND",AX291,BG8,AX3)</f>
        <v>입력오류</v>
      </c>
      <c r="BH291" s="23" t="str">
        <f ca="1">_xll.IMDP("BND",AX291,BH8,AX3)</f>
        <v>입력오류</v>
      </c>
      <c r="BI291" s="2"/>
      <c r="BS291" s="21" t="str">
        <f ca="1">_xll.IMDP("BND",BJ291,BS8,BJ3)</f>
        <v>입력오류</v>
      </c>
      <c r="BT291" s="23" t="str">
        <f ca="1">_xll.IMDP("BND",BJ291,BT8,BJ3)</f>
        <v>입력오류</v>
      </c>
      <c r="BU291" s="2"/>
      <c r="CE291" s="21" t="str">
        <f ca="1">_xll.IMDP("BND",BV291,CE8,BV3)</f>
        <v>입력오류</v>
      </c>
      <c r="CF291" s="23" t="str">
        <f ca="1">_xll.IMDP("BND",BV291,CF8,BV3)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">
        <v>46198</v>
      </c>
      <c r="CT291" s="3" t="s">
        <v>2687</v>
      </c>
      <c r="CU291" s="3" t="s">
        <v>2688</v>
      </c>
      <c r="CV291" s="3" t="s">
        <v>2689</v>
      </c>
      <c r="CW291" s="3">
        <v>0</v>
      </c>
      <c r="CX291" s="3">
        <v>0.02</v>
      </c>
      <c r="CY291" s="3">
        <v>0</v>
      </c>
      <c r="CZ291" s="3">
        <v>23556</v>
      </c>
      <c r="DA291" s="3">
        <v>10089.120000000001</v>
      </c>
      <c r="DB291" s="3">
        <v>0.39939999999999998</v>
      </c>
      <c r="DC291" s="21">
        <f ca="1">_xll.IMDP("BND",CT291,DC8,CT3)</f>
        <v>20261120</v>
      </c>
      <c r="DD291" s="23">
        <f ca="1">_xll.IMDP("BND",CT291,DD8,CT3)</f>
        <v>3.32</v>
      </c>
      <c r="DE291" s="2"/>
      <c r="DO291" s="21" t="str">
        <f ca="1">_xll.IMDP("BND",DF291,DO8,DF3)</f>
        <v>입력오류</v>
      </c>
      <c r="DP291" s="23" t="str">
        <f ca="1">_xll.IMDP("BND",DF291,DP8,DF3)</f>
        <v>입력오류</v>
      </c>
      <c r="DQ291" s="2"/>
      <c r="EA291" s="21" t="str">
        <f ca="1">_xll.IMDP("BND",DR291,EA8,DR3)</f>
        <v>입력오류</v>
      </c>
      <c r="EB291" s="23" t="str">
        <f ca="1">_xll.IMDP("BND",DR291,EB8,DR3)</f>
        <v>입력오류</v>
      </c>
    </row>
    <row r="292" spans="1:132" ht="13.5" customHeight="1" x14ac:dyDescent="0.3">
      <c r="A292" s="2">
        <v>46198</v>
      </c>
      <c r="B292" s="3" t="s">
        <v>2125</v>
      </c>
      <c r="C292" s="3" t="s">
        <v>98</v>
      </c>
      <c r="D292" s="3" t="s">
        <v>2126</v>
      </c>
      <c r="E292" s="3">
        <v>0</v>
      </c>
      <c r="F292" s="3">
        <v>0.11</v>
      </c>
      <c r="G292" s="3">
        <v>0</v>
      </c>
      <c r="H292" s="3">
        <v>125160</v>
      </c>
      <c r="I292" s="3">
        <v>8569.18</v>
      </c>
      <c r="J292" s="3">
        <v>3.8092000000000001</v>
      </c>
      <c r="K292" s="21">
        <f ca="1">_xll.IMDP("BND",B292,K8,B3)</f>
        <v>20300610</v>
      </c>
      <c r="L292" s="23">
        <f ca="1">_xll.IMDP("BND",B292,L8,B3)</f>
        <v>3.976</v>
      </c>
      <c r="M292" s="2"/>
      <c r="W292" s="21" t="str">
        <f ca="1">_xll.IMDP("BND",N292,W8,N3)</f>
        <v>입력오류</v>
      </c>
      <c r="X292" s="23" t="str">
        <f ca="1">_xll.IMDP("BND",N292,X8,N3)</f>
        <v>입력오류</v>
      </c>
      <c r="Y292" s="2"/>
      <c r="AI292" s="21" t="str">
        <f ca="1">_xll.IMDP("BND",Z292,AI8,Z3)</f>
        <v>입력오류</v>
      </c>
      <c r="AJ292" s="23" t="str">
        <f ca="1">_xll.IMDP("BND",Z292,AJ8,Z3)</f>
        <v>입력오류</v>
      </c>
      <c r="AK292" s="2"/>
      <c r="AU292" s="21" t="str">
        <f ca="1">_xll.IMDP("BND",AL292,AU8,AL3)</f>
        <v>입력오류</v>
      </c>
      <c r="AV292" s="23" t="str">
        <f ca="1">_xll.IMDP("BND",AL292,AV8,AL3)</f>
        <v>입력오류</v>
      </c>
      <c r="AW292" s="2"/>
      <c r="BG292" s="21" t="str">
        <f ca="1">_xll.IMDP("BND",AX292,BG8,AX3)</f>
        <v>입력오류</v>
      </c>
      <c r="BH292" s="23" t="str">
        <f ca="1">_xll.IMDP("BND",AX292,BH8,AX3)</f>
        <v>입력오류</v>
      </c>
      <c r="BI292" s="2"/>
      <c r="BS292" s="21" t="str">
        <f ca="1">_xll.IMDP("BND",BJ292,BS8,BJ3)</f>
        <v>입력오류</v>
      </c>
      <c r="BT292" s="23" t="str">
        <f ca="1">_xll.IMDP("BND",BJ292,BT8,BJ3)</f>
        <v>입력오류</v>
      </c>
      <c r="BU292" s="2"/>
      <c r="CE292" s="21" t="str">
        <f ca="1">_xll.IMDP("BND",BV292,CE8,BV3)</f>
        <v>입력오류</v>
      </c>
      <c r="CF292" s="23" t="str">
        <f ca="1">_xll.IMDP("BND",BV292,CF8,BV3)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">
        <v>46198</v>
      </c>
      <c r="CT292" s="3" t="s">
        <v>2690</v>
      </c>
      <c r="CU292" s="3" t="s">
        <v>2691</v>
      </c>
      <c r="CV292" s="3" t="s">
        <v>2692</v>
      </c>
      <c r="CW292" s="3">
        <v>0</v>
      </c>
      <c r="CX292" s="3">
        <v>0.02</v>
      </c>
      <c r="CY292" s="3">
        <v>0</v>
      </c>
      <c r="CZ292" s="3">
        <v>23374</v>
      </c>
      <c r="DA292" s="3">
        <v>10011.219999999999</v>
      </c>
      <c r="DB292" s="3">
        <v>1.8261000000000001</v>
      </c>
      <c r="DC292" s="21">
        <f ca="1">_xll.IMDP("BND",CT292,DC8,CT3)</f>
        <v>20280522</v>
      </c>
      <c r="DD292" s="23">
        <f ca="1">_xll.IMDP("BND",CT292,DD8,CT3)</f>
        <v>3.9489999999999998</v>
      </c>
      <c r="DE292" s="2"/>
      <c r="DO292" s="21" t="str">
        <f ca="1">_xll.IMDP("BND",DF292,DO8,DF3)</f>
        <v>입력오류</v>
      </c>
      <c r="DP292" s="23" t="str">
        <f ca="1">_xll.IMDP("BND",DF292,DP8,DF3)</f>
        <v>입력오류</v>
      </c>
      <c r="DQ292" s="2"/>
      <c r="EA292" s="21" t="str">
        <f ca="1">_xll.IMDP("BND",DR292,EA8,DR3)</f>
        <v>입력오류</v>
      </c>
      <c r="EB292" s="23" t="str">
        <f ca="1">_xll.IMDP("BND",DR292,EB8,DR3)</f>
        <v>입력오류</v>
      </c>
    </row>
    <row r="293" spans="1:132" ht="13.5" customHeight="1" x14ac:dyDescent="0.3">
      <c r="A293" s="2">
        <v>46198</v>
      </c>
      <c r="B293" s="3" t="s">
        <v>2127</v>
      </c>
      <c r="C293" s="3" t="s">
        <v>276</v>
      </c>
      <c r="D293" s="3" t="s">
        <v>2128</v>
      </c>
      <c r="E293" s="3">
        <v>0</v>
      </c>
      <c r="F293" s="3">
        <v>0.11</v>
      </c>
      <c r="G293" s="3">
        <v>0</v>
      </c>
      <c r="H293" s="3">
        <v>124803</v>
      </c>
      <c r="I293" s="3">
        <v>9399.65</v>
      </c>
      <c r="J293" s="3">
        <v>3.8677000000000001</v>
      </c>
      <c r="K293" s="21">
        <f ca="1">_xll.IMDP("BND",B293,K8,B3)</f>
        <v>20300825</v>
      </c>
      <c r="L293" s="23">
        <f ca="1">_xll.IMDP("BND",B293,L8,B3)</f>
        <v>4.2290000000000001</v>
      </c>
      <c r="M293" s="2"/>
      <c r="W293" s="21" t="str">
        <f ca="1">_xll.IMDP("BND",N293,W8,N3)</f>
        <v>입력오류</v>
      </c>
      <c r="X293" s="23" t="str">
        <f ca="1">_xll.IMDP("BND",N293,X8,N3)</f>
        <v>입력오류</v>
      </c>
      <c r="Y293" s="2"/>
      <c r="AI293" s="21" t="str">
        <f ca="1">_xll.IMDP("BND",Z293,AI8,Z3)</f>
        <v>입력오류</v>
      </c>
      <c r="AJ293" s="23" t="str">
        <f ca="1">_xll.IMDP("BND",Z293,AJ8,Z3)</f>
        <v>입력오류</v>
      </c>
      <c r="AK293" s="2"/>
      <c r="AU293" s="21" t="str">
        <f ca="1">_xll.IMDP("BND",AL293,AU8,AL3)</f>
        <v>입력오류</v>
      </c>
      <c r="AV293" s="23" t="str">
        <f ca="1">_xll.IMDP("BND",AL293,AV8,AL3)</f>
        <v>입력오류</v>
      </c>
      <c r="AW293" s="2"/>
      <c r="BG293" s="21" t="str">
        <f ca="1">_xll.IMDP("BND",AX293,BG8,AX3)</f>
        <v>입력오류</v>
      </c>
      <c r="BH293" s="23" t="str">
        <f ca="1">_xll.IMDP("BND",AX293,BH8,AX3)</f>
        <v>입력오류</v>
      </c>
      <c r="BI293" s="2"/>
      <c r="BS293" s="21" t="str">
        <f ca="1">_xll.IMDP("BND",BJ293,BS8,BJ3)</f>
        <v>입력오류</v>
      </c>
      <c r="BT293" s="23" t="str">
        <f ca="1">_xll.IMDP("BND",BJ293,BT8,BJ3)</f>
        <v>입력오류</v>
      </c>
      <c r="BU293" s="2"/>
      <c r="CE293" s="21" t="str">
        <f ca="1">_xll.IMDP("BND",BV293,CE8,BV3)</f>
        <v>입력오류</v>
      </c>
      <c r="CF293" s="23" t="str">
        <f ca="1">_xll.IMDP("BND",BV293,CF8,BV3)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">
        <v>46198</v>
      </c>
      <c r="CT293" s="3" t="s">
        <v>2023</v>
      </c>
      <c r="CU293" s="3" t="s">
        <v>1281</v>
      </c>
      <c r="CV293" s="3" t="s">
        <v>2693</v>
      </c>
      <c r="CW293" s="3">
        <v>0</v>
      </c>
      <c r="CX293" s="3">
        <v>0.02</v>
      </c>
      <c r="CY293" s="3">
        <v>0</v>
      </c>
      <c r="CZ293" s="3">
        <v>21845</v>
      </c>
      <c r="DA293" s="3">
        <v>9356.36</v>
      </c>
      <c r="DB293" s="3">
        <v>3.3062</v>
      </c>
      <c r="DC293" s="21">
        <f ca="1">_xll.IMDP("BND",CT293,DC8,CT3)</f>
        <v>20291130</v>
      </c>
      <c r="DD293" s="23">
        <f ca="1">_xll.IMDP("BND",CT293,DD8,CT3)</f>
        <v>3.887</v>
      </c>
      <c r="DE293" s="2"/>
      <c r="DO293" s="21" t="str">
        <f ca="1">_xll.IMDP("BND",DF293,DO8,DF3)</f>
        <v>입력오류</v>
      </c>
      <c r="DP293" s="23" t="str">
        <f ca="1">_xll.IMDP("BND",DF293,DP8,DF3)</f>
        <v>입력오류</v>
      </c>
      <c r="DQ293" s="2"/>
      <c r="EA293" s="21" t="str">
        <f ca="1">_xll.IMDP("BND",DR293,EA8,DR3)</f>
        <v>입력오류</v>
      </c>
      <c r="EB293" s="23" t="str">
        <f ca="1">_xll.IMDP("BND",DR293,EB8,DR3)</f>
        <v>입력오류</v>
      </c>
    </row>
    <row r="294" spans="1:132" ht="13.5" customHeight="1" x14ac:dyDescent="0.3">
      <c r="A294" s="2">
        <v>46198</v>
      </c>
      <c r="B294" s="3" t="s">
        <v>2129</v>
      </c>
      <c r="C294" s="3" t="s">
        <v>518</v>
      </c>
      <c r="D294" s="3" t="s">
        <v>2130</v>
      </c>
      <c r="E294" s="3">
        <v>0</v>
      </c>
      <c r="F294" s="3">
        <v>0.11</v>
      </c>
      <c r="G294" s="3">
        <v>0</v>
      </c>
      <c r="H294" s="3">
        <v>121313</v>
      </c>
      <c r="I294" s="3">
        <v>9137.4699999999993</v>
      </c>
      <c r="J294" s="3">
        <v>12.578900000000001</v>
      </c>
      <c r="K294" s="21">
        <f ca="1">_xll.IMDP("BND",B294,K8,B3)</f>
        <v>20440422</v>
      </c>
      <c r="L294" s="23">
        <f ca="1">_xll.IMDP("BND",B294,L8,B3)</f>
        <v>4.4530000000000003</v>
      </c>
      <c r="M294" s="2"/>
      <c r="W294" s="21" t="str">
        <f ca="1">_xll.IMDP("BND",N294,W8,N3)</f>
        <v>입력오류</v>
      </c>
      <c r="X294" s="23" t="str">
        <f ca="1">_xll.IMDP("BND",N294,X8,N3)</f>
        <v>입력오류</v>
      </c>
      <c r="Y294" s="2"/>
      <c r="AI294" s="21" t="str">
        <f ca="1">_xll.IMDP("BND",Z294,AI8,Z3)</f>
        <v>입력오류</v>
      </c>
      <c r="AJ294" s="23" t="str">
        <f ca="1">_xll.IMDP("BND",Z294,AJ8,Z3)</f>
        <v>입력오류</v>
      </c>
      <c r="AK294" s="2"/>
      <c r="AU294" s="21" t="str">
        <f ca="1">_xll.IMDP("BND",AL294,AU8,AL3)</f>
        <v>입력오류</v>
      </c>
      <c r="AV294" s="23" t="str">
        <f ca="1">_xll.IMDP("BND",AL294,AV8,AL3)</f>
        <v>입력오류</v>
      </c>
      <c r="AW294" s="2"/>
      <c r="BG294" s="21" t="str">
        <f ca="1">_xll.IMDP("BND",AX294,BG8,AX3)</f>
        <v>입력오류</v>
      </c>
      <c r="BH294" s="23" t="str">
        <f ca="1">_xll.IMDP("BND",AX294,BH8,AX3)</f>
        <v>입력오류</v>
      </c>
      <c r="BI294" s="2"/>
      <c r="BS294" s="21" t="str">
        <f ca="1">_xll.IMDP("BND",BJ294,BS8,BJ3)</f>
        <v>입력오류</v>
      </c>
      <c r="BT294" s="23" t="str">
        <f ca="1">_xll.IMDP("BND",BJ294,BT8,BJ3)</f>
        <v>입력오류</v>
      </c>
      <c r="BU294" s="2"/>
      <c r="CE294" s="21" t="str">
        <f ca="1">_xll.IMDP("BND",BV294,CE8,BV3)</f>
        <v>입력오류</v>
      </c>
      <c r="CF294" s="23" t="str">
        <f ca="1">_xll.IMDP("BND",BV294,CF8,BV3)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">
        <v>46198</v>
      </c>
      <c r="CT294" s="3" t="s">
        <v>734</v>
      </c>
      <c r="CU294" s="3" t="s">
        <v>29</v>
      </c>
      <c r="CV294" s="3" t="s">
        <v>2694</v>
      </c>
      <c r="CW294" s="3">
        <v>0</v>
      </c>
      <c r="CX294" s="3">
        <v>0.01</v>
      </c>
      <c r="CY294" s="3">
        <v>0</v>
      </c>
      <c r="CZ294" s="3">
        <v>21029</v>
      </c>
      <c r="DA294" s="3">
        <v>7062.29</v>
      </c>
      <c r="DB294" s="3">
        <v>15.4528</v>
      </c>
      <c r="DC294" s="21">
        <f ca="1">_xll.IMDP("BND",CT294,DC8,CT3)</f>
        <v>20470310</v>
      </c>
      <c r="DD294" s="23">
        <f ca="1">_xll.IMDP("BND",CT294,DD8,CT3)</f>
        <v>4.3330000000000002</v>
      </c>
      <c r="DE294" s="2"/>
      <c r="DO294" s="21" t="str">
        <f ca="1">_xll.IMDP("BND",DF294,DO8,DF3)</f>
        <v>입력오류</v>
      </c>
      <c r="DP294" s="23" t="str">
        <f ca="1">_xll.IMDP("BND",DF294,DP8,DF3)</f>
        <v>입력오류</v>
      </c>
      <c r="DQ294" s="2"/>
      <c r="EA294" s="21" t="str">
        <f ca="1">_xll.IMDP("BND",DR294,EA8,DR3)</f>
        <v>입력오류</v>
      </c>
      <c r="EB294" s="23" t="str">
        <f ca="1">_xll.IMDP("BND",DR294,EB8,DR3)</f>
        <v>입력오류</v>
      </c>
    </row>
    <row r="295" spans="1:132" ht="13.5" customHeight="1" x14ac:dyDescent="0.3">
      <c r="A295" s="2">
        <v>46198</v>
      </c>
      <c r="B295" s="3" t="s">
        <v>2131</v>
      </c>
      <c r="C295" s="3" t="s">
        <v>2132</v>
      </c>
      <c r="D295" s="3" t="s">
        <v>2133</v>
      </c>
      <c r="E295" s="3">
        <v>0</v>
      </c>
      <c r="F295" s="3">
        <v>0.11</v>
      </c>
      <c r="G295" s="3">
        <v>0</v>
      </c>
      <c r="H295" s="3">
        <v>118001</v>
      </c>
      <c r="I295" s="3">
        <v>9875.44</v>
      </c>
      <c r="J295" s="3">
        <v>2.2101000000000002</v>
      </c>
      <c r="K295" s="21">
        <f ca="1">_xll.IMDP("BND",B295,K8,B3)</f>
        <v>20281024</v>
      </c>
      <c r="L295" s="23">
        <f ca="1">_xll.IMDP("BND",B295,L8,B3)</f>
        <v>4.0019999999999998</v>
      </c>
      <c r="M295" s="2"/>
      <c r="W295" s="21" t="str">
        <f ca="1">_xll.IMDP("BND",N295,W8,N3)</f>
        <v>입력오류</v>
      </c>
      <c r="X295" s="23" t="str">
        <f ca="1">_xll.IMDP("BND",N295,X8,N3)</f>
        <v>입력오류</v>
      </c>
      <c r="Y295" s="2"/>
      <c r="AI295" s="21" t="str">
        <f ca="1">_xll.IMDP("BND",Z295,AI8,Z3)</f>
        <v>입력오류</v>
      </c>
      <c r="AJ295" s="23" t="str">
        <f ca="1">_xll.IMDP("BND",Z295,AJ8,Z3)</f>
        <v>입력오류</v>
      </c>
      <c r="AK295" s="2"/>
      <c r="AU295" s="21" t="str">
        <f ca="1">_xll.IMDP("BND",AL295,AU8,AL3)</f>
        <v>입력오류</v>
      </c>
      <c r="AV295" s="23" t="str">
        <f ca="1">_xll.IMDP("BND",AL295,AV8,AL3)</f>
        <v>입력오류</v>
      </c>
      <c r="AW295" s="2"/>
      <c r="BG295" s="21" t="str">
        <f ca="1">_xll.IMDP("BND",AX295,BG8,AX3)</f>
        <v>입력오류</v>
      </c>
      <c r="BH295" s="23" t="str">
        <f ca="1">_xll.IMDP("BND",AX295,BH8,AX3)</f>
        <v>입력오류</v>
      </c>
      <c r="BI295" s="2"/>
      <c r="BS295" s="21" t="str">
        <f ca="1">_xll.IMDP("BND",BJ295,BS8,BJ3)</f>
        <v>입력오류</v>
      </c>
      <c r="BT295" s="23" t="str">
        <f ca="1">_xll.IMDP("BND",BJ295,BT8,BJ3)</f>
        <v>입력오류</v>
      </c>
      <c r="BU295" s="2"/>
      <c r="CE295" s="21" t="str">
        <f ca="1">_xll.IMDP("BND",BV295,CE8,BV3)</f>
        <v>입력오류</v>
      </c>
      <c r="CF295" s="23" t="str">
        <f ca="1">_xll.IMDP("BND",BV295,CF8,BV3)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">
        <v>46198</v>
      </c>
      <c r="CT295" s="3" t="s">
        <v>1563</v>
      </c>
      <c r="CU295" s="3" t="s">
        <v>1564</v>
      </c>
      <c r="CV295" s="3" t="s">
        <v>1565</v>
      </c>
      <c r="CW295" s="3">
        <v>0</v>
      </c>
      <c r="CX295" s="3">
        <v>0.01</v>
      </c>
      <c r="CY295" s="3">
        <v>0</v>
      </c>
      <c r="CZ295" s="3">
        <v>20955</v>
      </c>
      <c r="DA295" s="3">
        <v>8975.68</v>
      </c>
      <c r="DB295" s="3">
        <v>4.8361999999999998</v>
      </c>
      <c r="DC295" s="21">
        <f ca="1">_xll.IMDP("BND",CT295,DC8,CT3)</f>
        <v>20310824</v>
      </c>
      <c r="DD295" s="23">
        <f ca="1">_xll.IMDP("BND",CT295,DD8,CT3)</f>
        <v>4.3</v>
      </c>
      <c r="DE295" s="2"/>
      <c r="DO295" s="21" t="str">
        <f ca="1">_xll.IMDP("BND",DF295,DO8,DF3)</f>
        <v>입력오류</v>
      </c>
      <c r="DP295" s="23" t="str">
        <f ca="1">_xll.IMDP("BND",DF295,DP8,DF3)</f>
        <v>입력오류</v>
      </c>
      <c r="DQ295" s="2"/>
      <c r="EA295" s="21" t="str">
        <f ca="1">_xll.IMDP("BND",DR295,EA8,DR3)</f>
        <v>입력오류</v>
      </c>
      <c r="EB295" s="23" t="str">
        <f ca="1">_xll.IMDP("BND",DR295,EB8,DR3)</f>
        <v>입력오류</v>
      </c>
    </row>
    <row r="296" spans="1:132" ht="13.5" customHeight="1" x14ac:dyDescent="0.3">
      <c r="A296" s="2">
        <v>46198</v>
      </c>
      <c r="B296" s="3" t="s">
        <v>2134</v>
      </c>
      <c r="C296" s="3" t="s">
        <v>558</v>
      </c>
      <c r="D296" s="3" t="s">
        <v>2135</v>
      </c>
      <c r="E296" s="3">
        <v>0</v>
      </c>
      <c r="F296" s="3">
        <v>0.1</v>
      </c>
      <c r="G296" s="3">
        <v>0</v>
      </c>
      <c r="H296" s="3">
        <v>116657</v>
      </c>
      <c r="I296" s="3">
        <v>8790.41</v>
      </c>
      <c r="J296" s="3">
        <v>7.5712999999999999</v>
      </c>
      <c r="K296" s="21">
        <f ca="1">_xll.IMDP("BND",B296,K8,B3)</f>
        <v>20350206</v>
      </c>
      <c r="L296" s="23">
        <f ca="1">_xll.IMDP("BND",B296,L8,B3)</f>
        <v>4.306</v>
      </c>
      <c r="M296" s="2"/>
      <c r="W296" s="21" t="str">
        <f ca="1">_xll.IMDP("BND",N296,W8,N3)</f>
        <v>입력오류</v>
      </c>
      <c r="X296" s="23" t="str">
        <f ca="1">_xll.IMDP("BND",N296,X8,N3)</f>
        <v>입력오류</v>
      </c>
      <c r="Y296" s="2"/>
      <c r="AI296" s="21" t="str">
        <f ca="1">_xll.IMDP("BND",Z296,AI8,Z3)</f>
        <v>입력오류</v>
      </c>
      <c r="AJ296" s="23" t="str">
        <f ca="1">_xll.IMDP("BND",Z296,AJ8,Z3)</f>
        <v>입력오류</v>
      </c>
      <c r="AK296" s="2"/>
      <c r="AU296" s="21" t="str">
        <f ca="1">_xll.IMDP("BND",AL296,AU8,AL3)</f>
        <v>입력오류</v>
      </c>
      <c r="AV296" s="23" t="str">
        <f ca="1">_xll.IMDP("BND",AL296,AV8,AL3)</f>
        <v>입력오류</v>
      </c>
      <c r="AW296" s="2"/>
      <c r="BG296" s="21" t="str">
        <f ca="1">_xll.IMDP("BND",AX296,BG8,AX3)</f>
        <v>입력오류</v>
      </c>
      <c r="BH296" s="23" t="str">
        <f ca="1">_xll.IMDP("BND",AX296,BH8,AX3)</f>
        <v>입력오류</v>
      </c>
      <c r="BI296" s="2"/>
      <c r="BS296" s="21" t="str">
        <f ca="1">_xll.IMDP("BND",BJ296,BS8,BJ3)</f>
        <v>입력오류</v>
      </c>
      <c r="BT296" s="23" t="str">
        <f ca="1">_xll.IMDP("BND",BJ296,BT8,BJ3)</f>
        <v>입력오류</v>
      </c>
      <c r="BU296" s="2"/>
      <c r="CE296" s="21" t="str">
        <f ca="1">_xll.IMDP("BND",BV296,CE8,BV3)</f>
        <v>입력오류</v>
      </c>
      <c r="CF296" s="23" t="str">
        <f ca="1">_xll.IMDP("BND",BV296,CF8,BV3)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">
        <v>46198</v>
      </c>
      <c r="CT296" s="3" t="s">
        <v>727</v>
      </c>
      <c r="CU296" s="3" t="s">
        <v>29</v>
      </c>
      <c r="CV296" s="3" t="s">
        <v>2695</v>
      </c>
      <c r="CW296" s="3">
        <v>0</v>
      </c>
      <c r="CX296" s="3">
        <v>0.01</v>
      </c>
      <c r="CY296" s="3">
        <v>0</v>
      </c>
      <c r="CZ296" s="3">
        <v>20700</v>
      </c>
      <c r="DA296" s="3">
        <v>7682.91</v>
      </c>
      <c r="DB296" s="3">
        <v>15.3127</v>
      </c>
      <c r="DC296" s="21">
        <f ca="1">_xll.IMDP("BND",CT296,DC8,CT3)</f>
        <v>20480310</v>
      </c>
      <c r="DD296" s="23">
        <f ca="1">_xll.IMDP("BND",CT296,DD8,CT3)</f>
        <v>4.3369999999999997</v>
      </c>
      <c r="DE296" s="2"/>
      <c r="DO296" s="21" t="str">
        <f ca="1">_xll.IMDP("BND",DF296,DO8,DF3)</f>
        <v>입력오류</v>
      </c>
      <c r="DP296" s="23" t="str">
        <f ca="1">_xll.IMDP("BND",DF296,DP8,DF3)</f>
        <v>입력오류</v>
      </c>
      <c r="DQ296" s="2"/>
      <c r="EA296" s="21" t="str">
        <f ca="1">_xll.IMDP("BND",DR296,EA8,DR3)</f>
        <v>입력오류</v>
      </c>
      <c r="EB296" s="23" t="str">
        <f ca="1">_xll.IMDP("BND",DR296,EB8,DR3)</f>
        <v>입력오류</v>
      </c>
    </row>
    <row r="297" spans="1:132" ht="13.5" customHeight="1" x14ac:dyDescent="0.3">
      <c r="A297" s="2">
        <v>46198</v>
      </c>
      <c r="B297" s="3" t="s">
        <v>2136</v>
      </c>
      <c r="C297" s="3" t="s">
        <v>2137</v>
      </c>
      <c r="D297" s="3" t="s">
        <v>2138</v>
      </c>
      <c r="E297" s="3">
        <v>0</v>
      </c>
      <c r="F297" s="3">
        <v>0.1</v>
      </c>
      <c r="G297" s="3">
        <v>0</v>
      </c>
      <c r="H297" s="3">
        <v>115057</v>
      </c>
      <c r="I297" s="3">
        <v>9628.51</v>
      </c>
      <c r="J297" s="3">
        <v>3.4245000000000001</v>
      </c>
      <c r="K297" s="21">
        <f ca="1">_xll.IMDP("BND",B297,K8,B3)</f>
        <v>20300221</v>
      </c>
      <c r="L297" s="23">
        <f ca="1">_xll.IMDP("BND",B297,L8,B3)</f>
        <v>4.2389999999999999</v>
      </c>
      <c r="M297" s="2"/>
      <c r="W297" s="21" t="str">
        <f ca="1">_xll.IMDP("BND",N297,W8,N3)</f>
        <v>입력오류</v>
      </c>
      <c r="X297" s="23" t="str">
        <f ca="1">_xll.IMDP("BND",N297,X8,N3)</f>
        <v>입력오류</v>
      </c>
      <c r="Y297" s="2"/>
      <c r="AI297" s="21" t="str">
        <f ca="1">_xll.IMDP("BND",Z297,AI8,Z3)</f>
        <v>입력오류</v>
      </c>
      <c r="AJ297" s="23" t="str">
        <f ca="1">_xll.IMDP("BND",Z297,AJ8,Z3)</f>
        <v>입력오류</v>
      </c>
      <c r="AK297" s="2"/>
      <c r="AU297" s="21" t="str">
        <f ca="1">_xll.IMDP("BND",AL297,AU8,AL3)</f>
        <v>입력오류</v>
      </c>
      <c r="AV297" s="23" t="str">
        <f ca="1">_xll.IMDP("BND",AL297,AV8,AL3)</f>
        <v>입력오류</v>
      </c>
      <c r="AW297" s="2"/>
      <c r="BG297" s="21" t="str">
        <f ca="1">_xll.IMDP("BND",AX297,BG8,AX3)</f>
        <v>입력오류</v>
      </c>
      <c r="BH297" s="23" t="str">
        <f ca="1">_xll.IMDP("BND",AX297,BH8,AX3)</f>
        <v>입력오류</v>
      </c>
      <c r="BI297" s="2"/>
      <c r="BS297" s="21" t="str">
        <f ca="1">_xll.IMDP("BND",BJ297,BS8,BJ3)</f>
        <v>입력오류</v>
      </c>
      <c r="BT297" s="23" t="str">
        <f ca="1">_xll.IMDP("BND",BJ297,BT8,BJ3)</f>
        <v>입력오류</v>
      </c>
      <c r="BU297" s="2"/>
      <c r="CE297" s="21" t="str">
        <f ca="1">_xll.IMDP("BND",BV297,CE8,BV3)</f>
        <v>입력오류</v>
      </c>
      <c r="CF297" s="23" t="str">
        <f ca="1">_xll.IMDP("BND",BV297,CF8,BV3)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">
        <v>46198</v>
      </c>
      <c r="CT297" s="3" t="s">
        <v>2696</v>
      </c>
      <c r="CU297" s="3" t="s">
        <v>518</v>
      </c>
      <c r="CV297" s="3" t="s">
        <v>2697</v>
      </c>
      <c r="CW297" s="3">
        <v>0</v>
      </c>
      <c r="CX297" s="3">
        <v>0.01</v>
      </c>
      <c r="CY297" s="3">
        <v>0</v>
      </c>
      <c r="CZ297" s="3">
        <v>18747</v>
      </c>
      <c r="DA297" s="3">
        <v>10036.42</v>
      </c>
      <c r="DB297" s="3">
        <v>6.0334000000000003</v>
      </c>
      <c r="DC297" s="21">
        <f ca="1">_xll.IMDP("BND",CT297,DC8,CT3)</f>
        <v>20330817</v>
      </c>
      <c r="DD297" s="23">
        <f ca="1">_xll.IMDP("BND",CT297,DD8,CT3)</f>
        <v>4.3250000000000002</v>
      </c>
      <c r="DE297" s="2"/>
      <c r="DO297" s="21" t="str">
        <f ca="1">_xll.IMDP("BND",DF297,DO8,DF3)</f>
        <v>입력오류</v>
      </c>
      <c r="DP297" s="23" t="str">
        <f ca="1">_xll.IMDP("BND",DF297,DP8,DF3)</f>
        <v>입력오류</v>
      </c>
      <c r="DQ297" s="2"/>
      <c r="EA297" s="21" t="str">
        <f ca="1">_xll.IMDP("BND",DR297,EA8,DR3)</f>
        <v>입력오류</v>
      </c>
      <c r="EB297" s="23" t="str">
        <f ca="1">_xll.IMDP("BND",DR297,EB8,DR3)</f>
        <v>입력오류</v>
      </c>
    </row>
    <row r="298" spans="1:132" ht="13.5" customHeight="1" x14ac:dyDescent="0.3">
      <c r="A298" s="2">
        <v>46198</v>
      </c>
      <c r="B298" s="3" t="s">
        <v>2142</v>
      </c>
      <c r="C298" s="3" t="s">
        <v>793</v>
      </c>
      <c r="D298" s="3" t="s">
        <v>2143</v>
      </c>
      <c r="E298" s="3">
        <v>0</v>
      </c>
      <c r="F298" s="3">
        <v>0.1</v>
      </c>
      <c r="G298" s="3">
        <v>0</v>
      </c>
      <c r="H298" s="3">
        <v>109373</v>
      </c>
      <c r="I298" s="3">
        <v>10297.61</v>
      </c>
      <c r="J298" s="3">
        <v>6.1321000000000003</v>
      </c>
      <c r="K298" s="21">
        <f ca="1">_xll.IMDP("BND",B298,K8,B3)</f>
        <v>20331026</v>
      </c>
      <c r="L298" s="23">
        <f ca="1">_xll.IMDP("BND",B298,L8,B3)</f>
        <v>4.3209999999999997</v>
      </c>
      <c r="M298" s="2"/>
      <c r="W298" s="21" t="str">
        <f ca="1">_xll.IMDP("BND",N298,W8,N3)</f>
        <v>입력오류</v>
      </c>
      <c r="X298" s="23" t="str">
        <f ca="1">_xll.IMDP("BND",N298,X8,N3)</f>
        <v>입력오류</v>
      </c>
      <c r="Y298" s="2"/>
      <c r="AI298" s="21" t="str">
        <f ca="1">_xll.IMDP("BND",Z298,AI8,Z3)</f>
        <v>입력오류</v>
      </c>
      <c r="AJ298" s="23" t="str">
        <f ca="1">_xll.IMDP("BND",Z298,AJ8,Z3)</f>
        <v>입력오류</v>
      </c>
      <c r="AK298" s="2"/>
      <c r="AU298" s="21" t="str">
        <f ca="1">_xll.IMDP("BND",AL298,AU8,AL3)</f>
        <v>입력오류</v>
      </c>
      <c r="AV298" s="23" t="str">
        <f ca="1">_xll.IMDP("BND",AL298,AV8,AL3)</f>
        <v>입력오류</v>
      </c>
      <c r="AW298" s="2"/>
      <c r="BG298" s="21" t="str">
        <f ca="1">_xll.IMDP("BND",AX298,BG8,AX3)</f>
        <v>입력오류</v>
      </c>
      <c r="BH298" s="23" t="str">
        <f ca="1">_xll.IMDP("BND",AX298,BH8,AX3)</f>
        <v>입력오류</v>
      </c>
      <c r="BI298" s="2"/>
      <c r="BS298" s="21" t="str">
        <f ca="1">_xll.IMDP("BND",BJ298,BS8,BJ3)</f>
        <v>입력오류</v>
      </c>
      <c r="BT298" s="23" t="str">
        <f ca="1">_xll.IMDP("BND",BJ298,BT8,BJ3)</f>
        <v>입력오류</v>
      </c>
      <c r="BU298" s="2"/>
      <c r="CE298" s="21" t="str">
        <f ca="1">_xll.IMDP("BND",BV298,CE8,BV3)</f>
        <v>입력오류</v>
      </c>
      <c r="CF298" s="23" t="str">
        <f ca="1">_xll.IMDP("BND",BV298,CF8,BV3)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">
        <v>46198</v>
      </c>
      <c r="CT298" s="3" t="s">
        <v>1602</v>
      </c>
      <c r="CU298" s="3" t="s">
        <v>1603</v>
      </c>
      <c r="CV298" s="3" t="s">
        <v>2698</v>
      </c>
      <c r="CW298" s="3">
        <v>0</v>
      </c>
      <c r="CX298" s="3">
        <v>0.01</v>
      </c>
      <c r="CY298" s="3">
        <v>0</v>
      </c>
      <c r="CZ298" s="3">
        <v>18621</v>
      </c>
      <c r="DA298" s="3">
        <v>9969.4500000000007</v>
      </c>
      <c r="DB298" s="3">
        <v>0.24160000000000001</v>
      </c>
      <c r="DC298" s="21">
        <f ca="1">_xll.IMDP("BND",CT298,DC8,CT3)</f>
        <v>20260922</v>
      </c>
      <c r="DD298" s="23">
        <f ca="1">_xll.IMDP("BND",CT298,DD8,CT3)</f>
        <v>2.9670000000000001</v>
      </c>
      <c r="DE298" s="2"/>
      <c r="DO298" s="21" t="str">
        <f ca="1">_xll.IMDP("BND",DF298,DO8,DF3)</f>
        <v>입력오류</v>
      </c>
      <c r="DP298" s="23" t="str">
        <f ca="1">_xll.IMDP("BND",DF298,DP8,DF3)</f>
        <v>입력오류</v>
      </c>
      <c r="DQ298" s="2"/>
      <c r="EA298" s="21" t="str">
        <f ca="1">_xll.IMDP("BND",DR298,EA8,DR3)</f>
        <v>입력오류</v>
      </c>
      <c r="EB298" s="23" t="str">
        <f ca="1">_xll.IMDP("BND",DR298,EB8,DR3)</f>
        <v>입력오류</v>
      </c>
    </row>
    <row r="299" spans="1:132" ht="13.5" customHeight="1" x14ac:dyDescent="0.3">
      <c r="A299" s="2">
        <v>46198</v>
      </c>
      <c r="B299" s="3" t="s">
        <v>1577</v>
      </c>
      <c r="C299" s="3" t="s">
        <v>29</v>
      </c>
      <c r="D299" s="3" t="s">
        <v>1578</v>
      </c>
      <c r="E299" s="3">
        <v>0</v>
      </c>
      <c r="F299" s="3">
        <v>0.1</v>
      </c>
      <c r="G299" s="3">
        <v>0</v>
      </c>
      <c r="H299" s="3">
        <v>108202</v>
      </c>
      <c r="I299" s="3">
        <v>9938.74</v>
      </c>
      <c r="J299" s="3">
        <v>0.4536</v>
      </c>
      <c r="K299" s="21">
        <f ca="1">_xll.IMDP("BND",B299,K8,B3)</f>
        <v>20261210</v>
      </c>
      <c r="L299" s="23">
        <f ca="1">_xll.IMDP("BND",B299,L8,B3)</f>
        <v>2.9860000000000002</v>
      </c>
      <c r="M299" s="2"/>
      <c r="W299" s="21" t="str">
        <f ca="1">_xll.IMDP("BND",N299,W8,N3)</f>
        <v>입력오류</v>
      </c>
      <c r="X299" s="23" t="str">
        <f ca="1">_xll.IMDP("BND",N299,X8,N3)</f>
        <v>입력오류</v>
      </c>
      <c r="Y299" s="2"/>
      <c r="AI299" s="21" t="str">
        <f ca="1">_xll.IMDP("BND",Z299,AI8,Z3)</f>
        <v>입력오류</v>
      </c>
      <c r="AJ299" s="23" t="str">
        <f ca="1">_xll.IMDP("BND",Z299,AJ8,Z3)</f>
        <v>입력오류</v>
      </c>
      <c r="AK299" s="2"/>
      <c r="AU299" s="21" t="str">
        <f ca="1">_xll.IMDP("BND",AL299,AU8,AL3)</f>
        <v>입력오류</v>
      </c>
      <c r="AV299" s="23" t="str">
        <f ca="1">_xll.IMDP("BND",AL299,AV8,AL3)</f>
        <v>입력오류</v>
      </c>
      <c r="AW299" s="2"/>
      <c r="BG299" s="21" t="str">
        <f ca="1">_xll.IMDP("BND",AX299,BG8,AX3)</f>
        <v>입력오류</v>
      </c>
      <c r="BH299" s="23" t="str">
        <f ca="1">_xll.IMDP("BND",AX299,BH8,AX3)</f>
        <v>입력오류</v>
      </c>
      <c r="BI299" s="2"/>
      <c r="BS299" s="21" t="str">
        <f ca="1">_xll.IMDP("BND",BJ299,BS8,BJ3)</f>
        <v>입력오류</v>
      </c>
      <c r="BT299" s="23" t="str">
        <f ca="1">_xll.IMDP("BND",BJ299,BT8,BJ3)</f>
        <v>입력오류</v>
      </c>
      <c r="BU299" s="2"/>
      <c r="CE299" s="21" t="str">
        <f ca="1">_xll.IMDP("BND",BV299,CE8,BV3)</f>
        <v>입력오류</v>
      </c>
      <c r="CF299" s="23" t="str">
        <f ca="1">_xll.IMDP("BND",BV299,CF8,BV3)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">
        <v>46198</v>
      </c>
      <c r="CT299" s="3" t="s">
        <v>1713</v>
      </c>
      <c r="CU299" s="3" t="s">
        <v>1714</v>
      </c>
      <c r="CV299" s="3" t="s">
        <v>1715</v>
      </c>
      <c r="CW299" s="3">
        <v>0</v>
      </c>
      <c r="CX299" s="3">
        <v>0.01</v>
      </c>
      <c r="CY299" s="3">
        <v>0</v>
      </c>
      <c r="CZ299" s="3">
        <v>15438</v>
      </c>
      <c r="DA299" s="3">
        <v>9446.1299999999992</v>
      </c>
      <c r="DB299" s="3">
        <v>5.8578999999999999</v>
      </c>
      <c r="DC299" s="21">
        <f ca="1">_xll.IMDP("BND",CT299,DC8,CT3)</f>
        <v>20330117</v>
      </c>
      <c r="DD299" s="23">
        <f ca="1">_xll.IMDP("BND",CT299,DD8,CT3)</f>
        <v>4.3029999999999999</v>
      </c>
      <c r="DE299" s="2"/>
      <c r="DO299" s="21" t="str">
        <f ca="1">_xll.IMDP("BND",DF299,DO8,DF3)</f>
        <v>입력오류</v>
      </c>
      <c r="DP299" s="23" t="str">
        <f ca="1">_xll.IMDP("BND",DF299,DP8,DF3)</f>
        <v>입력오류</v>
      </c>
      <c r="DQ299" s="2"/>
      <c r="EA299" s="21" t="str">
        <f ca="1">_xll.IMDP("BND",DR299,EA8,DR3)</f>
        <v>입력오류</v>
      </c>
      <c r="EB299" s="23" t="str">
        <f ca="1">_xll.IMDP("BND",DR299,EB8,DR3)</f>
        <v>입력오류</v>
      </c>
    </row>
    <row r="300" spans="1:132" ht="13.5" customHeight="1" x14ac:dyDescent="0.3">
      <c r="A300" s="2">
        <v>46198</v>
      </c>
      <c r="B300" s="3" t="s">
        <v>2144</v>
      </c>
      <c r="C300" s="3" t="s">
        <v>56</v>
      </c>
      <c r="D300" s="3" t="s">
        <v>2145</v>
      </c>
      <c r="E300" s="3">
        <v>0</v>
      </c>
      <c r="F300" s="3">
        <v>0.1</v>
      </c>
      <c r="G300" s="3">
        <v>0</v>
      </c>
      <c r="H300" s="3">
        <v>107118</v>
      </c>
      <c r="I300" s="3">
        <v>10085.15</v>
      </c>
      <c r="J300" s="3">
        <v>0.20780000000000001</v>
      </c>
      <c r="K300" s="21">
        <f ca="1">_xll.IMDP("BND",B300,K8,B3)</f>
        <v>20260910</v>
      </c>
      <c r="L300" s="23">
        <f ca="1">_xll.IMDP("BND",B300,L8,B3)</f>
        <v>2.7759999999999998</v>
      </c>
      <c r="M300" s="2"/>
      <c r="W300" s="21" t="str">
        <f ca="1">_xll.IMDP("BND",N300,W8,N3)</f>
        <v>입력오류</v>
      </c>
      <c r="X300" s="23" t="str">
        <f ca="1">_xll.IMDP("BND",N300,X8,N3)</f>
        <v>입력오류</v>
      </c>
      <c r="Y300" s="2"/>
      <c r="AI300" s="21" t="str">
        <f ca="1">_xll.IMDP("BND",Z300,AI8,Z3)</f>
        <v>입력오류</v>
      </c>
      <c r="AJ300" s="23" t="str">
        <f ca="1">_xll.IMDP("BND",Z300,AJ8,Z3)</f>
        <v>입력오류</v>
      </c>
      <c r="AK300" s="2"/>
      <c r="AU300" s="21" t="str">
        <f ca="1">_xll.IMDP("BND",AL300,AU8,AL3)</f>
        <v>입력오류</v>
      </c>
      <c r="AV300" s="23" t="str">
        <f ca="1">_xll.IMDP("BND",AL300,AV8,AL3)</f>
        <v>입력오류</v>
      </c>
      <c r="AW300" s="2"/>
      <c r="BG300" s="21" t="str">
        <f ca="1">_xll.IMDP("BND",AX300,BG8,AX3)</f>
        <v>입력오류</v>
      </c>
      <c r="BH300" s="23" t="str">
        <f ca="1">_xll.IMDP("BND",AX300,BH8,AX3)</f>
        <v>입력오류</v>
      </c>
      <c r="BI300" s="2"/>
      <c r="BS300" s="21" t="str">
        <f ca="1">_xll.IMDP("BND",BJ300,BS8,BJ3)</f>
        <v>입력오류</v>
      </c>
      <c r="BT300" s="23" t="str">
        <f ca="1">_xll.IMDP("BND",BJ300,BT8,BJ3)</f>
        <v>입력오류</v>
      </c>
      <c r="BU300" s="2"/>
      <c r="CE300" s="21" t="str">
        <f ca="1">_xll.IMDP("BND",BV300,CE8,BV3)</f>
        <v>입력오류</v>
      </c>
      <c r="CF300" s="23" t="str">
        <f ca="1">_xll.IMDP("BND",BV300,CF8,BV3)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">
        <v>46198</v>
      </c>
      <c r="CT300" s="3" t="s">
        <v>748</v>
      </c>
      <c r="CU300" s="3" t="s">
        <v>29</v>
      </c>
      <c r="CV300" s="3" t="s">
        <v>2699</v>
      </c>
      <c r="CW300" s="3">
        <v>0</v>
      </c>
      <c r="CX300" s="3">
        <v>0.01</v>
      </c>
      <c r="CY300" s="3">
        <v>0</v>
      </c>
      <c r="CZ300" s="3">
        <v>14978</v>
      </c>
      <c r="DA300" s="3">
        <v>7823.32</v>
      </c>
      <c r="DB300" s="3">
        <v>9.1420999999999992</v>
      </c>
      <c r="DC300" s="21">
        <f ca="1">_xll.IMDP("BND",CT300,DC8,CT3)</f>
        <v>20360910</v>
      </c>
      <c r="DD300" s="23">
        <f ca="1">_xll.IMDP("BND",CT300,DD8,CT3)</f>
        <v>4.1950000000000003</v>
      </c>
      <c r="DE300" s="2"/>
      <c r="DO300" s="21" t="str">
        <f ca="1">_xll.IMDP("BND",DF300,DO8,DF3)</f>
        <v>입력오류</v>
      </c>
      <c r="DP300" s="23" t="str">
        <f ca="1">_xll.IMDP("BND",DF300,DP8,DF3)</f>
        <v>입력오류</v>
      </c>
      <c r="DQ300" s="2"/>
      <c r="EA300" s="21" t="str">
        <f ca="1">_xll.IMDP("BND",DR300,EA8,DR3)</f>
        <v>입력오류</v>
      </c>
      <c r="EB300" s="23" t="str">
        <f ca="1">_xll.IMDP("BND",DR300,EB8,DR3)</f>
        <v>입력오류</v>
      </c>
    </row>
    <row r="301" spans="1:132" ht="13.5" customHeight="1" x14ac:dyDescent="0.3">
      <c r="A301" s="2">
        <v>46198</v>
      </c>
      <c r="B301" s="3" t="s">
        <v>2146</v>
      </c>
      <c r="C301" s="3" t="s">
        <v>1274</v>
      </c>
      <c r="D301" s="3" t="s">
        <v>2147</v>
      </c>
      <c r="E301" s="3">
        <v>0</v>
      </c>
      <c r="F301" s="3">
        <v>0.1</v>
      </c>
      <c r="G301" s="3">
        <v>0</v>
      </c>
      <c r="H301" s="3">
        <v>106943</v>
      </c>
      <c r="I301" s="3">
        <v>10069.31</v>
      </c>
      <c r="J301" s="3">
        <v>0.74480000000000002</v>
      </c>
      <c r="K301" s="21">
        <f ca="1">_xll.IMDP("BND",B301,K8,B3)</f>
        <v>20270331</v>
      </c>
      <c r="L301" s="23">
        <f ca="1">_xll.IMDP("BND",B301,L8,B3)</f>
        <v>3.72</v>
      </c>
      <c r="M301" s="2"/>
      <c r="W301" s="21" t="str">
        <f ca="1">_xll.IMDP("BND",N301,W8,N3)</f>
        <v>입력오류</v>
      </c>
      <c r="X301" s="23" t="str">
        <f ca="1">_xll.IMDP("BND",N301,X8,N3)</f>
        <v>입력오류</v>
      </c>
      <c r="Y301" s="2"/>
      <c r="AI301" s="21" t="str">
        <f ca="1">_xll.IMDP("BND",Z301,AI8,Z3)</f>
        <v>입력오류</v>
      </c>
      <c r="AJ301" s="23" t="str">
        <f ca="1">_xll.IMDP("BND",Z301,AJ8,Z3)</f>
        <v>입력오류</v>
      </c>
      <c r="AK301" s="2"/>
      <c r="AU301" s="21" t="str">
        <f ca="1">_xll.IMDP("BND",AL301,AU8,AL3)</f>
        <v>입력오류</v>
      </c>
      <c r="AV301" s="23" t="str">
        <f ca="1">_xll.IMDP("BND",AL301,AV8,AL3)</f>
        <v>입력오류</v>
      </c>
      <c r="AW301" s="2"/>
      <c r="BG301" s="21" t="str">
        <f ca="1">_xll.IMDP("BND",AX301,BG8,AX3)</f>
        <v>입력오류</v>
      </c>
      <c r="BH301" s="23" t="str">
        <f ca="1">_xll.IMDP("BND",AX301,BH8,AX3)</f>
        <v>입력오류</v>
      </c>
      <c r="BI301" s="2"/>
      <c r="BS301" s="21" t="str">
        <f ca="1">_xll.IMDP("BND",BJ301,BS8,BJ3)</f>
        <v>입력오류</v>
      </c>
      <c r="BT301" s="23" t="str">
        <f ca="1">_xll.IMDP("BND",BJ301,BT8,BJ3)</f>
        <v>입력오류</v>
      </c>
      <c r="BU301" s="2"/>
      <c r="CE301" s="21" t="str">
        <f ca="1">_xll.IMDP("BND",BV301,CE8,BV3)</f>
        <v>입력오류</v>
      </c>
      <c r="CF301" s="23" t="str">
        <f ca="1">_xll.IMDP("BND",BV301,CF8,BV3)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">
        <v>46198</v>
      </c>
      <c r="CT301" s="3" t="s">
        <v>42</v>
      </c>
      <c r="CU301" s="3" t="s">
        <v>29</v>
      </c>
      <c r="CV301" s="3" t="s">
        <v>2700</v>
      </c>
      <c r="CW301" s="3">
        <v>0</v>
      </c>
      <c r="CX301" s="3">
        <v>0.01</v>
      </c>
      <c r="CY301" s="3">
        <v>0</v>
      </c>
      <c r="CZ301" s="3">
        <v>14887</v>
      </c>
      <c r="DA301" s="3">
        <v>9488.39</v>
      </c>
      <c r="DB301" s="3">
        <v>6.1288999999999998</v>
      </c>
      <c r="DC301" s="21">
        <f ca="1">_xll.IMDP("BND",CT301,DC8,CT3)</f>
        <v>20330610</v>
      </c>
      <c r="DD301" s="23">
        <f ca="1">_xll.IMDP("BND",CT301,DD8,CT3)</f>
        <v>4.125</v>
      </c>
      <c r="DE301" s="2"/>
      <c r="DO301" s="21" t="str">
        <f ca="1">_xll.IMDP("BND",DF301,DO8,DF3)</f>
        <v>입력오류</v>
      </c>
      <c r="DP301" s="23" t="str">
        <f ca="1">_xll.IMDP("BND",DF301,DP8,DF3)</f>
        <v>입력오류</v>
      </c>
      <c r="DQ301" s="2"/>
      <c r="EA301" s="21" t="str">
        <f ca="1">_xll.IMDP("BND",DR301,EA8,DR3)</f>
        <v>입력오류</v>
      </c>
      <c r="EB301" s="23" t="str">
        <f ca="1">_xll.IMDP("BND",DR301,EB8,DR3)</f>
        <v>입력오류</v>
      </c>
    </row>
    <row r="302" spans="1:132" ht="13.5" customHeight="1" x14ac:dyDescent="0.3">
      <c r="A302" s="2">
        <v>46198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106346</v>
      </c>
      <c r="I302" s="3">
        <v>7127.31</v>
      </c>
      <c r="J302" s="3">
        <v>12.185600000000001</v>
      </c>
      <c r="K302" s="21">
        <f ca="1">_xll.IMDP("BND",B302,K8,B3)</f>
        <v>20400910</v>
      </c>
      <c r="L302" s="23">
        <f ca="1">_xll.IMDP("BND",B302,L8,B3)</f>
        <v>4.2549999999999999</v>
      </c>
      <c r="M302" s="2"/>
      <c r="W302" s="21" t="str">
        <f ca="1">_xll.IMDP("BND",N302,W8,N3)</f>
        <v>입력오류</v>
      </c>
      <c r="X302" s="23" t="str">
        <f ca="1">_xll.IMDP("BND",N302,X8,N3)</f>
        <v>입력오류</v>
      </c>
      <c r="Y302" s="2"/>
      <c r="AI302" s="21" t="str">
        <f ca="1">_xll.IMDP("BND",Z302,AI8,Z3)</f>
        <v>입력오류</v>
      </c>
      <c r="AJ302" s="23" t="str">
        <f ca="1">_xll.IMDP("BND",Z302,AJ8,Z3)</f>
        <v>입력오류</v>
      </c>
      <c r="AK302" s="2"/>
      <c r="AU302" s="21" t="str">
        <f ca="1">_xll.IMDP("BND",AL302,AU8,AL3)</f>
        <v>입력오류</v>
      </c>
      <c r="AV302" s="23" t="str">
        <f ca="1">_xll.IMDP("BND",AL302,AV8,AL3)</f>
        <v>입력오류</v>
      </c>
      <c r="AW302" s="2"/>
      <c r="BG302" s="21" t="str">
        <f ca="1">_xll.IMDP("BND",AX302,BG8,AX3)</f>
        <v>입력오류</v>
      </c>
      <c r="BH302" s="23" t="str">
        <f ca="1">_xll.IMDP("BND",AX302,BH8,AX3)</f>
        <v>입력오류</v>
      </c>
      <c r="BI302" s="2"/>
      <c r="BS302" s="21" t="str">
        <f ca="1">_xll.IMDP("BND",BJ302,BS8,BJ3)</f>
        <v>입력오류</v>
      </c>
      <c r="BT302" s="23" t="str">
        <f ca="1">_xll.IMDP("BND",BJ302,BT8,BJ3)</f>
        <v>입력오류</v>
      </c>
      <c r="BU302" s="2"/>
      <c r="CE302" s="21" t="str">
        <f ca="1">_xll.IMDP("BND",BV302,CE8,BV3)</f>
        <v>입력오류</v>
      </c>
      <c r="CF302" s="23" t="str">
        <f ca="1">_xll.IMDP("BND",BV302,CF8,BV3)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">
        <v>46198</v>
      </c>
      <c r="CT302" s="3" t="s">
        <v>2267</v>
      </c>
      <c r="CU302" s="3" t="s">
        <v>29</v>
      </c>
      <c r="CV302" s="3" t="s">
        <v>2701</v>
      </c>
      <c r="CW302" s="3">
        <v>0</v>
      </c>
      <c r="CX302" s="3">
        <v>0.01</v>
      </c>
      <c r="CY302" s="3">
        <v>0</v>
      </c>
      <c r="CZ302" s="3">
        <v>12051</v>
      </c>
      <c r="DA302" s="3">
        <v>9849.94</v>
      </c>
      <c r="DB302" s="3">
        <v>1.4177999999999999</v>
      </c>
      <c r="DC302" s="21">
        <f ca="1">_xll.IMDP("BND",CT302,DC8,CT3)</f>
        <v>20271210</v>
      </c>
      <c r="DD302" s="23">
        <f ca="1">_xll.IMDP("BND",CT302,DD8,CT3)</f>
        <v>3.5059999999999998</v>
      </c>
      <c r="DE302" s="2"/>
      <c r="DO302" s="21" t="str">
        <f ca="1">_xll.IMDP("BND",DF302,DO8,DF3)</f>
        <v>입력오류</v>
      </c>
      <c r="DP302" s="23" t="str">
        <f ca="1">_xll.IMDP("BND",DF302,DP8,DF3)</f>
        <v>입력오류</v>
      </c>
      <c r="DQ302" s="2"/>
      <c r="EA302" s="21" t="str">
        <f ca="1">_xll.IMDP("BND",DR302,EA8,DR3)</f>
        <v>입력오류</v>
      </c>
      <c r="EB302" s="23" t="str">
        <f ca="1">_xll.IMDP("BND",DR302,EB8,DR3)</f>
        <v>입력오류</v>
      </c>
    </row>
    <row r="303" spans="1:132" ht="13.5" customHeight="1" x14ac:dyDescent="0.3">
      <c r="A303" s="2">
        <v>46198</v>
      </c>
      <c r="B303" s="3" t="s">
        <v>2148</v>
      </c>
      <c r="C303" s="3" t="s">
        <v>1537</v>
      </c>
      <c r="D303" s="3" t="s">
        <v>2149</v>
      </c>
      <c r="E303" s="3">
        <v>0</v>
      </c>
      <c r="F303" s="3">
        <v>0.1</v>
      </c>
      <c r="G303" s="3">
        <v>0</v>
      </c>
      <c r="H303" s="3">
        <v>105899</v>
      </c>
      <c r="I303" s="3">
        <v>9970.0400000000009</v>
      </c>
      <c r="J303" s="3">
        <v>1.3005</v>
      </c>
      <c r="K303" s="21">
        <f ca="1">_xll.IMDP("BND",B303,K8,B3)</f>
        <v>20271029</v>
      </c>
      <c r="L303" s="23">
        <f ca="1">_xll.IMDP("BND",B303,L8,B3)</f>
        <v>4.0250000000000004</v>
      </c>
      <c r="M303" s="2"/>
      <c r="W303" s="21" t="str">
        <f ca="1">_xll.IMDP("BND",N303,W8,N3)</f>
        <v>입력오류</v>
      </c>
      <c r="X303" s="23" t="str">
        <f ca="1">_xll.IMDP("BND",N303,X8,N3)</f>
        <v>입력오류</v>
      </c>
      <c r="Y303" s="2"/>
      <c r="AI303" s="21" t="str">
        <f ca="1">_xll.IMDP("BND",Z303,AI8,Z3)</f>
        <v>입력오류</v>
      </c>
      <c r="AJ303" s="23" t="str">
        <f ca="1">_xll.IMDP("BND",Z303,AJ8,Z3)</f>
        <v>입력오류</v>
      </c>
      <c r="AK303" s="2"/>
      <c r="AU303" s="21" t="str">
        <f ca="1">_xll.IMDP("BND",AL303,AU8,AL3)</f>
        <v>입력오류</v>
      </c>
      <c r="AV303" s="23" t="str">
        <f ca="1">_xll.IMDP("BND",AL303,AV8,AL3)</f>
        <v>입력오류</v>
      </c>
      <c r="AW303" s="2"/>
      <c r="BG303" s="21" t="str">
        <f ca="1">_xll.IMDP("BND",AX303,BG8,AX3)</f>
        <v>입력오류</v>
      </c>
      <c r="BH303" s="23" t="str">
        <f ca="1">_xll.IMDP("BND",AX303,BH8,AX3)</f>
        <v>입력오류</v>
      </c>
      <c r="BI303" s="2"/>
      <c r="BS303" s="21" t="str">
        <f ca="1">_xll.IMDP("BND",BJ303,BS8,BJ3)</f>
        <v>입력오류</v>
      </c>
      <c r="BT303" s="23" t="str">
        <f ca="1">_xll.IMDP("BND",BJ303,BT8,BJ3)</f>
        <v>입력오류</v>
      </c>
      <c r="BU303" s="2"/>
      <c r="CE303" s="21" t="str">
        <f ca="1">_xll.IMDP("BND",BV303,CE8,BV3)</f>
        <v>입력오류</v>
      </c>
      <c r="CF303" s="23" t="str">
        <f ca="1">_xll.IMDP("BND",BV303,CF8,BV3)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">
        <v>46198</v>
      </c>
      <c r="CT303" s="3" t="s">
        <v>2702</v>
      </c>
      <c r="CU303" s="3" t="s">
        <v>2703</v>
      </c>
      <c r="CV303" s="3" t="s">
        <v>2704</v>
      </c>
      <c r="CW303" s="3">
        <v>0</v>
      </c>
      <c r="CX303" s="3">
        <v>0.01</v>
      </c>
      <c r="CY303" s="3">
        <v>0</v>
      </c>
      <c r="CZ303" s="3">
        <v>9950</v>
      </c>
      <c r="DA303" s="3">
        <v>9687.9599999999991</v>
      </c>
      <c r="DB303" s="3">
        <v>5.3869999999999996</v>
      </c>
      <c r="DC303" s="21">
        <f ca="1">_xll.IMDP("BND",CT303,DC8,CT3)</f>
        <v>20320724</v>
      </c>
      <c r="DD303" s="23">
        <f ca="1">_xll.IMDP("BND",CT303,DD8,CT3)</f>
        <v>4.2789999999999999</v>
      </c>
      <c r="DE303" s="2"/>
      <c r="DO303" s="21" t="str">
        <f ca="1">_xll.IMDP("BND",DF303,DO8,DF3)</f>
        <v>입력오류</v>
      </c>
      <c r="DP303" s="23" t="str">
        <f ca="1">_xll.IMDP("BND",DF303,DP8,DF3)</f>
        <v>입력오류</v>
      </c>
      <c r="DQ303" s="2"/>
      <c r="EA303" s="21" t="str">
        <f ca="1">_xll.IMDP("BND",DR303,EA8,DR3)</f>
        <v>입력오류</v>
      </c>
      <c r="EB303" s="23" t="str">
        <f ca="1">_xll.IMDP("BND",DR303,EB8,DR3)</f>
        <v>입력오류</v>
      </c>
    </row>
    <row r="304" spans="1:132" ht="13.5" customHeight="1" x14ac:dyDescent="0.3">
      <c r="A304" s="2">
        <v>46198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0.1</v>
      </c>
      <c r="G304" s="3">
        <v>0</v>
      </c>
      <c r="H304" s="3">
        <v>105735</v>
      </c>
      <c r="I304" s="3">
        <v>9070.2099999999991</v>
      </c>
      <c r="J304" s="3">
        <v>3.7856999999999998</v>
      </c>
      <c r="K304" s="21">
        <f ca="1">_xll.IMDP("BND",B304,K8,B3)</f>
        <v>20300610</v>
      </c>
      <c r="L304" s="23">
        <f ca="1">_xll.IMDP("BND",B304,L8,B3)</f>
        <v>3.95</v>
      </c>
      <c r="M304" s="2"/>
      <c r="W304" s="21" t="str">
        <f ca="1">_xll.IMDP("BND",N304,W8,N3)</f>
        <v>입력오류</v>
      </c>
      <c r="X304" s="23" t="str">
        <f ca="1">_xll.IMDP("BND",N304,X8,N3)</f>
        <v>입력오류</v>
      </c>
      <c r="Y304" s="2"/>
      <c r="AI304" s="21" t="str">
        <f ca="1">_xll.IMDP("BND",Z304,AI8,Z3)</f>
        <v>입력오류</v>
      </c>
      <c r="AJ304" s="23" t="str">
        <f ca="1">_xll.IMDP("BND",Z304,AJ8,Z3)</f>
        <v>입력오류</v>
      </c>
      <c r="AK304" s="2"/>
      <c r="AU304" s="21" t="str">
        <f ca="1">_xll.IMDP("BND",AL304,AU8,AL3)</f>
        <v>입력오류</v>
      </c>
      <c r="AV304" s="23" t="str">
        <f ca="1">_xll.IMDP("BND",AL304,AV8,AL3)</f>
        <v>입력오류</v>
      </c>
      <c r="AW304" s="2"/>
      <c r="BG304" s="21" t="str">
        <f ca="1">_xll.IMDP("BND",AX304,BG8,AX3)</f>
        <v>입력오류</v>
      </c>
      <c r="BH304" s="23" t="str">
        <f ca="1">_xll.IMDP("BND",AX304,BH8,AX3)</f>
        <v>입력오류</v>
      </c>
      <c r="BI304" s="2"/>
      <c r="BS304" s="21" t="str">
        <f ca="1">_xll.IMDP("BND",BJ304,BS8,BJ3)</f>
        <v>입력오류</v>
      </c>
      <c r="BT304" s="23" t="str">
        <f ca="1">_xll.IMDP("BND",BJ304,BT8,BJ3)</f>
        <v>입력오류</v>
      </c>
      <c r="BU304" s="2"/>
      <c r="CE304" s="21" t="str">
        <f ca="1">_xll.IMDP("BND",BV304,CE8,BV3)</f>
        <v>입력오류</v>
      </c>
      <c r="CF304" s="23" t="str">
        <f ca="1">_xll.IMDP("BND",BV304,CF8,BV3)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">
        <v>46198</v>
      </c>
      <c r="CT304" s="3" t="s">
        <v>119</v>
      </c>
      <c r="CU304" s="3" t="s">
        <v>29</v>
      </c>
      <c r="CV304" s="3" t="s">
        <v>2705</v>
      </c>
      <c r="CW304" s="3">
        <v>0</v>
      </c>
      <c r="CX304" s="3">
        <v>0.01</v>
      </c>
      <c r="CY304" s="3">
        <v>0</v>
      </c>
      <c r="CZ304" s="3">
        <v>9578</v>
      </c>
      <c r="DA304" s="3">
        <v>7199.4</v>
      </c>
      <c r="DB304" s="3">
        <v>17.1205</v>
      </c>
      <c r="DC304" s="21">
        <f ca="1">_xll.IMDP("BND",CT304,DC8,CT3)</f>
        <v>20520310</v>
      </c>
      <c r="DD304" s="23">
        <f ca="1">_xll.IMDP("BND",CT304,DD8,CT3)</f>
        <v>4.3710000000000004</v>
      </c>
      <c r="DE304" s="2"/>
      <c r="DO304" s="21" t="str">
        <f ca="1">_xll.IMDP("BND",DF304,DO8,DF3)</f>
        <v>입력오류</v>
      </c>
      <c r="DP304" s="23" t="str">
        <f ca="1">_xll.IMDP("BND",DF304,DP8,DF3)</f>
        <v>입력오류</v>
      </c>
      <c r="DQ304" s="2"/>
      <c r="EA304" s="21" t="str">
        <f ca="1">_xll.IMDP("BND",DR304,EA8,DR3)</f>
        <v>입력오류</v>
      </c>
      <c r="EB304" s="23" t="str">
        <f ca="1">_xll.IMDP("BND",DR304,EB8,DR3)</f>
        <v>입력오류</v>
      </c>
    </row>
    <row r="305" spans="1:132" ht="13.5" customHeight="1" x14ac:dyDescent="0.3">
      <c r="A305" s="2">
        <v>46198</v>
      </c>
      <c r="B305" s="3" t="s">
        <v>2139</v>
      </c>
      <c r="C305" s="3" t="s">
        <v>2140</v>
      </c>
      <c r="D305" s="3" t="s">
        <v>2141</v>
      </c>
      <c r="E305" s="3">
        <v>0</v>
      </c>
      <c r="F305" s="3">
        <v>0.09</v>
      </c>
      <c r="G305" s="3">
        <v>0</v>
      </c>
      <c r="H305" s="3">
        <v>104992</v>
      </c>
      <c r="I305" s="3">
        <v>9801.69</v>
      </c>
      <c r="J305" s="3">
        <v>1.8866000000000001</v>
      </c>
      <c r="K305" s="21">
        <f ca="1">_xll.IMDP("BND",B305,K8,B3)</f>
        <v>20300625</v>
      </c>
      <c r="L305" s="23">
        <f ca="1">_xll.IMDP("BND",B305,L8,B3)</f>
        <v>3.8220000000000001</v>
      </c>
      <c r="M305" s="2"/>
      <c r="W305" s="21" t="str">
        <f ca="1">_xll.IMDP("BND",N305,W8,N3)</f>
        <v>입력오류</v>
      </c>
      <c r="X305" s="23" t="str">
        <f ca="1">_xll.IMDP("BND",N305,X8,N3)</f>
        <v>입력오류</v>
      </c>
      <c r="Y305" s="2"/>
      <c r="AI305" s="21" t="str">
        <f ca="1">_xll.IMDP("BND",Z305,AI8,Z3)</f>
        <v>입력오류</v>
      </c>
      <c r="AJ305" s="23" t="str">
        <f ca="1">_xll.IMDP("BND",Z305,AJ8,Z3)</f>
        <v>입력오류</v>
      </c>
      <c r="AK305" s="2"/>
      <c r="AU305" s="21" t="str">
        <f ca="1">_xll.IMDP("BND",AL305,AU8,AL3)</f>
        <v>입력오류</v>
      </c>
      <c r="AV305" s="23" t="str">
        <f ca="1">_xll.IMDP("BND",AL305,AV8,AL3)</f>
        <v>입력오류</v>
      </c>
      <c r="AW305" s="2"/>
      <c r="BG305" s="21" t="str">
        <f ca="1">_xll.IMDP("BND",AX305,BG8,AX3)</f>
        <v>입력오류</v>
      </c>
      <c r="BH305" s="23" t="str">
        <f ca="1">_xll.IMDP("BND",AX305,BH8,AX3)</f>
        <v>입력오류</v>
      </c>
      <c r="BI305" s="2"/>
      <c r="BS305" s="21" t="str">
        <f ca="1">_xll.IMDP("BND",BJ305,BS8,BJ3)</f>
        <v>입력오류</v>
      </c>
      <c r="BT305" s="23" t="str">
        <f ca="1">_xll.IMDP("BND",BJ305,BT8,BJ3)</f>
        <v>입력오류</v>
      </c>
      <c r="BU305" s="2"/>
      <c r="CE305" s="21" t="str">
        <f ca="1">_xll.IMDP("BND",BV305,CE8,BV3)</f>
        <v>입력오류</v>
      </c>
      <c r="CF305" s="23" t="str">
        <f ca="1">_xll.IMDP("BND",BV305,CF8,BV3)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">
        <v>46198</v>
      </c>
      <c r="CT305" s="3" t="s">
        <v>2706</v>
      </c>
      <c r="CU305" s="3" t="s">
        <v>908</v>
      </c>
      <c r="CV305" s="3" t="s">
        <v>2707</v>
      </c>
      <c r="CW305" s="3">
        <v>0</v>
      </c>
      <c r="CX305" s="3">
        <v>0.01</v>
      </c>
      <c r="CY305" s="3">
        <v>0</v>
      </c>
      <c r="CZ305" s="3">
        <v>9383</v>
      </c>
      <c r="DA305" s="3">
        <v>10047.52</v>
      </c>
      <c r="DB305" s="3">
        <v>5.0510999999999999</v>
      </c>
      <c r="DC305" s="21">
        <f ca="1">_xll.IMDP("BND",CT305,DC8,CT3)</f>
        <v>20320313</v>
      </c>
      <c r="DD305" s="23">
        <f ca="1">_xll.IMDP("BND",CT305,DD8,CT3)</f>
        <v>4.274</v>
      </c>
      <c r="DE305" s="2"/>
      <c r="DO305" s="21" t="str">
        <f ca="1">_xll.IMDP("BND",DF305,DO8,DF3)</f>
        <v>입력오류</v>
      </c>
      <c r="DP305" s="23" t="str">
        <f ca="1">_xll.IMDP("BND",DF305,DP8,DF3)</f>
        <v>입력오류</v>
      </c>
      <c r="DQ305" s="2"/>
      <c r="EA305" s="21" t="str">
        <f ca="1">_xll.IMDP("BND",DR305,EA8,DR3)</f>
        <v>입력오류</v>
      </c>
      <c r="EB305" s="23" t="str">
        <f ca="1">_xll.IMDP("BND",DR305,EB8,DR3)</f>
        <v>입력오류</v>
      </c>
    </row>
    <row r="306" spans="1:132" ht="13.5" customHeight="1" x14ac:dyDescent="0.3">
      <c r="A306" s="2">
        <v>46198</v>
      </c>
      <c r="B306" s="3" t="s">
        <v>2150</v>
      </c>
      <c r="C306" s="3" t="s">
        <v>2083</v>
      </c>
      <c r="D306" s="3" t="s">
        <v>2151</v>
      </c>
      <c r="E306" s="3">
        <v>0</v>
      </c>
      <c r="F306" s="3">
        <v>0.09</v>
      </c>
      <c r="G306" s="3">
        <v>0</v>
      </c>
      <c r="H306" s="3">
        <v>104882</v>
      </c>
      <c r="I306" s="3">
        <v>9873.67</v>
      </c>
      <c r="J306" s="3">
        <v>2.7498999999999998</v>
      </c>
      <c r="K306" s="21">
        <f ca="1">_xll.IMDP("BND",B306,K8,B3)</f>
        <v>20290530</v>
      </c>
      <c r="L306" s="23">
        <f ca="1">_xll.IMDP("BND",B306,L8,B3)</f>
        <v>4.3380000000000001</v>
      </c>
      <c r="M306" s="2"/>
      <c r="W306" s="21" t="str">
        <f ca="1">_xll.IMDP("BND",N306,W8,N3)</f>
        <v>입력오류</v>
      </c>
      <c r="X306" s="23" t="str">
        <f ca="1">_xll.IMDP("BND",N306,X8,N3)</f>
        <v>입력오류</v>
      </c>
      <c r="Y306" s="2"/>
      <c r="AI306" s="21" t="str">
        <f ca="1">_xll.IMDP("BND",Z306,AI8,Z3)</f>
        <v>입력오류</v>
      </c>
      <c r="AJ306" s="23" t="str">
        <f ca="1">_xll.IMDP("BND",Z306,AJ8,Z3)</f>
        <v>입력오류</v>
      </c>
      <c r="AK306" s="2"/>
      <c r="AU306" s="21" t="str">
        <f ca="1">_xll.IMDP("BND",AL306,AU8,AL3)</f>
        <v>입력오류</v>
      </c>
      <c r="AV306" s="23" t="str">
        <f ca="1">_xll.IMDP("BND",AL306,AV8,AL3)</f>
        <v>입력오류</v>
      </c>
      <c r="AW306" s="2"/>
      <c r="BG306" s="21" t="str">
        <f ca="1">_xll.IMDP("BND",AX306,BG8,AX3)</f>
        <v>입력오류</v>
      </c>
      <c r="BH306" s="23" t="str">
        <f ca="1">_xll.IMDP("BND",AX306,BH8,AX3)</f>
        <v>입력오류</v>
      </c>
      <c r="BI306" s="2"/>
      <c r="BS306" s="21" t="str">
        <f ca="1">_xll.IMDP("BND",BJ306,BS8,BJ3)</f>
        <v>입력오류</v>
      </c>
      <c r="BT306" s="23" t="str">
        <f ca="1">_xll.IMDP("BND",BJ306,BT8,BJ3)</f>
        <v>입력오류</v>
      </c>
      <c r="BU306" s="2"/>
      <c r="CE306" s="21" t="str">
        <f ca="1">_xll.IMDP("BND",BV306,CE8,BV3)</f>
        <v>입력오류</v>
      </c>
      <c r="CF306" s="23" t="str">
        <f ca="1">_xll.IMDP("BND",BV306,CF8,BV3)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">
        <v>46198</v>
      </c>
      <c r="CT306" s="3" t="s">
        <v>1665</v>
      </c>
      <c r="CU306" s="3" t="s">
        <v>50</v>
      </c>
      <c r="CV306" s="3" t="s">
        <v>2708</v>
      </c>
      <c r="CW306" s="3">
        <v>0</v>
      </c>
      <c r="CX306" s="3">
        <v>0.01</v>
      </c>
      <c r="CY306" s="3">
        <v>0</v>
      </c>
      <c r="CZ306" s="3">
        <v>9362</v>
      </c>
      <c r="DA306" s="3">
        <v>10025.08</v>
      </c>
      <c r="DB306" s="3">
        <v>1.6326000000000001</v>
      </c>
      <c r="DC306" s="21">
        <f ca="1">_xll.IMDP("BND",CT306,DC8,CT3)</f>
        <v>20280310</v>
      </c>
      <c r="DD306" s="23">
        <f ca="1">_xll.IMDP("BND",CT306,DD8,CT3)</f>
        <v>3.6680000000000001</v>
      </c>
      <c r="DE306" s="2"/>
      <c r="DO306" s="21" t="str">
        <f ca="1">_xll.IMDP("BND",DF306,DO8,DF3)</f>
        <v>입력오류</v>
      </c>
      <c r="DP306" s="23" t="str">
        <f ca="1">_xll.IMDP("BND",DF306,DP8,DF3)</f>
        <v>입력오류</v>
      </c>
      <c r="DQ306" s="2"/>
      <c r="EA306" s="21" t="str">
        <f ca="1">_xll.IMDP("BND",DR306,EA8,DR3)</f>
        <v>입력오류</v>
      </c>
      <c r="EB306" s="23" t="str">
        <f ca="1">_xll.IMDP("BND",DR306,EB8,DR3)</f>
        <v>입력오류</v>
      </c>
    </row>
    <row r="307" spans="1:132" ht="13.5" customHeight="1" x14ac:dyDescent="0.3">
      <c r="A307" s="2">
        <v>46198</v>
      </c>
      <c r="B307" s="3" t="s">
        <v>2152</v>
      </c>
      <c r="C307" s="3" t="s">
        <v>2153</v>
      </c>
      <c r="D307" s="3" t="s">
        <v>2154</v>
      </c>
      <c r="E307" s="3">
        <v>0</v>
      </c>
      <c r="F307" s="3">
        <v>0.09</v>
      </c>
      <c r="G307" s="3">
        <v>0</v>
      </c>
      <c r="H307" s="3">
        <v>104818</v>
      </c>
      <c r="I307" s="3">
        <v>9868.57</v>
      </c>
      <c r="J307" s="3">
        <v>1.5752999999999999</v>
      </c>
      <c r="K307" s="21">
        <f ca="1">_xll.IMDP("BND",B307,K8,B3)</f>
        <v>20280211</v>
      </c>
      <c r="L307" s="23">
        <f ca="1">_xll.IMDP("BND",B307,L8,B3)</f>
        <v>4.1520000000000001</v>
      </c>
      <c r="M307" s="2"/>
      <c r="W307" s="21" t="str">
        <f ca="1">_xll.IMDP("BND",N307,W8,N3)</f>
        <v>입력오류</v>
      </c>
      <c r="X307" s="23" t="str">
        <f ca="1">_xll.IMDP("BND",N307,X8,N3)</f>
        <v>입력오류</v>
      </c>
      <c r="Y307" s="2"/>
      <c r="AI307" s="21" t="str">
        <f ca="1">_xll.IMDP("BND",Z307,AI8,Z3)</f>
        <v>입력오류</v>
      </c>
      <c r="AJ307" s="23" t="str">
        <f ca="1">_xll.IMDP("BND",Z307,AJ8,Z3)</f>
        <v>입력오류</v>
      </c>
      <c r="AK307" s="2"/>
      <c r="AU307" s="21" t="str">
        <f ca="1">_xll.IMDP("BND",AL307,AU8,AL3)</f>
        <v>입력오류</v>
      </c>
      <c r="AV307" s="23" t="str">
        <f ca="1">_xll.IMDP("BND",AL307,AV8,AL3)</f>
        <v>입력오류</v>
      </c>
      <c r="AW307" s="2"/>
      <c r="BG307" s="21" t="str">
        <f ca="1">_xll.IMDP("BND",AX307,BG8,AX3)</f>
        <v>입력오류</v>
      </c>
      <c r="BH307" s="23" t="str">
        <f ca="1">_xll.IMDP("BND",AX307,BH8,AX3)</f>
        <v>입력오류</v>
      </c>
      <c r="BI307" s="2"/>
      <c r="BS307" s="21" t="str">
        <f ca="1">_xll.IMDP("BND",BJ307,BS8,BJ3)</f>
        <v>입력오류</v>
      </c>
      <c r="BT307" s="23" t="str">
        <f ca="1">_xll.IMDP("BND",BJ307,BT8,BJ3)</f>
        <v>입력오류</v>
      </c>
      <c r="BU307" s="2"/>
      <c r="CE307" s="21" t="str">
        <f ca="1">_xll.IMDP("BND",BV307,CE8,BV3)</f>
        <v>입력오류</v>
      </c>
      <c r="CF307" s="23" t="str">
        <f ca="1">_xll.IMDP("BND",BV307,CF8,BV3)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">
        <v>46198</v>
      </c>
      <c r="CT307" s="3" t="s">
        <v>1667</v>
      </c>
      <c r="CU307" s="3" t="s">
        <v>1668</v>
      </c>
      <c r="CV307" s="3" t="s">
        <v>1669</v>
      </c>
      <c r="CW307" s="3">
        <v>0</v>
      </c>
      <c r="CX307" s="3">
        <v>0.01</v>
      </c>
      <c r="CY307" s="3">
        <v>0</v>
      </c>
      <c r="CZ307" s="3">
        <v>8895</v>
      </c>
      <c r="DA307" s="3">
        <v>9524.42</v>
      </c>
      <c r="DB307" s="3">
        <v>2.6046999999999998</v>
      </c>
      <c r="DC307" s="21">
        <f ca="1">_xll.IMDP("BND",CT307,DC8,CT3)</f>
        <v>20290308</v>
      </c>
      <c r="DD307" s="23">
        <f ca="1">_xll.IMDP("BND",CT307,DD8,CT3)</f>
        <v>4.0279999999999996</v>
      </c>
      <c r="DE307" s="2"/>
      <c r="DO307" s="21" t="str">
        <f ca="1">_xll.IMDP("BND",DF307,DO8,DF3)</f>
        <v>입력오류</v>
      </c>
      <c r="DP307" s="23" t="str">
        <f ca="1">_xll.IMDP("BND",DF307,DP8,DF3)</f>
        <v>입력오류</v>
      </c>
      <c r="DQ307" s="2"/>
      <c r="EA307" s="21" t="str">
        <f ca="1">_xll.IMDP("BND",DR307,EA8,DR3)</f>
        <v>입력오류</v>
      </c>
      <c r="EB307" s="23" t="str">
        <f ca="1">_xll.IMDP("BND",DR307,EB8,DR3)</f>
        <v>입력오류</v>
      </c>
    </row>
    <row r="308" spans="1:132" ht="13.5" customHeight="1" x14ac:dyDescent="0.3">
      <c r="A308" s="2">
        <v>46198</v>
      </c>
      <c r="B308" s="3" t="s">
        <v>2155</v>
      </c>
      <c r="C308" s="3" t="s">
        <v>1763</v>
      </c>
      <c r="D308" s="3" t="s">
        <v>2156</v>
      </c>
      <c r="E308" s="3">
        <v>0</v>
      </c>
      <c r="F308" s="3">
        <v>0.09</v>
      </c>
      <c r="G308" s="3">
        <v>0</v>
      </c>
      <c r="H308" s="3">
        <v>104806</v>
      </c>
      <c r="I308" s="3">
        <v>9867.68</v>
      </c>
      <c r="J308" s="3">
        <v>1.5810999999999999</v>
      </c>
      <c r="K308" s="21">
        <f ca="1">_xll.IMDP("BND",B308,K8,B3)</f>
        <v>20280214</v>
      </c>
      <c r="L308" s="23">
        <f ca="1">_xll.IMDP("BND",B308,L8,B3)</f>
        <v>4.2</v>
      </c>
      <c r="M308" s="2"/>
      <c r="W308" s="21" t="str">
        <f ca="1">_xll.IMDP("BND",N308,W8,N3)</f>
        <v>입력오류</v>
      </c>
      <c r="X308" s="23" t="str">
        <f ca="1">_xll.IMDP("BND",N308,X8,N3)</f>
        <v>입력오류</v>
      </c>
      <c r="Y308" s="2"/>
      <c r="AI308" s="21" t="str">
        <f ca="1">_xll.IMDP("BND",Z308,AI8,Z3)</f>
        <v>입력오류</v>
      </c>
      <c r="AJ308" s="23" t="str">
        <f ca="1">_xll.IMDP("BND",Z308,AJ8,Z3)</f>
        <v>입력오류</v>
      </c>
      <c r="AK308" s="2"/>
      <c r="AU308" s="21" t="str">
        <f ca="1">_xll.IMDP("BND",AL308,AU8,AL3)</f>
        <v>입력오류</v>
      </c>
      <c r="AV308" s="23" t="str">
        <f ca="1">_xll.IMDP("BND",AL308,AV8,AL3)</f>
        <v>입력오류</v>
      </c>
      <c r="AW308" s="2"/>
      <c r="BG308" s="21" t="str">
        <f ca="1">_xll.IMDP("BND",AX308,BG8,AX3)</f>
        <v>입력오류</v>
      </c>
      <c r="BH308" s="23" t="str">
        <f ca="1">_xll.IMDP("BND",AX308,BH8,AX3)</f>
        <v>입력오류</v>
      </c>
      <c r="BI308" s="2"/>
      <c r="BS308" s="21" t="str">
        <f ca="1">_xll.IMDP("BND",BJ308,BS8,BJ3)</f>
        <v>입력오류</v>
      </c>
      <c r="BT308" s="23" t="str">
        <f ca="1">_xll.IMDP("BND",BJ308,BT8,BJ3)</f>
        <v>입력오류</v>
      </c>
      <c r="BU308" s="2"/>
      <c r="CE308" s="21" t="str">
        <f ca="1">_xll.IMDP("BND",BV308,CE8,BV3)</f>
        <v>입력오류</v>
      </c>
      <c r="CF308" s="23" t="str">
        <f ca="1">_xll.IMDP("BND",BV308,CF8,BV3)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">
        <v>46198</v>
      </c>
      <c r="CT308" s="3" t="s">
        <v>2709</v>
      </c>
      <c r="CU308" s="3" t="s">
        <v>2703</v>
      </c>
      <c r="CV308" s="3" t="s">
        <v>2710</v>
      </c>
      <c r="CW308" s="3">
        <v>0</v>
      </c>
      <c r="CX308" s="3">
        <v>0.01</v>
      </c>
      <c r="CY308" s="3">
        <v>0</v>
      </c>
      <c r="CZ308" s="3">
        <v>8226</v>
      </c>
      <c r="DA308" s="3">
        <v>10058.31</v>
      </c>
      <c r="DB308" s="3">
        <v>4.9264000000000001</v>
      </c>
      <c r="DC308" s="21">
        <f ca="1">_xll.IMDP("BND",CT308,DC8,CT3)</f>
        <v>20320116</v>
      </c>
      <c r="DD308" s="23">
        <f ca="1">_xll.IMDP("BND",CT308,DD8,CT3)</f>
        <v>4.274</v>
      </c>
      <c r="DE308" s="2"/>
      <c r="DO308" s="21" t="str">
        <f ca="1">_xll.IMDP("BND",DF308,DO8,DF3)</f>
        <v>입력오류</v>
      </c>
      <c r="DP308" s="23" t="str">
        <f ca="1">_xll.IMDP("BND",DF308,DP8,DF3)</f>
        <v>입력오류</v>
      </c>
      <c r="DQ308" s="2"/>
      <c r="EA308" s="21" t="str">
        <f ca="1">_xll.IMDP("BND",DR308,EA8,DR3)</f>
        <v>입력오류</v>
      </c>
      <c r="EB308" s="23" t="str">
        <f ca="1">_xll.IMDP("BND",DR308,EB8,DR3)</f>
        <v>입력오류</v>
      </c>
    </row>
    <row r="309" spans="1:132" ht="13.5" customHeight="1" x14ac:dyDescent="0.3">
      <c r="A309" s="2">
        <v>46198</v>
      </c>
      <c r="B309" s="3" t="s">
        <v>1449</v>
      </c>
      <c r="C309" s="3" t="s">
        <v>1450</v>
      </c>
      <c r="D309" s="3" t="s">
        <v>1451</v>
      </c>
      <c r="E309" s="3">
        <v>0</v>
      </c>
      <c r="F309" s="3">
        <v>0.09</v>
      </c>
      <c r="G309" s="3">
        <v>0</v>
      </c>
      <c r="H309" s="3">
        <v>104225</v>
      </c>
      <c r="I309" s="3">
        <v>10064.58</v>
      </c>
      <c r="J309" s="3">
        <v>1.9782</v>
      </c>
      <c r="K309" s="21">
        <f ca="1">_xll.IMDP("BND",B309,K8,B3)</f>
        <v>20280725</v>
      </c>
      <c r="L309" s="23">
        <f ca="1">_xll.IMDP("BND",B309,L8,B3)</f>
        <v>3.97</v>
      </c>
      <c r="M309" s="2"/>
      <c r="W309" s="21" t="str">
        <f ca="1">_xll.IMDP("BND",N309,W8,N3)</f>
        <v>입력오류</v>
      </c>
      <c r="X309" s="23" t="str">
        <f ca="1">_xll.IMDP("BND",N309,X8,N3)</f>
        <v>입력오류</v>
      </c>
      <c r="Y309" s="2"/>
      <c r="AI309" s="21" t="str">
        <f ca="1">_xll.IMDP("BND",Z309,AI8,Z3)</f>
        <v>입력오류</v>
      </c>
      <c r="AJ309" s="23" t="str">
        <f ca="1">_xll.IMDP("BND",Z309,AJ8,Z3)</f>
        <v>입력오류</v>
      </c>
      <c r="AK309" s="2"/>
      <c r="AU309" s="21" t="str">
        <f ca="1">_xll.IMDP("BND",AL309,AU8,AL3)</f>
        <v>입력오류</v>
      </c>
      <c r="AV309" s="23" t="str">
        <f ca="1">_xll.IMDP("BND",AL309,AV8,AL3)</f>
        <v>입력오류</v>
      </c>
      <c r="AW309" s="2"/>
      <c r="BG309" s="21" t="str">
        <f ca="1">_xll.IMDP("BND",AX309,BG8,AX3)</f>
        <v>입력오류</v>
      </c>
      <c r="BH309" s="23" t="str">
        <f ca="1">_xll.IMDP("BND",AX309,BH8,AX3)</f>
        <v>입력오류</v>
      </c>
      <c r="BI309" s="2"/>
      <c r="BS309" s="21" t="str">
        <f ca="1">_xll.IMDP("BND",BJ309,BS8,BJ3)</f>
        <v>입력오류</v>
      </c>
      <c r="BT309" s="23" t="str">
        <f ca="1">_xll.IMDP("BND",BJ309,BT8,BJ3)</f>
        <v>입력오류</v>
      </c>
      <c r="BU309" s="2"/>
      <c r="CE309" s="21" t="str">
        <f ca="1">_xll.IMDP("BND",BV309,CE8,BV3)</f>
        <v>입력오류</v>
      </c>
      <c r="CF309" s="23" t="str">
        <f ca="1">_xll.IMDP("BND",BV309,CF8,BV3)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">
        <v>46198</v>
      </c>
      <c r="CT309" s="3" t="s">
        <v>2711</v>
      </c>
      <c r="CU309" s="3" t="s">
        <v>1705</v>
      </c>
      <c r="CV309" s="3" t="s">
        <v>2712</v>
      </c>
      <c r="CW309" s="3">
        <v>0</v>
      </c>
      <c r="CX309" s="3">
        <v>0</v>
      </c>
      <c r="CY309" s="3">
        <v>0</v>
      </c>
      <c r="CZ309" s="3">
        <v>5194</v>
      </c>
      <c r="DA309" s="3">
        <v>5562.37</v>
      </c>
      <c r="DB309" s="3">
        <v>13.3889</v>
      </c>
      <c r="DC309" s="21">
        <f ca="1">_xll.IMDP("BND",CT309,DC8,CT3)</f>
        <v>20400610</v>
      </c>
      <c r="DD309" s="23">
        <f ca="1">_xll.IMDP("BND",CT309,DD8,CT3)</f>
        <v>4.2910000000000004</v>
      </c>
      <c r="DE309" s="2"/>
      <c r="DO309" s="21" t="str">
        <f ca="1">_xll.IMDP("BND",DF309,DO8,DF3)</f>
        <v>입력오류</v>
      </c>
      <c r="DP309" s="23" t="str">
        <f ca="1">_xll.IMDP("BND",DF309,DP8,DF3)</f>
        <v>입력오류</v>
      </c>
      <c r="DQ309" s="2"/>
      <c r="EA309" s="21" t="str">
        <f ca="1">_xll.IMDP("BND",DR309,EA8,DR3)</f>
        <v>입력오류</v>
      </c>
      <c r="EB309" s="23" t="str">
        <f ca="1">_xll.IMDP("BND",DR309,EB8,DR3)</f>
        <v>입력오류</v>
      </c>
    </row>
    <row r="310" spans="1:132" ht="13.5" customHeight="1" x14ac:dyDescent="0.3">
      <c r="A310" s="2">
        <v>46198</v>
      </c>
      <c r="B310" s="3" t="s">
        <v>2157</v>
      </c>
      <c r="C310" s="3" t="s">
        <v>1297</v>
      </c>
      <c r="D310" s="3" t="s">
        <v>2158</v>
      </c>
      <c r="E310" s="3">
        <v>0</v>
      </c>
      <c r="F310" s="3">
        <v>0.09</v>
      </c>
      <c r="G310" s="3">
        <v>0</v>
      </c>
      <c r="H310" s="3">
        <v>103376</v>
      </c>
      <c r="I310" s="3">
        <v>9731.9699999999993</v>
      </c>
      <c r="J310" s="3">
        <v>2.2473999999999998</v>
      </c>
      <c r="K310" s="21">
        <f ca="1">_xll.IMDP("BND",B310,K8,B3)</f>
        <v>20281030</v>
      </c>
      <c r="L310" s="23">
        <f ca="1">_xll.IMDP("BND",B310,L8,B3)</f>
        <v>4.1689999999999996</v>
      </c>
      <c r="M310" s="2"/>
      <c r="W310" s="21" t="str">
        <f ca="1">_xll.IMDP("BND",N310,W8,N3)</f>
        <v>입력오류</v>
      </c>
      <c r="X310" s="23" t="str">
        <f ca="1">_xll.IMDP("BND",N310,X8,N3)</f>
        <v>입력오류</v>
      </c>
      <c r="Y310" s="2"/>
      <c r="AI310" s="21" t="str">
        <f ca="1">_xll.IMDP("BND",Z310,AI8,Z3)</f>
        <v>입력오류</v>
      </c>
      <c r="AJ310" s="23" t="str">
        <f ca="1">_xll.IMDP("BND",Z310,AJ8,Z3)</f>
        <v>입력오류</v>
      </c>
      <c r="AK310" s="2"/>
      <c r="AU310" s="21" t="str">
        <f ca="1">_xll.IMDP("BND",AL310,AU8,AL3)</f>
        <v>입력오류</v>
      </c>
      <c r="AV310" s="23" t="str">
        <f ca="1">_xll.IMDP("BND",AL310,AV8,AL3)</f>
        <v>입력오류</v>
      </c>
      <c r="AW310" s="2"/>
      <c r="BG310" s="21" t="str">
        <f ca="1">_xll.IMDP("BND",AX310,BG8,AX3)</f>
        <v>입력오류</v>
      </c>
      <c r="BH310" s="23" t="str">
        <f ca="1">_xll.IMDP("BND",AX310,BH8,AX3)</f>
        <v>입력오류</v>
      </c>
      <c r="BI310" s="2"/>
      <c r="BS310" s="21" t="str">
        <f ca="1">_xll.IMDP("BND",BJ310,BS8,BJ3)</f>
        <v>입력오류</v>
      </c>
      <c r="BT310" s="23" t="str">
        <f ca="1">_xll.IMDP("BND",BJ310,BT8,BJ3)</f>
        <v>입력오류</v>
      </c>
      <c r="BU310" s="2"/>
      <c r="CE310" s="21" t="str">
        <f ca="1">_xll.IMDP("BND",BV310,CE8,BV3)</f>
        <v>입력오류</v>
      </c>
      <c r="CF310" s="23" t="str">
        <f ca="1">_xll.IMDP("BND",BV310,CF8,BV3)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">
        <v>46198</v>
      </c>
      <c r="CT310" s="3" t="s">
        <v>1707</v>
      </c>
      <c r="CU310" s="3" t="s">
        <v>29</v>
      </c>
      <c r="CV310" s="3" t="s">
        <v>2713</v>
      </c>
      <c r="CW310" s="3">
        <v>0</v>
      </c>
      <c r="CX310" s="3">
        <v>0</v>
      </c>
      <c r="CY310" s="3">
        <v>0</v>
      </c>
      <c r="CZ310" s="3">
        <v>4840</v>
      </c>
      <c r="DA310" s="3">
        <v>6910.39</v>
      </c>
      <c r="DB310" s="3">
        <v>11.764900000000001</v>
      </c>
      <c r="DC310" s="21">
        <f ca="1">_xll.IMDP("BND",CT310,DC8,CT3)</f>
        <v>20390910</v>
      </c>
      <c r="DD310" s="23">
        <f ca="1">_xll.IMDP("BND",CT310,DD8,CT3)</f>
        <v>4.2350000000000003</v>
      </c>
      <c r="DE310" s="2"/>
      <c r="DO310" s="21" t="str">
        <f ca="1">_xll.IMDP("BND",DF310,DO8,DF3)</f>
        <v>입력오류</v>
      </c>
      <c r="DP310" s="23" t="str">
        <f ca="1">_xll.IMDP("BND",DF310,DP8,DF3)</f>
        <v>입력오류</v>
      </c>
      <c r="DQ310" s="2"/>
      <c r="EA310" s="21" t="str">
        <f ca="1">_xll.IMDP("BND",DR310,EA8,DR3)</f>
        <v>입력오류</v>
      </c>
      <c r="EB310" s="23" t="str">
        <f ca="1">_xll.IMDP("BND",DR310,EB8,DR3)</f>
        <v>입력오류</v>
      </c>
    </row>
    <row r="311" spans="1:132" ht="13.5" customHeight="1" x14ac:dyDescent="0.3">
      <c r="A311" s="2">
        <v>46198</v>
      </c>
      <c r="B311" s="3" t="s">
        <v>2159</v>
      </c>
      <c r="C311" s="3" t="s">
        <v>131</v>
      </c>
      <c r="D311" s="3" t="s">
        <v>2160</v>
      </c>
      <c r="E311" s="3">
        <v>0</v>
      </c>
      <c r="F311" s="3">
        <v>0.09</v>
      </c>
      <c r="G311" s="3">
        <v>0</v>
      </c>
      <c r="H311" s="3">
        <v>103208</v>
      </c>
      <c r="I311" s="3">
        <v>9038.84</v>
      </c>
      <c r="J311" s="3">
        <v>2.6095000000000002</v>
      </c>
      <c r="K311" s="21">
        <f ca="1">_xll.IMDP("BND",B311,K8,B3)</f>
        <v>20290310</v>
      </c>
      <c r="L311" s="23">
        <f ca="1">_xll.IMDP("BND",B311,L8,B3)</f>
        <v>3.798</v>
      </c>
      <c r="M311" s="2"/>
      <c r="W311" s="21" t="str">
        <f ca="1">_xll.IMDP("BND",N311,W8,N3)</f>
        <v>입력오류</v>
      </c>
      <c r="X311" s="23" t="str">
        <f ca="1">_xll.IMDP("BND",N311,X8,N3)</f>
        <v>입력오류</v>
      </c>
      <c r="Y311" s="2"/>
      <c r="AI311" s="21" t="str">
        <f ca="1">_xll.IMDP("BND",Z311,AI8,Z3)</f>
        <v>입력오류</v>
      </c>
      <c r="AJ311" s="23" t="str">
        <f ca="1">_xll.IMDP("BND",Z311,AJ8,Z3)</f>
        <v>입력오류</v>
      </c>
      <c r="AK311" s="2"/>
      <c r="AU311" s="21" t="str">
        <f ca="1">_xll.IMDP("BND",AL311,AU8,AL3)</f>
        <v>입력오류</v>
      </c>
      <c r="AV311" s="23" t="str">
        <f ca="1">_xll.IMDP("BND",AL311,AV8,AL3)</f>
        <v>입력오류</v>
      </c>
      <c r="AW311" s="2"/>
      <c r="BG311" s="21" t="str">
        <f ca="1">_xll.IMDP("BND",AX311,BG8,AX3)</f>
        <v>입력오류</v>
      </c>
      <c r="BH311" s="23" t="str">
        <f ca="1">_xll.IMDP("BND",AX311,BH8,AX3)</f>
        <v>입력오류</v>
      </c>
      <c r="BI311" s="2"/>
      <c r="BS311" s="21" t="str">
        <f ca="1">_xll.IMDP("BND",BJ311,BS8,BJ3)</f>
        <v>입력오류</v>
      </c>
      <c r="BT311" s="23" t="str">
        <f ca="1">_xll.IMDP("BND",BJ311,BT8,BJ3)</f>
        <v>입력오류</v>
      </c>
      <c r="BU311" s="2"/>
      <c r="CE311" s="21" t="str">
        <f ca="1">_xll.IMDP("BND",BV311,CE8,BV3)</f>
        <v>입력오류</v>
      </c>
      <c r="CF311" s="23" t="str">
        <f ca="1">_xll.IMDP("BND",BV311,CF8,BV3)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">
        <v>46198</v>
      </c>
      <c r="CT311" s="3" t="s">
        <v>1661</v>
      </c>
      <c r="CU311" s="3" t="s">
        <v>50</v>
      </c>
      <c r="CV311" s="3" t="s">
        <v>2714</v>
      </c>
      <c r="CW311" s="3">
        <v>0</v>
      </c>
      <c r="CX311" s="3">
        <v>0</v>
      </c>
      <c r="CY311" s="3">
        <v>0</v>
      </c>
      <c r="CZ311" s="3">
        <v>4674</v>
      </c>
      <c r="DA311" s="3">
        <v>10009.6</v>
      </c>
      <c r="DB311" s="3">
        <v>0.69230000000000003</v>
      </c>
      <c r="DC311" s="21">
        <f ca="1">_xll.IMDP("BND",CT311,DC8,CT3)</f>
        <v>20270310</v>
      </c>
      <c r="DD311" s="23">
        <f ca="1">_xll.IMDP("BND",CT311,DD8,CT3)</f>
        <v>3.2210000000000001</v>
      </c>
      <c r="DE311" s="2"/>
      <c r="DO311" s="21" t="str">
        <f ca="1">_xll.IMDP("BND",DF311,DO8,DF3)</f>
        <v>입력오류</v>
      </c>
      <c r="DP311" s="23" t="str">
        <f ca="1">_xll.IMDP("BND",DF311,DP8,DF3)</f>
        <v>입력오류</v>
      </c>
      <c r="DQ311" s="2"/>
      <c r="EA311" s="21" t="str">
        <f ca="1">_xll.IMDP("BND",DR311,EA8,DR3)</f>
        <v>입력오류</v>
      </c>
      <c r="EB311" s="23" t="str">
        <f ca="1">_xll.IMDP("BND",DR311,EB8,DR3)</f>
        <v>입력오류</v>
      </c>
    </row>
    <row r="312" spans="1:132" ht="13.5" customHeight="1" x14ac:dyDescent="0.3">
      <c r="A312" s="2">
        <v>46198</v>
      </c>
      <c r="B312" s="3" t="s">
        <v>2161</v>
      </c>
      <c r="C312" s="3" t="s">
        <v>310</v>
      </c>
      <c r="D312" s="3" t="s">
        <v>2162</v>
      </c>
      <c r="E312" s="3">
        <v>0</v>
      </c>
      <c r="F312" s="3">
        <v>0.09</v>
      </c>
      <c r="G312" s="3">
        <v>0</v>
      </c>
      <c r="H312" s="3">
        <v>98639</v>
      </c>
      <c r="I312" s="3">
        <v>9286.75</v>
      </c>
      <c r="J312" s="3">
        <v>3.1724999999999999</v>
      </c>
      <c r="K312" s="21">
        <f ca="1">_xll.IMDP("BND",B312,K8,B3)</f>
        <v>20291024</v>
      </c>
      <c r="L312" s="23">
        <f ca="1">_xll.IMDP("BND",B312,L8,B3)</f>
        <v>4.157</v>
      </c>
      <c r="M312" s="2"/>
      <c r="W312" s="21" t="str">
        <f ca="1">_xll.IMDP("BND",N312,W8,N3)</f>
        <v>입력오류</v>
      </c>
      <c r="X312" s="23" t="str">
        <f ca="1">_xll.IMDP("BND",N312,X8,N3)</f>
        <v>입력오류</v>
      </c>
      <c r="Y312" s="2"/>
      <c r="AI312" s="21" t="str">
        <f ca="1">_xll.IMDP("BND",Z312,AI8,Z3)</f>
        <v>입력오류</v>
      </c>
      <c r="AJ312" s="23" t="str">
        <f ca="1">_xll.IMDP("BND",Z312,AJ8,Z3)</f>
        <v>입력오류</v>
      </c>
      <c r="AK312" s="2"/>
      <c r="AU312" s="21" t="str">
        <f ca="1">_xll.IMDP("BND",AL312,AU8,AL3)</f>
        <v>입력오류</v>
      </c>
      <c r="AV312" s="23" t="str">
        <f ca="1">_xll.IMDP("BND",AL312,AV8,AL3)</f>
        <v>입력오류</v>
      </c>
      <c r="AW312" s="2"/>
      <c r="BG312" s="21" t="str">
        <f ca="1">_xll.IMDP("BND",AX312,BG8,AX3)</f>
        <v>입력오류</v>
      </c>
      <c r="BH312" s="23" t="str">
        <f ca="1">_xll.IMDP("BND",AX312,BH8,AX3)</f>
        <v>입력오류</v>
      </c>
      <c r="BI312" s="2"/>
      <c r="BS312" s="21" t="str">
        <f ca="1">_xll.IMDP("BND",BJ312,BS8,BJ3)</f>
        <v>입력오류</v>
      </c>
      <c r="BT312" s="23" t="str">
        <f ca="1">_xll.IMDP("BND",BJ312,BT8,BJ3)</f>
        <v>입력오류</v>
      </c>
      <c r="BU312" s="2"/>
      <c r="CE312" s="21" t="str">
        <f ca="1">_xll.IMDP("BND",BV312,CE8,BV3)</f>
        <v>입력오류</v>
      </c>
      <c r="CF312" s="23" t="str">
        <f ca="1">_xll.IMDP("BND",BV312,CF8,BV3)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">
        <v>46198</v>
      </c>
      <c r="CT312" s="3" t="s">
        <v>1699</v>
      </c>
      <c r="CU312" s="3" t="s">
        <v>1700</v>
      </c>
      <c r="CV312" s="3" t="s">
        <v>1701</v>
      </c>
      <c r="CW312" s="3">
        <v>0</v>
      </c>
      <c r="CX312" s="3">
        <v>0</v>
      </c>
      <c r="CY312" s="3">
        <v>0</v>
      </c>
      <c r="CZ312" s="3">
        <v>673</v>
      </c>
      <c r="DA312" s="3">
        <v>9610.7999999999993</v>
      </c>
      <c r="DB312" s="3">
        <v>2.0207000000000002</v>
      </c>
      <c r="DC312" s="21">
        <f ca="1">_xll.IMDP("BND",CT312,DC8,CT3)</f>
        <v>20280727</v>
      </c>
      <c r="DD312" s="23">
        <f ca="1">_xll.IMDP("BND",CT312,DD8,CT3)</f>
        <v>4.3040000000000003</v>
      </c>
      <c r="DE312" s="2"/>
      <c r="DO312" s="21" t="str">
        <f ca="1">_xll.IMDP("BND",DF312,DO8,DF3)</f>
        <v>입력오류</v>
      </c>
      <c r="DP312" s="23" t="str">
        <f ca="1">_xll.IMDP("BND",DF312,DP8,DF3)</f>
        <v>입력오류</v>
      </c>
      <c r="DQ312" s="2"/>
      <c r="EA312" s="21" t="str">
        <f ca="1">_xll.IMDP("BND",DR312,EA8,DR3)</f>
        <v>입력오류</v>
      </c>
      <c r="EB312" s="23" t="str">
        <f ca="1">_xll.IMDP("BND",DR312,EB8,DR3)</f>
        <v>입력오류</v>
      </c>
    </row>
    <row r="313" spans="1:132" ht="13.5" customHeight="1" x14ac:dyDescent="0.3">
      <c r="A313" s="2">
        <v>46198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0.09</v>
      </c>
      <c r="G313" s="3">
        <v>0</v>
      </c>
      <c r="H313" s="3">
        <v>97006</v>
      </c>
      <c r="I313" s="3">
        <v>10009.049999999999</v>
      </c>
      <c r="J313" s="3">
        <v>0.93640000000000001</v>
      </c>
      <c r="K313" s="21">
        <f ca="1">_xll.IMDP("BND",B313,K8,B3)</f>
        <v>20270610</v>
      </c>
      <c r="L313" s="23">
        <f ca="1">_xll.IMDP("BND",B313,L8,B3)</f>
        <v>3.2930000000000001</v>
      </c>
      <c r="M313" s="2"/>
      <c r="W313" s="21" t="str">
        <f ca="1">_xll.IMDP("BND",N313,W8,N3)</f>
        <v>입력오류</v>
      </c>
      <c r="X313" s="23" t="str">
        <f ca="1">_xll.IMDP("BND",N313,X8,N3)</f>
        <v>입력오류</v>
      </c>
      <c r="Y313" s="2"/>
      <c r="AI313" s="21" t="str">
        <f ca="1">_xll.IMDP("BND",Z313,AI8,Z3)</f>
        <v>입력오류</v>
      </c>
      <c r="AJ313" s="23" t="str">
        <f ca="1">_xll.IMDP("BND",Z313,AJ8,Z3)</f>
        <v>입력오류</v>
      </c>
      <c r="AK313" s="2"/>
      <c r="AU313" s="21" t="str">
        <f ca="1">_xll.IMDP("BND",AL313,AU8,AL3)</f>
        <v>입력오류</v>
      </c>
      <c r="AV313" s="23" t="str">
        <f ca="1">_xll.IMDP("BND",AL313,AV8,AL3)</f>
        <v>입력오류</v>
      </c>
      <c r="AW313" s="2"/>
      <c r="BG313" s="21" t="str">
        <f ca="1">_xll.IMDP("BND",AX313,BG8,AX3)</f>
        <v>입력오류</v>
      </c>
      <c r="BH313" s="23" t="str">
        <f ca="1">_xll.IMDP("BND",AX313,BH8,AX3)</f>
        <v>입력오류</v>
      </c>
      <c r="BI313" s="2"/>
      <c r="BS313" s="21" t="str">
        <f ca="1">_xll.IMDP("BND",BJ313,BS8,BJ3)</f>
        <v>입력오류</v>
      </c>
      <c r="BT313" s="23" t="str">
        <f ca="1">_xll.IMDP("BND",BJ313,BT8,BJ3)</f>
        <v>입력오류</v>
      </c>
      <c r="BU313" s="2"/>
      <c r="CE313" s="21" t="str">
        <f ca="1">_xll.IMDP("BND",BV313,CE8,BV3)</f>
        <v>입력오류</v>
      </c>
      <c r="CF313" s="23" t="str">
        <f ca="1">_xll.IMDP("BND",BV313,CF8,BV3)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">
        <v>46198</v>
      </c>
      <c r="CT313" s="3" t="s">
        <v>7</v>
      </c>
      <c r="CU313" s="3" t="s">
        <v>7</v>
      </c>
      <c r="CV313" s="3" t="s">
        <v>46</v>
      </c>
      <c r="CX313" s="3">
        <v>14.23</v>
      </c>
      <c r="CZ313" s="3">
        <v>-20516559</v>
      </c>
      <c r="DC313" s="21" t="str">
        <f ca="1">_xll.IMDP("BND",CT313,DC8,CT3)</f>
        <v/>
      </c>
      <c r="DD313" s="23" t="str">
        <f ca="1">_xll.IMDP("BND",CT313,DD8,CT3)</f>
        <v/>
      </c>
      <c r="DE313" s="2"/>
      <c r="DO313" s="21" t="str">
        <f ca="1">_xll.IMDP("BND",DF313,DO8,DF3)</f>
        <v>입력오류</v>
      </c>
      <c r="DP313" s="23" t="str">
        <f ca="1">_xll.IMDP("BND",DF313,DP8,DF3)</f>
        <v>입력오류</v>
      </c>
      <c r="DQ313" s="2"/>
      <c r="EA313" s="21" t="str">
        <f ca="1">_xll.IMDP("BND",DR313,EA8,DR3)</f>
        <v>입력오류</v>
      </c>
      <c r="EB313" s="23" t="str">
        <f ca="1">_xll.IMDP("BND",DR313,EB8,DR3)</f>
        <v>입력오류</v>
      </c>
    </row>
    <row r="314" spans="1:132" ht="13.5" customHeight="1" x14ac:dyDescent="0.3">
      <c r="A314" s="2">
        <v>46198</v>
      </c>
      <c r="B314" s="3" t="s">
        <v>2163</v>
      </c>
      <c r="C314" s="3" t="s">
        <v>2164</v>
      </c>
      <c r="D314" s="3" t="s">
        <v>2165</v>
      </c>
      <c r="E314" s="3">
        <v>0</v>
      </c>
      <c r="F314" s="3">
        <v>0.09</v>
      </c>
      <c r="G314" s="3">
        <v>0</v>
      </c>
      <c r="H314" s="3">
        <v>96175</v>
      </c>
      <c r="I314" s="3">
        <v>9050.43</v>
      </c>
      <c r="J314" s="3">
        <v>4.3494000000000002</v>
      </c>
      <c r="K314" s="21">
        <f ca="1">_xll.IMDP("BND",B314,K8,B3)</f>
        <v>20310205</v>
      </c>
      <c r="L314" s="23">
        <f ca="1">_xll.IMDP("BND",B314,L8,B3)</f>
        <v>4.3209999999999997</v>
      </c>
      <c r="M314" s="2"/>
      <c r="W314" s="21" t="str">
        <f ca="1">_xll.IMDP("BND",N314,W8,N3)</f>
        <v>입력오류</v>
      </c>
      <c r="X314" s="23" t="str">
        <f ca="1">_xll.IMDP("BND",N314,X8,N3)</f>
        <v>입력오류</v>
      </c>
      <c r="Y314" s="2"/>
      <c r="AI314" s="21" t="str">
        <f ca="1">_xll.IMDP("BND",Z314,AI8,Z3)</f>
        <v>입력오류</v>
      </c>
      <c r="AJ314" s="23" t="str">
        <f ca="1">_xll.IMDP("BND",Z314,AJ8,Z3)</f>
        <v>입력오류</v>
      </c>
      <c r="AK314" s="2"/>
      <c r="AU314" s="21" t="str">
        <f ca="1">_xll.IMDP("BND",AL314,AU8,AL3)</f>
        <v>입력오류</v>
      </c>
      <c r="AV314" s="23" t="str">
        <f ca="1">_xll.IMDP("BND",AL314,AV8,AL3)</f>
        <v>입력오류</v>
      </c>
      <c r="AW314" s="2"/>
      <c r="BG314" s="21" t="str">
        <f ca="1">_xll.IMDP("BND",AX314,BG8,AX3)</f>
        <v>입력오류</v>
      </c>
      <c r="BH314" s="23" t="str">
        <f ca="1">_xll.IMDP("BND",AX314,BH8,AX3)</f>
        <v>입력오류</v>
      </c>
      <c r="BI314" s="2"/>
      <c r="BS314" s="21" t="str">
        <f ca="1">_xll.IMDP("BND",BJ314,BS8,BJ3)</f>
        <v>입력오류</v>
      </c>
      <c r="BT314" s="23" t="str">
        <f ca="1">_xll.IMDP("BND",BJ314,BT8,BJ3)</f>
        <v>입력오류</v>
      </c>
      <c r="BU314" s="2"/>
      <c r="CE314" s="21" t="str">
        <f ca="1">_xll.IMDP("BND",BV314,CE8,BV3)</f>
        <v>입력오류</v>
      </c>
      <c r="CF314" s="23" t="str">
        <f ca="1">_xll.IMDP("BND",BV314,CF8,BV3)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"/>
      <c r="DC314" s="21" t="str">
        <f ca="1">_xll.IMDP("BND",CT314,DC8,CT3)</f>
        <v>입력오류</v>
      </c>
      <c r="DD314" s="23" t="str">
        <f ca="1">_xll.IMDP("BND",CT314,DD8,CT3)</f>
        <v>입력오류</v>
      </c>
      <c r="DE314" s="2"/>
      <c r="DO314" s="21" t="str">
        <f ca="1">_xll.IMDP("BND",DF314,DO8,DF3)</f>
        <v>입력오류</v>
      </c>
      <c r="DP314" s="23" t="str">
        <f ca="1">_xll.IMDP("BND",DF314,DP8,DF3)</f>
        <v>입력오류</v>
      </c>
      <c r="DQ314" s="2"/>
      <c r="EA314" s="21" t="str">
        <f ca="1">_xll.IMDP("BND",DR314,EA8,DR3)</f>
        <v>입력오류</v>
      </c>
      <c r="EB314" s="23" t="str">
        <f ca="1">_xll.IMDP("BND",DR314,EB8,DR3)</f>
        <v>입력오류</v>
      </c>
    </row>
    <row r="315" spans="1:132" ht="13.5" customHeight="1" x14ac:dyDescent="0.3">
      <c r="A315" s="2">
        <v>46198</v>
      </c>
      <c r="B315" s="3" t="s">
        <v>2166</v>
      </c>
      <c r="C315" s="3" t="s">
        <v>805</v>
      </c>
      <c r="D315" s="3" t="s">
        <v>2167</v>
      </c>
      <c r="E315" s="3">
        <v>0</v>
      </c>
      <c r="F315" s="3">
        <v>0.09</v>
      </c>
      <c r="G315" s="3">
        <v>0</v>
      </c>
      <c r="H315" s="3">
        <v>95571</v>
      </c>
      <c r="I315" s="3">
        <v>9228.0300000000007</v>
      </c>
      <c r="J315" s="3">
        <v>3.319</v>
      </c>
      <c r="K315" s="21">
        <f ca="1">_xll.IMDP("BND",B315,K8,B3)</f>
        <v>20291219</v>
      </c>
      <c r="L315" s="23">
        <f ca="1">_xll.IMDP("BND",B315,L8,B3)</f>
        <v>4.2119999999999997</v>
      </c>
      <c r="M315" s="2"/>
      <c r="W315" s="21" t="str">
        <f ca="1">_xll.IMDP("BND",N315,W8,N3)</f>
        <v>입력오류</v>
      </c>
      <c r="X315" s="23" t="str">
        <f ca="1">_xll.IMDP("BND",N315,X8,N3)</f>
        <v>입력오류</v>
      </c>
      <c r="Y315" s="2"/>
      <c r="AI315" s="21" t="str">
        <f ca="1">_xll.IMDP("BND",Z315,AI8,Z3)</f>
        <v>입력오류</v>
      </c>
      <c r="AJ315" s="23" t="str">
        <f ca="1">_xll.IMDP("BND",Z315,AJ8,Z3)</f>
        <v>입력오류</v>
      </c>
      <c r="AK315" s="2"/>
      <c r="AU315" s="21" t="str">
        <f ca="1">_xll.IMDP("BND",AL315,AU8,AL3)</f>
        <v>입력오류</v>
      </c>
      <c r="AV315" s="23" t="str">
        <f ca="1">_xll.IMDP("BND",AL315,AV8,AL3)</f>
        <v>입력오류</v>
      </c>
      <c r="AW315" s="2"/>
      <c r="BG315" s="21" t="str">
        <f ca="1">_xll.IMDP("BND",AX315,BG8,AX3)</f>
        <v>입력오류</v>
      </c>
      <c r="BH315" s="23" t="str">
        <f ca="1">_xll.IMDP("BND",AX315,BH8,AX3)</f>
        <v>입력오류</v>
      </c>
      <c r="BI315" s="2"/>
      <c r="BS315" s="21" t="str">
        <f ca="1">_xll.IMDP("BND",BJ315,BS8,BJ3)</f>
        <v>입력오류</v>
      </c>
      <c r="BT315" s="23" t="str">
        <f ca="1">_xll.IMDP("BND",BJ315,BT8,BJ3)</f>
        <v>입력오류</v>
      </c>
      <c r="BU315" s="2"/>
      <c r="CE315" s="21" t="str">
        <f ca="1">_xll.IMDP("BND",BV315,CE8,BV3)</f>
        <v>입력오류</v>
      </c>
      <c r="CF315" s="23" t="str">
        <f ca="1">_xll.IMDP("BND",BV315,CF8,BV3)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"/>
      <c r="DC315" s="21" t="str">
        <f ca="1">_xll.IMDP("BND",CT315,DC8,CT3)</f>
        <v>입력오류</v>
      </c>
      <c r="DD315" s="23" t="str">
        <f ca="1">_xll.IMDP("BND",CT315,DD8,CT3)</f>
        <v>입력오류</v>
      </c>
      <c r="DE315" s="2"/>
      <c r="DO315" s="21" t="str">
        <f ca="1">_xll.IMDP("BND",DF315,DO8,DF3)</f>
        <v>입력오류</v>
      </c>
      <c r="DP315" s="23" t="str">
        <f ca="1">_xll.IMDP("BND",DF315,DP8,DF3)</f>
        <v>입력오류</v>
      </c>
      <c r="DQ315" s="2"/>
      <c r="EA315" s="21" t="str">
        <f ca="1">_xll.IMDP("BND",DR315,EA8,DR3)</f>
        <v>입력오류</v>
      </c>
      <c r="EB315" s="23" t="str">
        <f ca="1">_xll.IMDP("BND",DR315,EB8,DR3)</f>
        <v>입력오류</v>
      </c>
    </row>
    <row r="316" spans="1:132" ht="13.5" customHeight="1" x14ac:dyDescent="0.3">
      <c r="A316" s="2">
        <v>46198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0.08</v>
      </c>
      <c r="G316" s="3">
        <v>0</v>
      </c>
      <c r="H316" s="3">
        <v>93866</v>
      </c>
      <c r="I316" s="3">
        <v>10014.459999999999</v>
      </c>
      <c r="J316" s="3">
        <v>6.3571</v>
      </c>
      <c r="K316" s="21">
        <f ca="1">_xll.IMDP("BND",B316,K8,B3)</f>
        <v>20331210</v>
      </c>
      <c r="L316" s="23">
        <f ca="1">_xll.IMDP("BND",B316,L8,B3)</f>
        <v>4.1280000000000001</v>
      </c>
      <c r="M316" s="2"/>
      <c r="W316" s="21" t="str">
        <f ca="1">_xll.IMDP("BND",N316,W8,N3)</f>
        <v>입력오류</v>
      </c>
      <c r="X316" s="23" t="str">
        <f ca="1">_xll.IMDP("BND",N316,X8,N3)</f>
        <v>입력오류</v>
      </c>
      <c r="Y316" s="2"/>
      <c r="AI316" s="21" t="str">
        <f ca="1">_xll.IMDP("BND",Z316,AI8,Z3)</f>
        <v>입력오류</v>
      </c>
      <c r="AJ316" s="23" t="str">
        <f ca="1">_xll.IMDP("BND",Z316,AJ8,Z3)</f>
        <v>입력오류</v>
      </c>
      <c r="AK316" s="2"/>
      <c r="AU316" s="21" t="str">
        <f ca="1">_xll.IMDP("BND",AL316,AU8,AL3)</f>
        <v>입력오류</v>
      </c>
      <c r="AV316" s="23" t="str">
        <f ca="1">_xll.IMDP("BND",AL316,AV8,AL3)</f>
        <v>입력오류</v>
      </c>
      <c r="AW316" s="2"/>
      <c r="BG316" s="21" t="str">
        <f ca="1">_xll.IMDP("BND",AX316,BG8,AX3)</f>
        <v>입력오류</v>
      </c>
      <c r="BH316" s="23" t="str">
        <f ca="1">_xll.IMDP("BND",AX316,BH8,AX3)</f>
        <v>입력오류</v>
      </c>
      <c r="BI316" s="2"/>
      <c r="BS316" s="21" t="str">
        <f ca="1">_xll.IMDP("BND",BJ316,BS8,BJ3)</f>
        <v>입력오류</v>
      </c>
      <c r="BT316" s="23" t="str">
        <f ca="1">_xll.IMDP("BND",BJ316,BT8,BJ3)</f>
        <v>입력오류</v>
      </c>
      <c r="BU316" s="2"/>
      <c r="CE316" s="21" t="str">
        <f ca="1">_xll.IMDP("BND",BV316,CE8,BV3)</f>
        <v>입력오류</v>
      </c>
      <c r="CF316" s="23" t="str">
        <f ca="1">_xll.IMDP("BND",BV316,CF8,BV3)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"/>
      <c r="DC316" s="21" t="str">
        <f ca="1">_xll.IMDP("BND",CT316,DC8,CT3)</f>
        <v>입력오류</v>
      </c>
      <c r="DD316" s="23" t="str">
        <f ca="1">_xll.IMDP("BND",CT316,DD8,CT3)</f>
        <v>입력오류</v>
      </c>
      <c r="DE316" s="2"/>
      <c r="DO316" s="21" t="str">
        <f ca="1">_xll.IMDP("BND",DF316,DO8,DF3)</f>
        <v>입력오류</v>
      </c>
      <c r="DP316" s="23" t="str">
        <f ca="1">_xll.IMDP("BND",DF316,DP8,DF3)</f>
        <v>입력오류</v>
      </c>
      <c r="DQ316" s="2"/>
      <c r="EA316" s="21" t="str">
        <f ca="1">_xll.IMDP("BND",DR316,EA8,DR3)</f>
        <v>입력오류</v>
      </c>
      <c r="EB316" s="23" t="str">
        <f ca="1">_xll.IMDP("BND",DR316,EB8,DR3)</f>
        <v>입력오류</v>
      </c>
    </row>
    <row r="317" spans="1:132" ht="13.5" customHeight="1" x14ac:dyDescent="0.3">
      <c r="A317" s="2">
        <v>46198</v>
      </c>
      <c r="B317" s="3" t="s">
        <v>2168</v>
      </c>
      <c r="C317" s="3" t="s">
        <v>1955</v>
      </c>
      <c r="D317" s="3" t="s">
        <v>2169</v>
      </c>
      <c r="E317" s="3">
        <v>0</v>
      </c>
      <c r="F317" s="3">
        <v>0.08</v>
      </c>
      <c r="G317" s="3">
        <v>0</v>
      </c>
      <c r="H317" s="3">
        <v>93666</v>
      </c>
      <c r="I317" s="3">
        <v>10078.34</v>
      </c>
      <c r="J317" s="3">
        <v>1.6717</v>
      </c>
      <c r="K317" s="21">
        <f ca="1">_xll.IMDP("BND",B317,K8,B3)</f>
        <v>20280328</v>
      </c>
      <c r="L317" s="23">
        <f ca="1">_xll.IMDP("BND",B317,L8,B3)</f>
        <v>4.234</v>
      </c>
      <c r="M317" s="2"/>
      <c r="W317" s="21" t="str">
        <f ca="1">_xll.IMDP("BND",N317,W8,N3)</f>
        <v>입력오류</v>
      </c>
      <c r="X317" s="23" t="str">
        <f ca="1">_xll.IMDP("BND",N317,X8,N3)</f>
        <v>입력오류</v>
      </c>
      <c r="Y317" s="2"/>
      <c r="AI317" s="21" t="str">
        <f ca="1">_xll.IMDP("BND",Z317,AI8,Z3)</f>
        <v>입력오류</v>
      </c>
      <c r="AJ317" s="23" t="str">
        <f ca="1">_xll.IMDP("BND",Z317,AJ8,Z3)</f>
        <v>입력오류</v>
      </c>
      <c r="AK317" s="2"/>
      <c r="AU317" s="21" t="str">
        <f ca="1">_xll.IMDP("BND",AL317,AU8,AL3)</f>
        <v>입력오류</v>
      </c>
      <c r="AV317" s="23" t="str">
        <f ca="1">_xll.IMDP("BND",AL317,AV8,AL3)</f>
        <v>입력오류</v>
      </c>
      <c r="AW317" s="2"/>
      <c r="BG317" s="21" t="str">
        <f ca="1">_xll.IMDP("BND",AX317,BG8,AX3)</f>
        <v>입력오류</v>
      </c>
      <c r="BH317" s="23" t="str">
        <f ca="1">_xll.IMDP("BND",AX317,BH8,AX3)</f>
        <v>입력오류</v>
      </c>
      <c r="BI317" s="2"/>
      <c r="BS317" s="21" t="str">
        <f ca="1">_xll.IMDP("BND",BJ317,BS8,BJ3)</f>
        <v>입력오류</v>
      </c>
      <c r="BT317" s="23" t="str">
        <f ca="1">_xll.IMDP("BND",BJ317,BT8,BJ3)</f>
        <v>입력오류</v>
      </c>
      <c r="BU317" s="2"/>
      <c r="CE317" s="21" t="str">
        <f ca="1">_xll.IMDP("BND",BV317,CE8,BV3)</f>
        <v>입력오류</v>
      </c>
      <c r="CF317" s="23" t="str">
        <f ca="1">_xll.IMDP("BND",BV317,CF8,BV3)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"/>
      <c r="DC317" s="21" t="str">
        <f ca="1">_xll.IMDP("BND",CT317,DC8,CT3)</f>
        <v>입력오류</v>
      </c>
      <c r="DD317" s="23" t="str">
        <f ca="1">_xll.IMDP("BND",CT317,DD8,CT3)</f>
        <v>입력오류</v>
      </c>
      <c r="DE317" s="2"/>
      <c r="DO317" s="21" t="str">
        <f ca="1">_xll.IMDP("BND",DF317,DO8,DF3)</f>
        <v>입력오류</v>
      </c>
      <c r="DP317" s="23" t="str">
        <f ca="1">_xll.IMDP("BND",DF317,DP8,DF3)</f>
        <v>입력오류</v>
      </c>
      <c r="DQ317" s="2"/>
      <c r="EA317" s="21" t="str">
        <f ca="1">_xll.IMDP("BND",DR317,EA8,DR3)</f>
        <v>입력오류</v>
      </c>
      <c r="EB317" s="23" t="str">
        <f ca="1">_xll.IMDP("BND",DR317,EB8,DR3)</f>
        <v>입력오류</v>
      </c>
    </row>
    <row r="318" spans="1:132" ht="13.5" customHeight="1" x14ac:dyDescent="0.3">
      <c r="A318" s="2">
        <v>46198</v>
      </c>
      <c r="B318" s="3" t="s">
        <v>2170</v>
      </c>
      <c r="C318" s="3" t="s">
        <v>319</v>
      </c>
      <c r="D318" s="3" t="s">
        <v>2171</v>
      </c>
      <c r="E318" s="3">
        <v>0</v>
      </c>
      <c r="F318" s="3">
        <v>0.08</v>
      </c>
      <c r="G318" s="3">
        <v>0</v>
      </c>
      <c r="H318" s="3">
        <v>86381</v>
      </c>
      <c r="I318" s="3">
        <v>10166.17</v>
      </c>
      <c r="J318" s="3">
        <v>9.8100000000000007E-2</v>
      </c>
      <c r="K318" s="21">
        <f ca="1">_xll.IMDP("BND",B318,K8,B3)</f>
        <v>20260731</v>
      </c>
      <c r="L318" s="23">
        <f ca="1">_xll.IMDP("BND",B318,L8,B3)</f>
        <v>2.8639999999999999</v>
      </c>
      <c r="M318" s="2"/>
      <c r="W318" s="21" t="str">
        <f ca="1">_xll.IMDP("BND",N318,W8,N3)</f>
        <v>입력오류</v>
      </c>
      <c r="X318" s="23" t="str">
        <f ca="1">_xll.IMDP("BND",N318,X8,N3)</f>
        <v>입력오류</v>
      </c>
      <c r="Y318" s="2"/>
      <c r="AI318" s="21" t="str">
        <f ca="1">_xll.IMDP("BND",Z318,AI8,Z3)</f>
        <v>입력오류</v>
      </c>
      <c r="AJ318" s="23" t="str">
        <f ca="1">_xll.IMDP("BND",Z318,AJ8,Z3)</f>
        <v>입력오류</v>
      </c>
      <c r="AK318" s="2"/>
      <c r="AU318" s="21" t="str">
        <f ca="1">_xll.IMDP("BND",AL318,AU8,AL3)</f>
        <v>입력오류</v>
      </c>
      <c r="AV318" s="23" t="str">
        <f ca="1">_xll.IMDP("BND",AL318,AV8,AL3)</f>
        <v>입력오류</v>
      </c>
      <c r="AW318" s="2"/>
      <c r="BG318" s="21" t="str">
        <f ca="1">_xll.IMDP("BND",AX318,BG8,AX3)</f>
        <v>입력오류</v>
      </c>
      <c r="BH318" s="23" t="str">
        <f ca="1">_xll.IMDP("BND",AX318,BH8,AX3)</f>
        <v>입력오류</v>
      </c>
      <c r="BI318" s="2"/>
      <c r="BS318" s="21" t="str">
        <f ca="1">_xll.IMDP("BND",BJ318,BS8,BJ3)</f>
        <v>입력오류</v>
      </c>
      <c r="BT318" s="23" t="str">
        <f ca="1">_xll.IMDP("BND",BJ318,BT8,BJ3)</f>
        <v>입력오류</v>
      </c>
      <c r="BU318" s="2"/>
      <c r="CE318" s="21" t="str">
        <f ca="1">_xll.IMDP("BND",BV318,CE8,BV3)</f>
        <v>입력오류</v>
      </c>
      <c r="CF318" s="23" t="str">
        <f ca="1">_xll.IMDP("BND",BV318,CF8,BV3)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"/>
      <c r="DC318" s="21" t="str">
        <f ca="1">_xll.IMDP("BND",CT318,DC8,CT3)</f>
        <v>입력오류</v>
      </c>
      <c r="DD318" s="23" t="str">
        <f ca="1">_xll.IMDP("BND",CT318,DD8,CT3)</f>
        <v>입력오류</v>
      </c>
      <c r="DE318" s="2"/>
      <c r="DO318" s="21" t="str">
        <f ca="1">_xll.IMDP("BND",DF318,DO8,DF3)</f>
        <v>입력오류</v>
      </c>
      <c r="DP318" s="23" t="str">
        <f ca="1">_xll.IMDP("BND",DF318,DP8,DF3)</f>
        <v>입력오류</v>
      </c>
      <c r="DQ318" s="2"/>
      <c r="EA318" s="21" t="str">
        <f ca="1">_xll.IMDP("BND",DR318,EA8,DR3)</f>
        <v>입력오류</v>
      </c>
      <c r="EB318" s="23" t="str">
        <f ca="1">_xll.IMDP("BND",DR318,EB8,DR3)</f>
        <v>입력오류</v>
      </c>
    </row>
    <row r="319" spans="1:132" ht="13.5" customHeight="1" x14ac:dyDescent="0.3">
      <c r="A319" s="2">
        <v>46198</v>
      </c>
      <c r="B319" s="3" t="s">
        <v>1575</v>
      </c>
      <c r="C319" s="3" t="s">
        <v>29</v>
      </c>
      <c r="D319" s="3" t="s">
        <v>1576</v>
      </c>
      <c r="E319" s="3">
        <v>0</v>
      </c>
      <c r="F319" s="3">
        <v>0.08</v>
      </c>
      <c r="G319" s="3">
        <v>0</v>
      </c>
      <c r="H319" s="3">
        <v>85645</v>
      </c>
      <c r="I319" s="3">
        <v>9774.2900000000009</v>
      </c>
      <c r="J319" s="3">
        <v>6.4225000000000003</v>
      </c>
      <c r="K319" s="21">
        <f ca="1">_xll.IMDP("BND",B319,K8,B3)</f>
        <v>20331210</v>
      </c>
      <c r="L319" s="23">
        <f ca="1">_xll.IMDP("BND",B319,L8,B3)</f>
        <v>4.1280000000000001</v>
      </c>
      <c r="M319" s="2"/>
      <c r="W319" s="21" t="str">
        <f ca="1">_xll.IMDP("BND",N319,W8,N3)</f>
        <v>입력오류</v>
      </c>
      <c r="X319" s="23" t="str">
        <f ca="1">_xll.IMDP("BND",N319,X8,N3)</f>
        <v>입력오류</v>
      </c>
      <c r="Y319" s="2"/>
      <c r="AI319" s="21" t="str">
        <f ca="1">_xll.IMDP("BND",Z319,AI8,Z3)</f>
        <v>입력오류</v>
      </c>
      <c r="AJ319" s="23" t="str">
        <f ca="1">_xll.IMDP("BND",Z319,AJ8,Z3)</f>
        <v>입력오류</v>
      </c>
      <c r="AK319" s="2"/>
      <c r="AU319" s="21" t="str">
        <f ca="1">_xll.IMDP("BND",AL319,AU8,AL3)</f>
        <v>입력오류</v>
      </c>
      <c r="AV319" s="23" t="str">
        <f ca="1">_xll.IMDP("BND",AL319,AV8,AL3)</f>
        <v>입력오류</v>
      </c>
      <c r="AW319" s="2"/>
      <c r="BG319" s="21" t="str">
        <f ca="1">_xll.IMDP("BND",AX319,BG8,AX3)</f>
        <v>입력오류</v>
      </c>
      <c r="BH319" s="23" t="str">
        <f ca="1">_xll.IMDP("BND",AX319,BH8,AX3)</f>
        <v>입력오류</v>
      </c>
      <c r="BI319" s="2"/>
      <c r="BS319" s="21" t="str">
        <f ca="1">_xll.IMDP("BND",BJ319,BS8,BJ3)</f>
        <v>입력오류</v>
      </c>
      <c r="BT319" s="23" t="str">
        <f ca="1">_xll.IMDP("BND",BJ319,BT8,BJ3)</f>
        <v>입력오류</v>
      </c>
      <c r="BU319" s="2"/>
      <c r="CE319" s="21" t="str">
        <f ca="1">_xll.IMDP("BND",BV319,CE8,BV3)</f>
        <v>입력오류</v>
      </c>
      <c r="CF319" s="23" t="str">
        <f ca="1">_xll.IMDP("BND",BV319,CF8,BV3)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"/>
      <c r="DC319" s="21" t="str">
        <f ca="1">_xll.IMDP("BND",CT319,DC8,CT3)</f>
        <v>입력오류</v>
      </c>
      <c r="DD319" s="23" t="str">
        <f ca="1">_xll.IMDP("BND",CT319,DD8,CT3)</f>
        <v>입력오류</v>
      </c>
      <c r="DE319" s="2"/>
      <c r="DO319" s="21" t="str">
        <f ca="1">_xll.IMDP("BND",DF319,DO8,DF3)</f>
        <v>입력오류</v>
      </c>
      <c r="DP319" s="23" t="str">
        <f ca="1">_xll.IMDP("BND",DF319,DP8,DF3)</f>
        <v>입력오류</v>
      </c>
      <c r="DQ319" s="2"/>
      <c r="EA319" s="21" t="str">
        <f ca="1">_xll.IMDP("BND",DR319,EA8,DR3)</f>
        <v>입력오류</v>
      </c>
      <c r="EB319" s="23" t="str">
        <f ca="1">_xll.IMDP("BND",DR319,EB8,DR3)</f>
        <v>입력오류</v>
      </c>
    </row>
    <row r="320" spans="1:132" ht="13.5" customHeight="1" x14ac:dyDescent="0.3">
      <c r="A320" s="2">
        <v>46198</v>
      </c>
      <c r="B320" s="3" t="s">
        <v>2172</v>
      </c>
      <c r="C320" s="3" t="s">
        <v>2173</v>
      </c>
      <c r="D320" s="3" t="s">
        <v>2174</v>
      </c>
      <c r="E320" s="3">
        <v>0</v>
      </c>
      <c r="F320" s="3">
        <v>7.0000000000000007E-2</v>
      </c>
      <c r="G320" s="3">
        <v>0</v>
      </c>
      <c r="H320" s="3">
        <v>80503</v>
      </c>
      <c r="I320" s="3">
        <v>10105.94</v>
      </c>
      <c r="J320" s="3">
        <v>3.5999999999999999E-3</v>
      </c>
      <c r="K320" s="21">
        <f ca="1">_xll.IMDP("BND",B320,K8,B3)</f>
        <v>20260626</v>
      </c>
      <c r="L320" s="23">
        <f ca="1">_xll.IMDP("BND",B320,L8,B3)</f>
        <v>3.1459999999999999</v>
      </c>
      <c r="M320" s="2"/>
      <c r="W320" s="21" t="str">
        <f ca="1">_xll.IMDP("BND",N320,W8,N3)</f>
        <v>입력오류</v>
      </c>
      <c r="X320" s="23" t="str">
        <f ca="1">_xll.IMDP("BND",N320,X8,N3)</f>
        <v>입력오류</v>
      </c>
      <c r="Y320" s="2"/>
      <c r="AI320" s="21" t="str">
        <f ca="1">_xll.IMDP("BND",Z320,AI8,Z3)</f>
        <v>입력오류</v>
      </c>
      <c r="AJ320" s="23" t="str">
        <f ca="1">_xll.IMDP("BND",Z320,AJ8,Z3)</f>
        <v>입력오류</v>
      </c>
      <c r="AK320" s="2"/>
      <c r="AU320" s="21" t="str">
        <f ca="1">_xll.IMDP("BND",AL320,AU8,AL3)</f>
        <v>입력오류</v>
      </c>
      <c r="AV320" s="23" t="str">
        <f ca="1">_xll.IMDP("BND",AL320,AV8,AL3)</f>
        <v>입력오류</v>
      </c>
      <c r="AW320" s="2"/>
      <c r="BG320" s="21" t="str">
        <f ca="1">_xll.IMDP("BND",AX320,BG8,AX3)</f>
        <v>입력오류</v>
      </c>
      <c r="BH320" s="23" t="str">
        <f ca="1">_xll.IMDP("BND",AX320,BH8,AX3)</f>
        <v>입력오류</v>
      </c>
      <c r="BI320" s="2"/>
      <c r="BS320" s="21" t="str">
        <f ca="1">_xll.IMDP("BND",BJ320,BS8,BJ3)</f>
        <v>입력오류</v>
      </c>
      <c r="BT320" s="23" t="str">
        <f ca="1">_xll.IMDP("BND",BJ320,BT8,BJ3)</f>
        <v>입력오류</v>
      </c>
      <c r="BU320" s="2"/>
      <c r="CE320" s="21" t="str">
        <f ca="1">_xll.IMDP("BND",BV320,CE8,BV3)</f>
        <v>입력오류</v>
      </c>
      <c r="CF320" s="23" t="str">
        <f ca="1">_xll.IMDP("BND",BV320,CF8,BV3)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"/>
      <c r="DC320" s="21" t="str">
        <f ca="1">_xll.IMDP("BND",CT320,DC8,CT3)</f>
        <v>입력오류</v>
      </c>
      <c r="DD320" s="23" t="str">
        <f ca="1">_xll.IMDP("BND",CT320,DD8,CT3)</f>
        <v>입력오류</v>
      </c>
      <c r="DE320" s="2"/>
      <c r="DO320" s="21" t="str">
        <f ca="1">_xll.IMDP("BND",DF320,DO8,DF3)</f>
        <v>입력오류</v>
      </c>
      <c r="DP320" s="23" t="str">
        <f ca="1">_xll.IMDP("BND",DF320,DP8,DF3)</f>
        <v>입력오류</v>
      </c>
      <c r="DQ320" s="2"/>
      <c r="EA320" s="21" t="str">
        <f ca="1">_xll.IMDP("BND",DR320,EA8,DR3)</f>
        <v>입력오류</v>
      </c>
      <c r="EB320" s="23" t="str">
        <f ca="1">_xll.IMDP("BND",DR320,EB8,DR3)</f>
        <v>입력오류</v>
      </c>
    </row>
    <row r="321" spans="1:132" ht="13.5" customHeight="1" x14ac:dyDescent="0.3">
      <c r="A321" s="2">
        <v>46198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80495</v>
      </c>
      <c r="I321" s="3">
        <v>7394.2</v>
      </c>
      <c r="J321" s="3">
        <v>12.537100000000001</v>
      </c>
      <c r="K321" s="21">
        <f ca="1">_xll.IMDP("BND",B321,K8,B3)</f>
        <v>20410910</v>
      </c>
      <c r="L321" s="23">
        <f ca="1">_xll.IMDP("BND",B321,L8,B3)</f>
        <v>4.2699999999999996</v>
      </c>
      <c r="M321" s="2"/>
      <c r="W321" s="21" t="str">
        <f ca="1">_xll.IMDP("BND",N321,W8,N3)</f>
        <v>입력오류</v>
      </c>
      <c r="X321" s="23" t="str">
        <f ca="1">_xll.IMDP("BND",N321,X8,N3)</f>
        <v>입력오류</v>
      </c>
      <c r="Y321" s="2"/>
      <c r="AI321" s="21" t="str">
        <f ca="1">_xll.IMDP("BND",Z321,AI8,Z3)</f>
        <v>입력오류</v>
      </c>
      <c r="AJ321" s="23" t="str">
        <f ca="1">_xll.IMDP("BND",Z321,AJ8,Z3)</f>
        <v>입력오류</v>
      </c>
      <c r="AK321" s="2"/>
      <c r="AU321" s="21" t="str">
        <f ca="1">_xll.IMDP("BND",AL321,AU8,AL3)</f>
        <v>입력오류</v>
      </c>
      <c r="AV321" s="23" t="str">
        <f ca="1">_xll.IMDP("BND",AL321,AV8,AL3)</f>
        <v>입력오류</v>
      </c>
      <c r="AW321" s="2"/>
      <c r="BG321" s="21" t="str">
        <f ca="1">_xll.IMDP("BND",AX321,BG8,AX3)</f>
        <v>입력오류</v>
      </c>
      <c r="BH321" s="23" t="str">
        <f ca="1">_xll.IMDP("BND",AX321,BH8,AX3)</f>
        <v>입력오류</v>
      </c>
      <c r="BI321" s="2"/>
      <c r="BS321" s="21" t="str">
        <f ca="1">_xll.IMDP("BND",BJ321,BS8,BJ3)</f>
        <v>입력오류</v>
      </c>
      <c r="BT321" s="23" t="str">
        <f ca="1">_xll.IMDP("BND",BJ321,BT8,BJ3)</f>
        <v>입력오류</v>
      </c>
      <c r="BU321" s="2"/>
      <c r="CE321" s="21" t="str">
        <f ca="1">_xll.IMDP("BND",BV321,CE8,BV3)</f>
        <v>입력오류</v>
      </c>
      <c r="CF321" s="23" t="str">
        <f ca="1">_xll.IMDP("BND",BV321,CF8,BV3)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"/>
      <c r="DC321" s="21" t="str">
        <f ca="1">_xll.IMDP("BND",CT321,DC8,CT3)</f>
        <v>입력오류</v>
      </c>
      <c r="DD321" s="23" t="str">
        <f ca="1">_xll.IMDP("BND",CT321,DD8,CT3)</f>
        <v>입력오류</v>
      </c>
      <c r="DE321" s="2"/>
      <c r="DO321" s="21" t="str">
        <f ca="1">_xll.IMDP("BND",DF321,DO8,DF3)</f>
        <v>입력오류</v>
      </c>
      <c r="DP321" s="23" t="str">
        <f ca="1">_xll.IMDP("BND",DF321,DP8,DF3)</f>
        <v>입력오류</v>
      </c>
      <c r="DQ321" s="2"/>
      <c r="EA321" s="21" t="str">
        <f ca="1">_xll.IMDP("BND",DR321,EA8,DR3)</f>
        <v>입력오류</v>
      </c>
      <c r="EB321" s="23" t="str">
        <f ca="1">_xll.IMDP("BND",DR321,EB8,DR3)</f>
        <v>입력오류</v>
      </c>
    </row>
    <row r="322" spans="1:132" ht="13.5" customHeight="1" x14ac:dyDescent="0.3">
      <c r="A322" s="2">
        <v>46198</v>
      </c>
      <c r="B322" s="3" t="s">
        <v>2175</v>
      </c>
      <c r="C322" s="3" t="s">
        <v>374</v>
      </c>
      <c r="D322" s="3" t="s">
        <v>2176</v>
      </c>
      <c r="E322" s="3">
        <v>0</v>
      </c>
      <c r="F322" s="3">
        <v>7.0000000000000007E-2</v>
      </c>
      <c r="G322" s="3">
        <v>0</v>
      </c>
      <c r="H322" s="3">
        <v>80020</v>
      </c>
      <c r="I322" s="3">
        <v>10045.299999999999</v>
      </c>
      <c r="J322" s="3">
        <v>0.2198</v>
      </c>
      <c r="K322" s="21">
        <f ca="1">_xll.IMDP("BND",B322,K8,B3)</f>
        <v>20260914</v>
      </c>
      <c r="L322" s="23">
        <f ca="1">_xll.IMDP("BND",B322,L8,B3)</f>
        <v>3.2360000000000002</v>
      </c>
      <c r="M322" s="2"/>
      <c r="W322" s="21" t="str">
        <f ca="1">_xll.IMDP("BND",N322,W8,N3)</f>
        <v>입력오류</v>
      </c>
      <c r="X322" s="23" t="str">
        <f ca="1">_xll.IMDP("BND",N322,X8,N3)</f>
        <v>입력오류</v>
      </c>
      <c r="Y322" s="2"/>
      <c r="AI322" s="21" t="str">
        <f ca="1">_xll.IMDP("BND",Z322,AI8,Z3)</f>
        <v>입력오류</v>
      </c>
      <c r="AJ322" s="23" t="str">
        <f ca="1">_xll.IMDP("BND",Z322,AJ8,Z3)</f>
        <v>입력오류</v>
      </c>
      <c r="AK322" s="2"/>
      <c r="AU322" s="21" t="str">
        <f ca="1">_xll.IMDP("BND",AL322,AU8,AL3)</f>
        <v>입력오류</v>
      </c>
      <c r="AV322" s="23" t="str">
        <f ca="1">_xll.IMDP("BND",AL322,AV8,AL3)</f>
        <v>입력오류</v>
      </c>
      <c r="AW322" s="2"/>
      <c r="BG322" s="21" t="str">
        <f ca="1">_xll.IMDP("BND",AX322,BG8,AX3)</f>
        <v>입력오류</v>
      </c>
      <c r="BH322" s="23" t="str">
        <f ca="1">_xll.IMDP("BND",AX322,BH8,AX3)</f>
        <v>입력오류</v>
      </c>
      <c r="BI322" s="2"/>
      <c r="BS322" s="21" t="str">
        <f ca="1">_xll.IMDP("BND",BJ322,BS8,BJ3)</f>
        <v>입력오류</v>
      </c>
      <c r="BT322" s="23" t="str">
        <f ca="1">_xll.IMDP("BND",BJ322,BT8,BJ3)</f>
        <v>입력오류</v>
      </c>
      <c r="BU322" s="2"/>
      <c r="CE322" s="21" t="str">
        <f ca="1">_xll.IMDP("BND",BV322,CE8,BV3)</f>
        <v>입력오류</v>
      </c>
      <c r="CF322" s="23" t="str">
        <f ca="1">_xll.IMDP("BND",BV322,CF8,BV3)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"/>
      <c r="DC322" s="21" t="str">
        <f ca="1">_xll.IMDP("BND",CT322,DC8,CT3)</f>
        <v>입력오류</v>
      </c>
      <c r="DD322" s="23" t="str">
        <f ca="1">_xll.IMDP("BND",CT322,DD8,CT3)</f>
        <v>입력오류</v>
      </c>
      <c r="DE322" s="2"/>
      <c r="DO322" s="21" t="str">
        <f ca="1">_xll.IMDP("BND",DF322,DO8,DF3)</f>
        <v>입력오류</v>
      </c>
      <c r="DP322" s="23" t="str">
        <f ca="1">_xll.IMDP("BND",DF322,DP8,DF3)</f>
        <v>입력오류</v>
      </c>
      <c r="DQ322" s="2"/>
      <c r="EA322" s="21" t="str">
        <f ca="1">_xll.IMDP("BND",DR322,EA8,DR3)</f>
        <v>입력오류</v>
      </c>
      <c r="EB322" s="23" t="str">
        <f ca="1">_xll.IMDP("BND",DR322,EB8,DR3)</f>
        <v>입력오류</v>
      </c>
    </row>
    <row r="323" spans="1:132" ht="13.5" customHeight="1" x14ac:dyDescent="0.3">
      <c r="A323" s="2">
        <v>46198</v>
      </c>
      <c r="B323" s="3" t="s">
        <v>2177</v>
      </c>
      <c r="C323" s="3" t="s">
        <v>1825</v>
      </c>
      <c r="D323" s="3" t="s">
        <v>2178</v>
      </c>
      <c r="E323" s="3">
        <v>0</v>
      </c>
      <c r="F323" s="3">
        <v>7.0000000000000007E-2</v>
      </c>
      <c r="G323" s="3">
        <v>0</v>
      </c>
      <c r="H323" s="3">
        <v>79916</v>
      </c>
      <c r="I323" s="3">
        <v>10030.719999999999</v>
      </c>
      <c r="J323" s="3">
        <v>1.7524</v>
      </c>
      <c r="K323" s="21">
        <f ca="1">_xll.IMDP("BND",B323,K8,B3)</f>
        <v>20280426</v>
      </c>
      <c r="L323" s="23">
        <f ca="1">_xll.IMDP("BND",B323,L8,B3)</f>
        <v>4.1029999999999998</v>
      </c>
      <c r="M323" s="2"/>
      <c r="W323" s="21" t="str">
        <f ca="1">_xll.IMDP("BND",N323,W8,N3)</f>
        <v>입력오류</v>
      </c>
      <c r="X323" s="23" t="str">
        <f ca="1">_xll.IMDP("BND",N323,X8,N3)</f>
        <v>입력오류</v>
      </c>
      <c r="Y323" s="2"/>
      <c r="AI323" s="21" t="str">
        <f ca="1">_xll.IMDP("BND",Z323,AI8,Z3)</f>
        <v>입력오류</v>
      </c>
      <c r="AJ323" s="23" t="str">
        <f ca="1">_xll.IMDP("BND",Z323,AJ8,Z3)</f>
        <v>입력오류</v>
      </c>
      <c r="AK323" s="2"/>
      <c r="AU323" s="21" t="str">
        <f ca="1">_xll.IMDP("BND",AL323,AU8,AL3)</f>
        <v>입력오류</v>
      </c>
      <c r="AV323" s="23" t="str">
        <f ca="1">_xll.IMDP("BND",AL323,AV8,AL3)</f>
        <v>입력오류</v>
      </c>
      <c r="AW323" s="2"/>
      <c r="BG323" s="21" t="str">
        <f ca="1">_xll.IMDP("BND",AX323,BG8,AX3)</f>
        <v>입력오류</v>
      </c>
      <c r="BH323" s="23" t="str">
        <f ca="1">_xll.IMDP("BND",AX323,BH8,AX3)</f>
        <v>입력오류</v>
      </c>
      <c r="BI323" s="2"/>
      <c r="BS323" s="21" t="str">
        <f ca="1">_xll.IMDP("BND",BJ323,BS8,BJ3)</f>
        <v>입력오류</v>
      </c>
      <c r="BT323" s="23" t="str">
        <f ca="1">_xll.IMDP("BND",BJ323,BT8,BJ3)</f>
        <v>입력오류</v>
      </c>
      <c r="BU323" s="2"/>
      <c r="CE323" s="21" t="str">
        <f ca="1">_xll.IMDP("BND",BV323,CE8,BV3)</f>
        <v>입력오류</v>
      </c>
      <c r="CF323" s="23" t="str">
        <f ca="1">_xll.IMDP("BND",BV323,CF8,BV3)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"/>
      <c r="DC323" s="21" t="str">
        <f ca="1">_xll.IMDP("BND",CT323,DC8,CT3)</f>
        <v>입력오류</v>
      </c>
      <c r="DD323" s="23" t="str">
        <f ca="1">_xll.IMDP("BND",CT323,DD8,CT3)</f>
        <v>입력오류</v>
      </c>
      <c r="DE323" s="2"/>
      <c r="DO323" s="21" t="str">
        <f ca="1">_xll.IMDP("BND",DF323,DO8,DF3)</f>
        <v>입력오류</v>
      </c>
      <c r="DP323" s="23" t="str">
        <f ca="1">_xll.IMDP("BND",DF323,DP8,DF3)</f>
        <v>입력오류</v>
      </c>
      <c r="DQ323" s="2"/>
      <c r="EA323" s="21" t="str">
        <f ca="1">_xll.IMDP("BND",DR323,EA8,DR3)</f>
        <v>입력오류</v>
      </c>
      <c r="EB323" s="23" t="str">
        <f ca="1">_xll.IMDP("BND",DR323,EB8,DR3)</f>
        <v>입력오류</v>
      </c>
    </row>
    <row r="324" spans="1:132" ht="13.5" customHeight="1" x14ac:dyDescent="0.3">
      <c r="A324" s="2">
        <v>46198</v>
      </c>
      <c r="B324" s="3" t="s">
        <v>2179</v>
      </c>
      <c r="C324" s="3" t="s">
        <v>2180</v>
      </c>
      <c r="D324" s="3" t="s">
        <v>2181</v>
      </c>
      <c r="E324" s="3">
        <v>0</v>
      </c>
      <c r="F324" s="3">
        <v>7.0000000000000007E-2</v>
      </c>
      <c r="G324" s="3">
        <v>0</v>
      </c>
      <c r="H324" s="3">
        <v>78727</v>
      </c>
      <c r="I324" s="3">
        <v>9882.67</v>
      </c>
      <c r="J324" s="3">
        <v>1.2896000000000001</v>
      </c>
      <c r="K324" s="21">
        <f ca="1">_xll.IMDP("BND",B324,K8,B3)</f>
        <v>20271022</v>
      </c>
      <c r="L324" s="23">
        <f ca="1">_xll.IMDP("BND",B324,L8,B3)</f>
        <v>4.0979999999999999</v>
      </c>
      <c r="M324" s="2"/>
      <c r="W324" s="21" t="str">
        <f ca="1">_xll.IMDP("BND",N324,W8,N3)</f>
        <v>입력오류</v>
      </c>
      <c r="X324" s="23" t="str">
        <f ca="1">_xll.IMDP("BND",N324,X8,N3)</f>
        <v>입력오류</v>
      </c>
      <c r="Y324" s="2"/>
      <c r="AI324" s="21" t="str">
        <f ca="1">_xll.IMDP("BND",Z324,AI8,Z3)</f>
        <v>입력오류</v>
      </c>
      <c r="AJ324" s="23" t="str">
        <f ca="1">_xll.IMDP("BND",Z324,AJ8,Z3)</f>
        <v>입력오류</v>
      </c>
      <c r="AK324" s="2"/>
      <c r="AU324" s="21" t="str">
        <f ca="1">_xll.IMDP("BND",AL324,AU8,AL3)</f>
        <v>입력오류</v>
      </c>
      <c r="AV324" s="23" t="str">
        <f ca="1">_xll.IMDP("BND",AL324,AV8,AL3)</f>
        <v>입력오류</v>
      </c>
      <c r="AW324" s="2"/>
      <c r="BG324" s="21" t="str">
        <f ca="1">_xll.IMDP("BND",AX324,BG8,AX3)</f>
        <v>입력오류</v>
      </c>
      <c r="BH324" s="23" t="str">
        <f ca="1">_xll.IMDP("BND",AX324,BH8,AX3)</f>
        <v>입력오류</v>
      </c>
      <c r="BI324" s="2"/>
      <c r="BS324" s="21" t="str">
        <f ca="1">_xll.IMDP("BND",BJ324,BS8,BJ3)</f>
        <v>입력오류</v>
      </c>
      <c r="BT324" s="23" t="str">
        <f ca="1">_xll.IMDP("BND",BJ324,BT8,BJ3)</f>
        <v>입력오류</v>
      </c>
      <c r="BU324" s="2"/>
      <c r="CE324" s="21" t="str">
        <f ca="1">_xll.IMDP("BND",BV324,CE8,BV3)</f>
        <v>입력오류</v>
      </c>
      <c r="CF324" s="23" t="str">
        <f ca="1">_xll.IMDP("BND",BV324,CF8,BV3)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"/>
      <c r="DC324" s="21" t="str">
        <f ca="1">_xll.IMDP("BND",CT324,DC8,CT3)</f>
        <v>입력오류</v>
      </c>
      <c r="DD324" s="23" t="str">
        <f ca="1">_xll.IMDP("BND",CT324,DD8,CT3)</f>
        <v>입력오류</v>
      </c>
      <c r="DE324" s="2"/>
      <c r="DO324" s="21" t="str">
        <f ca="1">_xll.IMDP("BND",DF324,DO8,DF3)</f>
        <v>입력오류</v>
      </c>
      <c r="DP324" s="23" t="str">
        <f ca="1">_xll.IMDP("BND",DF324,DP8,DF3)</f>
        <v>입력오류</v>
      </c>
      <c r="DQ324" s="2"/>
      <c r="EA324" s="21" t="str">
        <f ca="1">_xll.IMDP("BND",DR324,EA8,DR3)</f>
        <v>입력오류</v>
      </c>
      <c r="EB324" s="23" t="str">
        <f ca="1">_xll.IMDP("BND",DR324,EB8,DR3)</f>
        <v>입력오류</v>
      </c>
    </row>
    <row r="325" spans="1:132" ht="13.5" customHeight="1" x14ac:dyDescent="0.3">
      <c r="A325" s="2">
        <v>46198</v>
      </c>
      <c r="B325" s="3" t="s">
        <v>2182</v>
      </c>
      <c r="C325" s="3" t="s">
        <v>131</v>
      </c>
      <c r="D325" s="3" t="s">
        <v>2183</v>
      </c>
      <c r="E325" s="3">
        <v>0</v>
      </c>
      <c r="F325" s="3">
        <v>7.0000000000000007E-2</v>
      </c>
      <c r="G325" s="3">
        <v>0</v>
      </c>
      <c r="H325" s="3">
        <v>73459</v>
      </c>
      <c r="I325" s="3">
        <v>9221.32</v>
      </c>
      <c r="J325" s="3">
        <v>2.1332</v>
      </c>
      <c r="K325" s="21">
        <f ca="1">_xll.IMDP("BND",B325,K8,B3)</f>
        <v>20280910</v>
      </c>
      <c r="L325" s="23">
        <f ca="1">_xll.IMDP("BND",B325,L8,B3)</f>
        <v>3.7290000000000001</v>
      </c>
      <c r="M325" s="2"/>
      <c r="W325" s="21" t="str">
        <f ca="1">_xll.IMDP("BND",N325,W8,N3)</f>
        <v>입력오류</v>
      </c>
      <c r="X325" s="23" t="str">
        <f ca="1">_xll.IMDP("BND",N325,X8,N3)</f>
        <v>입력오류</v>
      </c>
      <c r="Y325" s="2"/>
      <c r="AI325" s="21" t="str">
        <f ca="1">_xll.IMDP("BND",Z325,AI8,Z3)</f>
        <v>입력오류</v>
      </c>
      <c r="AJ325" s="23" t="str">
        <f ca="1">_xll.IMDP("BND",Z325,AJ8,Z3)</f>
        <v>입력오류</v>
      </c>
      <c r="AK325" s="2"/>
      <c r="AU325" s="21" t="str">
        <f ca="1">_xll.IMDP("BND",AL325,AU8,AL3)</f>
        <v>입력오류</v>
      </c>
      <c r="AV325" s="23" t="str">
        <f ca="1">_xll.IMDP("BND",AL325,AV8,AL3)</f>
        <v>입력오류</v>
      </c>
      <c r="AW325" s="2"/>
      <c r="BG325" s="21" t="str">
        <f ca="1">_xll.IMDP("BND",AX325,BG8,AX3)</f>
        <v>입력오류</v>
      </c>
      <c r="BH325" s="23" t="str">
        <f ca="1">_xll.IMDP("BND",AX325,BH8,AX3)</f>
        <v>입력오류</v>
      </c>
      <c r="BI325" s="2"/>
      <c r="BS325" s="21" t="str">
        <f ca="1">_xll.IMDP("BND",BJ325,BS8,BJ3)</f>
        <v>입력오류</v>
      </c>
      <c r="BT325" s="23" t="str">
        <f ca="1">_xll.IMDP("BND",BJ325,BT8,BJ3)</f>
        <v>입력오류</v>
      </c>
      <c r="BU325" s="2"/>
      <c r="CE325" s="21" t="str">
        <f ca="1">_xll.IMDP("BND",BV325,CE8,BV3)</f>
        <v>입력오류</v>
      </c>
      <c r="CF325" s="23" t="str">
        <f ca="1">_xll.IMDP("BND",BV325,CF8,BV3)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"/>
      <c r="DC325" s="21" t="str">
        <f ca="1">_xll.IMDP("BND",CT325,DC8,CT3)</f>
        <v>입력오류</v>
      </c>
      <c r="DD325" s="23" t="str">
        <f ca="1">_xll.IMDP("BND",CT325,DD8,CT3)</f>
        <v>입력오류</v>
      </c>
      <c r="DE325" s="2"/>
      <c r="DO325" s="21" t="str">
        <f ca="1">_xll.IMDP("BND",DF325,DO8,DF3)</f>
        <v>입력오류</v>
      </c>
      <c r="DP325" s="23" t="str">
        <f ca="1">_xll.IMDP("BND",DF325,DP8,DF3)</f>
        <v>입력오류</v>
      </c>
      <c r="DQ325" s="2"/>
      <c r="EA325" s="21" t="str">
        <f ca="1">_xll.IMDP("BND",DR325,EA8,DR3)</f>
        <v>입력오류</v>
      </c>
      <c r="EB325" s="23" t="str">
        <f ca="1">_xll.IMDP("BND",DR325,EB8,DR3)</f>
        <v>입력오류</v>
      </c>
    </row>
    <row r="326" spans="1:132" ht="13.5" customHeight="1" x14ac:dyDescent="0.3">
      <c r="A326" s="2">
        <v>46198</v>
      </c>
      <c r="B326" s="3" t="s">
        <v>83</v>
      </c>
      <c r="C326" s="3" t="s">
        <v>84</v>
      </c>
      <c r="D326" s="3" t="s">
        <v>85</v>
      </c>
      <c r="E326" s="3">
        <v>0</v>
      </c>
      <c r="F326" s="3">
        <v>0.06</v>
      </c>
      <c r="G326" s="3">
        <v>0</v>
      </c>
      <c r="H326" s="3">
        <v>72093</v>
      </c>
      <c r="I326" s="3">
        <v>9049.24</v>
      </c>
      <c r="J326" s="3">
        <v>3.7374999999999998</v>
      </c>
      <c r="K326" s="21">
        <f ca="1">_xll.IMDP("BND",B326,K8,B3)</f>
        <v>20300528</v>
      </c>
      <c r="L326" s="23">
        <f ca="1">_xll.IMDP("BND",B326,L8,B3)</f>
        <v>4.1870000000000003</v>
      </c>
      <c r="M326" s="2"/>
      <c r="W326" s="21" t="str">
        <f ca="1">_xll.IMDP("BND",N326,W8,N3)</f>
        <v>입력오류</v>
      </c>
      <c r="X326" s="23" t="str">
        <f ca="1">_xll.IMDP("BND",N326,X8,N3)</f>
        <v>입력오류</v>
      </c>
      <c r="Y326" s="2"/>
      <c r="AI326" s="21" t="str">
        <f ca="1">_xll.IMDP("BND",Z326,AI8,Z3)</f>
        <v>입력오류</v>
      </c>
      <c r="AJ326" s="23" t="str">
        <f ca="1">_xll.IMDP("BND",Z326,AJ8,Z3)</f>
        <v>입력오류</v>
      </c>
      <c r="AK326" s="2"/>
      <c r="AU326" s="21" t="str">
        <f ca="1">_xll.IMDP("BND",AL326,AU8,AL3)</f>
        <v>입력오류</v>
      </c>
      <c r="AV326" s="23" t="str">
        <f ca="1">_xll.IMDP("BND",AL326,AV8,AL3)</f>
        <v>입력오류</v>
      </c>
      <c r="AW326" s="2"/>
      <c r="BG326" s="21" t="str">
        <f ca="1">_xll.IMDP("BND",AX326,BG8,AX3)</f>
        <v>입력오류</v>
      </c>
      <c r="BH326" s="23" t="str">
        <f ca="1">_xll.IMDP("BND",AX326,BH8,AX3)</f>
        <v>입력오류</v>
      </c>
      <c r="BI326" s="2"/>
      <c r="BS326" s="21" t="str">
        <f ca="1">_xll.IMDP("BND",BJ326,BS8,BJ3)</f>
        <v>입력오류</v>
      </c>
      <c r="BT326" s="23" t="str">
        <f ca="1">_xll.IMDP("BND",BJ326,BT8,BJ3)</f>
        <v>입력오류</v>
      </c>
      <c r="BU326" s="2"/>
      <c r="CE326" s="21" t="str">
        <f ca="1">_xll.IMDP("BND",BV326,CE8,BV3)</f>
        <v>입력오류</v>
      </c>
      <c r="CF326" s="23" t="str">
        <f ca="1">_xll.IMDP("BND",BV326,CF8,BV3)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"/>
      <c r="DC326" s="21" t="str">
        <f ca="1">_xll.IMDP("BND",CT326,DC8,CT3)</f>
        <v>입력오류</v>
      </c>
      <c r="DD326" s="23" t="str">
        <f ca="1">_xll.IMDP("BND",CT326,DD8,CT3)</f>
        <v>입력오류</v>
      </c>
      <c r="DE326" s="2"/>
      <c r="DO326" s="21" t="str">
        <f ca="1">_xll.IMDP("BND",DF326,DO8,DF3)</f>
        <v>입력오류</v>
      </c>
      <c r="DP326" s="23" t="str">
        <f ca="1">_xll.IMDP("BND",DF326,DP8,DF3)</f>
        <v>입력오류</v>
      </c>
      <c r="DQ326" s="2"/>
      <c r="EA326" s="21" t="str">
        <f ca="1">_xll.IMDP("BND",DR326,EA8,DR3)</f>
        <v>입력오류</v>
      </c>
      <c r="EB326" s="23" t="str">
        <f ca="1">_xll.IMDP("BND",DR326,EB8,DR3)</f>
        <v>입력오류</v>
      </c>
    </row>
    <row r="327" spans="1:132" ht="13.5" customHeight="1" x14ac:dyDescent="0.3">
      <c r="A327" s="2">
        <v>46198</v>
      </c>
      <c r="B327" s="3" t="s">
        <v>1661</v>
      </c>
      <c r="C327" s="3" t="s">
        <v>50</v>
      </c>
      <c r="D327" s="3" t="s">
        <v>1662</v>
      </c>
      <c r="E327" s="3">
        <v>0</v>
      </c>
      <c r="F327" s="3">
        <v>0.05</v>
      </c>
      <c r="G327" s="3">
        <v>0</v>
      </c>
      <c r="H327" s="3">
        <v>58473</v>
      </c>
      <c r="I327" s="3">
        <v>10009.6</v>
      </c>
      <c r="J327" s="3">
        <v>0.69230000000000003</v>
      </c>
      <c r="K327" s="21">
        <f ca="1">_xll.IMDP("BND",B327,K8,B3)</f>
        <v>20270310</v>
      </c>
      <c r="L327" s="23">
        <f ca="1">_xll.IMDP("BND",B327,L8,B3)</f>
        <v>3.2210000000000001</v>
      </c>
      <c r="M327" s="2"/>
      <c r="W327" s="21" t="str">
        <f ca="1">_xll.IMDP("BND",N327,W8,N3)</f>
        <v>입력오류</v>
      </c>
      <c r="X327" s="23" t="str">
        <f ca="1">_xll.IMDP("BND",N327,X8,N3)</f>
        <v>입력오류</v>
      </c>
      <c r="Y327" s="2"/>
      <c r="AI327" s="21" t="str">
        <f ca="1">_xll.IMDP("BND",Z327,AI8,Z3)</f>
        <v>입력오류</v>
      </c>
      <c r="AJ327" s="23" t="str">
        <f ca="1">_xll.IMDP("BND",Z327,AJ8,Z3)</f>
        <v>입력오류</v>
      </c>
      <c r="AK327" s="2"/>
      <c r="AU327" s="21" t="str">
        <f ca="1">_xll.IMDP("BND",AL327,AU8,AL3)</f>
        <v>입력오류</v>
      </c>
      <c r="AV327" s="23" t="str">
        <f ca="1">_xll.IMDP("BND",AL327,AV8,AL3)</f>
        <v>입력오류</v>
      </c>
      <c r="AW327" s="2"/>
      <c r="BG327" s="21" t="str">
        <f ca="1">_xll.IMDP("BND",AX327,BG8,AX3)</f>
        <v>입력오류</v>
      </c>
      <c r="BH327" s="23" t="str">
        <f ca="1">_xll.IMDP("BND",AX327,BH8,AX3)</f>
        <v>입력오류</v>
      </c>
      <c r="BI327" s="2"/>
      <c r="BS327" s="21" t="str">
        <f ca="1">_xll.IMDP("BND",BJ327,BS8,BJ3)</f>
        <v>입력오류</v>
      </c>
      <c r="BT327" s="23" t="str">
        <f ca="1">_xll.IMDP("BND",BJ327,BT8,BJ3)</f>
        <v>입력오류</v>
      </c>
      <c r="BU327" s="2"/>
      <c r="CE327" s="21" t="str">
        <f ca="1">_xll.IMDP("BND",BV327,CE8,BV3)</f>
        <v>입력오류</v>
      </c>
      <c r="CF327" s="23" t="str">
        <f ca="1">_xll.IMDP("BND",BV327,CF8,BV3)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"/>
      <c r="DC327" s="21" t="str">
        <f ca="1">_xll.IMDP("BND",CT327,DC8,CT3)</f>
        <v>입력오류</v>
      </c>
      <c r="DD327" s="23" t="str">
        <f ca="1">_xll.IMDP("BND",CT327,DD8,CT3)</f>
        <v>입력오류</v>
      </c>
      <c r="DE327" s="2"/>
      <c r="DO327" s="21" t="str">
        <f ca="1">_xll.IMDP("BND",DF327,DO8,DF3)</f>
        <v>입력오류</v>
      </c>
      <c r="DP327" s="23" t="str">
        <f ca="1">_xll.IMDP("BND",DF327,DP8,DF3)</f>
        <v>입력오류</v>
      </c>
      <c r="DQ327" s="2"/>
      <c r="EA327" s="21" t="str">
        <f ca="1">_xll.IMDP("BND",DR327,EA8,DR3)</f>
        <v>입력오류</v>
      </c>
      <c r="EB327" s="23" t="str">
        <f ca="1">_xll.IMDP("BND",DR327,EB8,DR3)</f>
        <v>입력오류</v>
      </c>
    </row>
    <row r="328" spans="1:132" ht="13.5" customHeight="1" x14ac:dyDescent="0.3">
      <c r="A328" s="2">
        <v>46198</v>
      </c>
      <c r="B328" s="3" t="s">
        <v>1551</v>
      </c>
      <c r="C328" s="3" t="s">
        <v>50</v>
      </c>
      <c r="D328" s="3" t="s">
        <v>1552</v>
      </c>
      <c r="E328" s="3">
        <v>0</v>
      </c>
      <c r="F328" s="3">
        <v>0.05</v>
      </c>
      <c r="G328" s="3">
        <v>0</v>
      </c>
      <c r="H328" s="3">
        <v>53438</v>
      </c>
      <c r="I328" s="3">
        <v>10062.620000000001</v>
      </c>
      <c r="J328" s="3">
        <v>2.0882999999999998</v>
      </c>
      <c r="K328" s="21">
        <f ca="1">_xll.IMDP("BND",B328,K8,B3)</f>
        <v>20280910</v>
      </c>
      <c r="L328" s="23">
        <f ca="1">_xll.IMDP("BND",B328,L8,B3)</f>
        <v>3.6819999999999999</v>
      </c>
      <c r="M328" s="2"/>
      <c r="W328" s="21" t="str">
        <f ca="1">_xll.IMDP("BND",N328,W8,N3)</f>
        <v>입력오류</v>
      </c>
      <c r="X328" s="23" t="str">
        <f ca="1">_xll.IMDP("BND",N328,X8,N3)</f>
        <v>입력오류</v>
      </c>
      <c r="Y328" s="2"/>
      <c r="AI328" s="21" t="str">
        <f ca="1">_xll.IMDP("BND",Z328,AI8,Z3)</f>
        <v>입력오류</v>
      </c>
      <c r="AJ328" s="23" t="str">
        <f ca="1">_xll.IMDP("BND",Z328,AJ8,Z3)</f>
        <v>입력오류</v>
      </c>
      <c r="AK328" s="2"/>
      <c r="AU328" s="21" t="str">
        <f ca="1">_xll.IMDP("BND",AL328,AU8,AL3)</f>
        <v>입력오류</v>
      </c>
      <c r="AV328" s="23" t="str">
        <f ca="1">_xll.IMDP("BND",AL328,AV8,AL3)</f>
        <v>입력오류</v>
      </c>
      <c r="AW328" s="2"/>
      <c r="BG328" s="21" t="str">
        <f ca="1">_xll.IMDP("BND",AX328,BG8,AX3)</f>
        <v>입력오류</v>
      </c>
      <c r="BH328" s="23" t="str">
        <f ca="1">_xll.IMDP("BND",AX328,BH8,AX3)</f>
        <v>입력오류</v>
      </c>
      <c r="BI328" s="2"/>
      <c r="BS328" s="21" t="str">
        <f ca="1">_xll.IMDP("BND",BJ328,BS8,BJ3)</f>
        <v>입력오류</v>
      </c>
      <c r="BT328" s="23" t="str">
        <f ca="1">_xll.IMDP("BND",BJ328,BT8,BJ3)</f>
        <v>입력오류</v>
      </c>
      <c r="BU328" s="2"/>
      <c r="CE328" s="21" t="str">
        <f ca="1">_xll.IMDP("BND",BV328,CE8,BV3)</f>
        <v>입력오류</v>
      </c>
      <c r="CF328" s="23" t="str">
        <f ca="1">_xll.IMDP("BND",BV328,CF8,BV3)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"/>
      <c r="DC328" s="21" t="str">
        <f ca="1">_xll.IMDP("BND",CT328,DC8,CT3)</f>
        <v>입력오류</v>
      </c>
      <c r="DD328" s="23" t="str">
        <f ca="1">_xll.IMDP("BND",CT328,DD8,CT3)</f>
        <v>입력오류</v>
      </c>
      <c r="DE328" s="2"/>
      <c r="DO328" s="21" t="str">
        <f ca="1">_xll.IMDP("BND",DF328,DO8,DF3)</f>
        <v>입력오류</v>
      </c>
      <c r="DP328" s="23" t="str">
        <f ca="1">_xll.IMDP("BND",DF328,DP8,DF3)</f>
        <v>입력오류</v>
      </c>
      <c r="DQ328" s="2"/>
      <c r="EA328" s="21" t="str">
        <f ca="1">_xll.IMDP("BND",DR328,EA8,DR3)</f>
        <v>입력오류</v>
      </c>
      <c r="EB328" s="23" t="str">
        <f ca="1">_xll.IMDP("BND",DR328,EB8,DR3)</f>
        <v>입력오류</v>
      </c>
    </row>
    <row r="329" spans="1:132" ht="13.5" customHeight="1" x14ac:dyDescent="0.3">
      <c r="A329" s="2">
        <v>46198</v>
      </c>
      <c r="B329" s="3" t="s">
        <v>2184</v>
      </c>
      <c r="C329" s="3" t="s">
        <v>2083</v>
      </c>
      <c r="D329" s="3" t="s">
        <v>2185</v>
      </c>
      <c r="E329" s="3">
        <v>0</v>
      </c>
      <c r="F329" s="3">
        <v>0.05</v>
      </c>
      <c r="G329" s="3">
        <v>0</v>
      </c>
      <c r="H329" s="3">
        <v>53341</v>
      </c>
      <c r="I329" s="3">
        <v>10044.799999999999</v>
      </c>
      <c r="J329" s="3">
        <v>0.65969999999999995</v>
      </c>
      <c r="K329" s="21">
        <f ca="1">_xll.IMDP("BND",B329,K8,B3)</f>
        <v>20270226</v>
      </c>
      <c r="L329" s="23">
        <f ca="1">_xll.IMDP("BND",B329,L8,B3)</f>
        <v>3.5550000000000002</v>
      </c>
      <c r="M329" s="2"/>
      <c r="W329" s="21" t="str">
        <f ca="1">_xll.IMDP("BND",N329,W8,N3)</f>
        <v>입력오류</v>
      </c>
      <c r="X329" s="23" t="str">
        <f ca="1">_xll.IMDP("BND",N329,X8,N3)</f>
        <v>입력오류</v>
      </c>
      <c r="Y329" s="2"/>
      <c r="AI329" s="21" t="str">
        <f ca="1">_xll.IMDP("BND",Z329,AI8,Z3)</f>
        <v>입력오류</v>
      </c>
      <c r="AJ329" s="23" t="str">
        <f ca="1">_xll.IMDP("BND",Z329,AJ8,Z3)</f>
        <v>입력오류</v>
      </c>
      <c r="AK329" s="2"/>
      <c r="AU329" s="21" t="str">
        <f ca="1">_xll.IMDP("BND",AL329,AU8,AL3)</f>
        <v>입력오류</v>
      </c>
      <c r="AV329" s="23" t="str">
        <f ca="1">_xll.IMDP("BND",AL329,AV8,AL3)</f>
        <v>입력오류</v>
      </c>
      <c r="AW329" s="2"/>
      <c r="BG329" s="21" t="str">
        <f ca="1">_xll.IMDP("BND",AX329,BG8,AX3)</f>
        <v>입력오류</v>
      </c>
      <c r="BH329" s="23" t="str">
        <f ca="1">_xll.IMDP("BND",AX329,BH8,AX3)</f>
        <v>입력오류</v>
      </c>
      <c r="BI329" s="2"/>
      <c r="BS329" s="21" t="str">
        <f ca="1">_xll.IMDP("BND",BJ329,BS8,BJ3)</f>
        <v>입력오류</v>
      </c>
      <c r="BT329" s="23" t="str">
        <f ca="1">_xll.IMDP("BND",BJ329,BT8,BJ3)</f>
        <v>입력오류</v>
      </c>
      <c r="BU329" s="2"/>
      <c r="CE329" s="21" t="str">
        <f ca="1">_xll.IMDP("BND",BV329,CE8,BV3)</f>
        <v>입력오류</v>
      </c>
      <c r="CF329" s="23" t="str">
        <f ca="1">_xll.IMDP("BND",BV329,CF8,BV3)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"/>
      <c r="DC329" s="21" t="str">
        <f ca="1">_xll.IMDP("BND",CT329,DC8,CT3)</f>
        <v>입력오류</v>
      </c>
      <c r="DD329" s="23" t="str">
        <f ca="1">_xll.IMDP("BND",CT329,DD8,CT3)</f>
        <v>입력오류</v>
      </c>
      <c r="DE329" s="2"/>
      <c r="DO329" s="21" t="str">
        <f ca="1">_xll.IMDP("BND",DF329,DO8,DF3)</f>
        <v>입력오류</v>
      </c>
      <c r="DP329" s="23" t="str">
        <f ca="1">_xll.IMDP("BND",DF329,DP8,DF3)</f>
        <v>입력오류</v>
      </c>
      <c r="DQ329" s="2"/>
      <c r="EA329" s="21" t="str">
        <f ca="1">_xll.IMDP("BND",DR329,EA8,DR3)</f>
        <v>입력오류</v>
      </c>
      <c r="EB329" s="23" t="str">
        <f ca="1">_xll.IMDP("BND",DR329,EB8,DR3)</f>
        <v>입력오류</v>
      </c>
    </row>
    <row r="330" spans="1:132" ht="13.5" customHeight="1" x14ac:dyDescent="0.3">
      <c r="A330" s="2">
        <v>46198</v>
      </c>
      <c r="B330" s="3" t="s">
        <v>2186</v>
      </c>
      <c r="C330" s="3" t="s">
        <v>50</v>
      </c>
      <c r="D330" s="3" t="s">
        <v>2187</v>
      </c>
      <c r="E330" s="3">
        <v>0</v>
      </c>
      <c r="F330" s="3">
        <v>0.05</v>
      </c>
      <c r="G330" s="3">
        <v>0</v>
      </c>
      <c r="H330" s="3">
        <v>53261</v>
      </c>
      <c r="I330" s="3">
        <v>10029.219999999999</v>
      </c>
      <c r="J330" s="3">
        <v>0.20780000000000001</v>
      </c>
      <c r="K330" s="21">
        <f ca="1">_xll.IMDP("BND",B330,K8,B3)</f>
        <v>20260910</v>
      </c>
      <c r="L330" s="23">
        <f ca="1">_xll.IMDP("BND",B330,L8,B3)</f>
        <v>2.7759999999999998</v>
      </c>
      <c r="M330" s="2"/>
      <c r="W330" s="21" t="str">
        <f ca="1">_xll.IMDP("BND",N330,W8,N3)</f>
        <v>입력오류</v>
      </c>
      <c r="X330" s="23" t="str">
        <f ca="1">_xll.IMDP("BND",N330,X8,N3)</f>
        <v>입력오류</v>
      </c>
      <c r="Y330" s="2"/>
      <c r="AI330" s="21" t="str">
        <f ca="1">_xll.IMDP("BND",Z330,AI8,Z3)</f>
        <v>입력오류</v>
      </c>
      <c r="AJ330" s="23" t="str">
        <f ca="1">_xll.IMDP("BND",Z330,AJ8,Z3)</f>
        <v>입력오류</v>
      </c>
      <c r="AK330" s="2"/>
      <c r="AU330" s="21" t="str">
        <f ca="1">_xll.IMDP("BND",AL330,AU8,AL3)</f>
        <v>입력오류</v>
      </c>
      <c r="AV330" s="23" t="str">
        <f ca="1">_xll.IMDP("BND",AL330,AV8,AL3)</f>
        <v>입력오류</v>
      </c>
      <c r="AW330" s="2"/>
      <c r="BG330" s="21" t="str">
        <f ca="1">_xll.IMDP("BND",AX330,BG8,AX3)</f>
        <v>입력오류</v>
      </c>
      <c r="BH330" s="23" t="str">
        <f ca="1">_xll.IMDP("BND",AX330,BH8,AX3)</f>
        <v>입력오류</v>
      </c>
      <c r="BI330" s="2"/>
      <c r="BS330" s="21" t="str">
        <f ca="1">_xll.IMDP("BND",BJ330,BS8,BJ3)</f>
        <v>입력오류</v>
      </c>
      <c r="BT330" s="23" t="str">
        <f ca="1">_xll.IMDP("BND",BJ330,BT8,BJ3)</f>
        <v>입력오류</v>
      </c>
      <c r="BU330" s="2"/>
      <c r="CE330" s="21" t="str">
        <f ca="1">_xll.IMDP("BND",BV330,CE8,BV3)</f>
        <v>입력오류</v>
      </c>
      <c r="CF330" s="23" t="str">
        <f ca="1">_xll.IMDP("BND",BV330,CF8,BV3)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"/>
      <c r="DC330" s="21" t="str">
        <f ca="1">_xll.IMDP("BND",CT330,DC8,CT3)</f>
        <v>입력오류</v>
      </c>
      <c r="DD330" s="23" t="str">
        <f ca="1">_xll.IMDP("BND",CT330,DD8,CT3)</f>
        <v>입력오류</v>
      </c>
      <c r="DE330" s="2"/>
      <c r="DO330" s="21" t="str">
        <f ca="1">_xll.IMDP("BND",DF330,DO8,DF3)</f>
        <v>입력오류</v>
      </c>
      <c r="DP330" s="23" t="str">
        <f ca="1">_xll.IMDP("BND",DF330,DP8,DF3)</f>
        <v>입력오류</v>
      </c>
      <c r="DQ330" s="2"/>
      <c r="EA330" s="21" t="str">
        <f ca="1">_xll.IMDP("BND",DR330,EA8,DR3)</f>
        <v>입력오류</v>
      </c>
      <c r="EB330" s="23" t="str">
        <f ca="1">_xll.IMDP("BND",DR330,EB8,DR3)</f>
        <v>입력오류</v>
      </c>
    </row>
    <row r="331" spans="1:132" ht="13.5" customHeight="1" x14ac:dyDescent="0.3">
      <c r="A331" s="2">
        <v>46198</v>
      </c>
      <c r="B331" s="3" t="s">
        <v>1549</v>
      </c>
      <c r="C331" s="3" t="s">
        <v>252</v>
      </c>
      <c r="D331" s="3" t="s">
        <v>1550</v>
      </c>
      <c r="E331" s="3">
        <v>0</v>
      </c>
      <c r="F331" s="3">
        <v>0.05</v>
      </c>
      <c r="G331" s="3">
        <v>0</v>
      </c>
      <c r="H331" s="3">
        <v>53210</v>
      </c>
      <c r="I331" s="3">
        <v>10019.6</v>
      </c>
      <c r="J331" s="3">
        <v>0.9022</v>
      </c>
      <c r="K331" s="21">
        <f ca="1">_xll.IMDP("BND",B331,K8,B3)</f>
        <v>20270528</v>
      </c>
      <c r="L331" s="23">
        <f ca="1">_xll.IMDP("BND",B331,L8,B3)</f>
        <v>3.7559999999999998</v>
      </c>
      <c r="M331" s="2"/>
      <c r="W331" s="21" t="str">
        <f ca="1">_xll.IMDP("BND",N331,W8,N3)</f>
        <v>입력오류</v>
      </c>
      <c r="X331" s="23" t="str">
        <f ca="1">_xll.IMDP("BND",N331,X8,N3)</f>
        <v>입력오류</v>
      </c>
      <c r="Y331" s="2"/>
      <c r="AI331" s="21" t="str">
        <f ca="1">_xll.IMDP("BND",Z331,AI8,Z3)</f>
        <v>입력오류</v>
      </c>
      <c r="AJ331" s="23" t="str">
        <f ca="1">_xll.IMDP("BND",Z331,AJ8,Z3)</f>
        <v>입력오류</v>
      </c>
      <c r="AK331" s="2"/>
      <c r="AU331" s="21" t="str">
        <f ca="1">_xll.IMDP("BND",AL331,AU8,AL3)</f>
        <v>입력오류</v>
      </c>
      <c r="AV331" s="23" t="str">
        <f ca="1">_xll.IMDP("BND",AL331,AV8,AL3)</f>
        <v>입력오류</v>
      </c>
      <c r="AW331" s="2"/>
      <c r="BG331" s="21" t="str">
        <f ca="1">_xll.IMDP("BND",AX331,BG8,AX3)</f>
        <v>입력오류</v>
      </c>
      <c r="BH331" s="23" t="str">
        <f ca="1">_xll.IMDP("BND",AX331,BH8,AX3)</f>
        <v>입력오류</v>
      </c>
      <c r="BI331" s="2"/>
      <c r="BS331" s="21" t="str">
        <f ca="1">_xll.IMDP("BND",BJ331,BS8,BJ3)</f>
        <v>입력오류</v>
      </c>
      <c r="BT331" s="23" t="str">
        <f ca="1">_xll.IMDP("BND",BJ331,BT8,BJ3)</f>
        <v>입력오류</v>
      </c>
      <c r="BU331" s="2"/>
      <c r="CE331" s="21" t="str">
        <f ca="1">_xll.IMDP("BND",BV331,CE8,BV3)</f>
        <v>입력오류</v>
      </c>
      <c r="CF331" s="23" t="str">
        <f ca="1">_xll.IMDP("BND",BV331,CF8,BV3)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"/>
      <c r="DC331" s="21" t="str">
        <f ca="1">_xll.IMDP("BND",CT331,DC8,CT3)</f>
        <v>입력오류</v>
      </c>
      <c r="DD331" s="23" t="str">
        <f ca="1">_xll.IMDP("BND",CT331,DD8,CT3)</f>
        <v>입력오류</v>
      </c>
      <c r="DE331" s="2"/>
      <c r="DO331" s="21" t="str">
        <f ca="1">_xll.IMDP("BND",DF331,DO8,DF3)</f>
        <v>입력오류</v>
      </c>
      <c r="DP331" s="23" t="str">
        <f ca="1">_xll.IMDP("BND",DF331,DP8,DF3)</f>
        <v>입력오류</v>
      </c>
      <c r="DQ331" s="2"/>
      <c r="EA331" s="21" t="str">
        <f ca="1">_xll.IMDP("BND",DR331,EA8,DR3)</f>
        <v>입력오류</v>
      </c>
      <c r="EB331" s="23" t="str">
        <f ca="1">_xll.IMDP("BND",DR331,EB8,DR3)</f>
        <v>입력오류</v>
      </c>
    </row>
    <row r="332" spans="1:132" ht="13.5" customHeight="1" x14ac:dyDescent="0.3">
      <c r="A332" s="2">
        <v>46198</v>
      </c>
      <c r="B332" s="3" t="s">
        <v>2188</v>
      </c>
      <c r="C332" s="3" t="s">
        <v>2189</v>
      </c>
      <c r="D332" s="3" t="s">
        <v>2190</v>
      </c>
      <c r="E332" s="3">
        <v>0</v>
      </c>
      <c r="F332" s="3">
        <v>0.05</v>
      </c>
      <c r="G332" s="3">
        <v>0</v>
      </c>
      <c r="H332" s="3">
        <v>53117</v>
      </c>
      <c r="I332" s="3">
        <v>10001.77</v>
      </c>
      <c r="J332" s="3">
        <v>1.2067000000000001</v>
      </c>
      <c r="K332" s="21">
        <f ca="1">_xll.IMDP("BND",B332,K8,B3)</f>
        <v>20270924</v>
      </c>
      <c r="L332" s="23">
        <f ca="1">_xll.IMDP("BND",B332,L8,B3)</f>
        <v>4.0620000000000003</v>
      </c>
      <c r="M332" s="2"/>
      <c r="W332" s="21" t="str">
        <f ca="1">_xll.IMDP("BND",N332,W8,N3)</f>
        <v>입력오류</v>
      </c>
      <c r="X332" s="23" t="str">
        <f ca="1">_xll.IMDP("BND",N332,X8,N3)</f>
        <v>입력오류</v>
      </c>
      <c r="Y332" s="2"/>
      <c r="AI332" s="21" t="str">
        <f ca="1">_xll.IMDP("BND",Z332,AI8,Z3)</f>
        <v>입력오류</v>
      </c>
      <c r="AJ332" s="23" t="str">
        <f ca="1">_xll.IMDP("BND",Z332,AJ8,Z3)</f>
        <v>입력오류</v>
      </c>
      <c r="AK332" s="2"/>
      <c r="AU332" s="21" t="str">
        <f ca="1">_xll.IMDP("BND",AL332,AU8,AL3)</f>
        <v>입력오류</v>
      </c>
      <c r="AV332" s="23" t="str">
        <f ca="1">_xll.IMDP("BND",AL332,AV8,AL3)</f>
        <v>입력오류</v>
      </c>
      <c r="AW332" s="2"/>
      <c r="BG332" s="21" t="str">
        <f ca="1">_xll.IMDP("BND",AX332,BG8,AX3)</f>
        <v>입력오류</v>
      </c>
      <c r="BH332" s="23" t="str">
        <f ca="1">_xll.IMDP("BND",AX332,BH8,AX3)</f>
        <v>입력오류</v>
      </c>
      <c r="BI332" s="2"/>
      <c r="BS332" s="21" t="str">
        <f ca="1">_xll.IMDP("BND",BJ332,BS8,BJ3)</f>
        <v>입력오류</v>
      </c>
      <c r="BT332" s="23" t="str">
        <f ca="1">_xll.IMDP("BND",BJ332,BT8,BJ3)</f>
        <v>입력오류</v>
      </c>
      <c r="BU332" s="2"/>
      <c r="CE332" s="21" t="str">
        <f ca="1">_xll.IMDP("BND",BV332,CE8,BV3)</f>
        <v>입력오류</v>
      </c>
      <c r="CF332" s="23" t="str">
        <f ca="1">_xll.IMDP("BND",BV332,CF8,BV3)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"/>
      <c r="DC332" s="21" t="str">
        <f ca="1">_xll.IMDP("BND",CT332,DC8,CT3)</f>
        <v>입력오류</v>
      </c>
      <c r="DD332" s="23" t="str">
        <f ca="1">_xll.IMDP("BND",CT332,DD8,CT3)</f>
        <v>입력오류</v>
      </c>
      <c r="DE332" s="2"/>
      <c r="DO332" s="21" t="str">
        <f ca="1">_xll.IMDP("BND",DF332,DO8,DF3)</f>
        <v>입력오류</v>
      </c>
      <c r="DP332" s="23" t="str">
        <f ca="1">_xll.IMDP("BND",DF332,DP8,DF3)</f>
        <v>입력오류</v>
      </c>
      <c r="DQ332" s="2"/>
      <c r="EA332" s="21" t="str">
        <f ca="1">_xll.IMDP("BND",DR332,EA8,DR3)</f>
        <v>입력오류</v>
      </c>
      <c r="EB332" s="23" t="str">
        <f ca="1">_xll.IMDP("BND",DR332,EB8,DR3)</f>
        <v>입력오류</v>
      </c>
    </row>
    <row r="333" spans="1:132" ht="13.5" customHeight="1" x14ac:dyDescent="0.3">
      <c r="A333" s="2">
        <v>46198</v>
      </c>
      <c r="B333" s="3" t="s">
        <v>2191</v>
      </c>
      <c r="C333" s="3" t="s">
        <v>2192</v>
      </c>
      <c r="D333" s="3" t="s">
        <v>2193</v>
      </c>
      <c r="E333" s="3">
        <v>0</v>
      </c>
      <c r="F333" s="3">
        <v>0.05</v>
      </c>
      <c r="G333" s="3">
        <v>0</v>
      </c>
      <c r="H333" s="3">
        <v>51570</v>
      </c>
      <c r="I333" s="3">
        <v>9711.42</v>
      </c>
      <c r="J333" s="3">
        <v>1.5879000000000001</v>
      </c>
      <c r="K333" s="21">
        <f ca="1">_xll.IMDP("BND",B333,K8,B3)</f>
        <v>20280216</v>
      </c>
      <c r="L333" s="23">
        <f ca="1">_xll.IMDP("BND",B333,L8,B3)</f>
        <v>3.9489999999999998</v>
      </c>
      <c r="M333" s="2"/>
      <c r="W333" s="21" t="str">
        <f ca="1">_xll.IMDP("BND",N333,W8,N3)</f>
        <v>입력오류</v>
      </c>
      <c r="X333" s="23" t="str">
        <f ca="1">_xll.IMDP("BND",N333,X8,N3)</f>
        <v>입력오류</v>
      </c>
      <c r="Y333" s="2"/>
      <c r="AI333" s="21" t="str">
        <f ca="1">_xll.IMDP("BND",Z333,AI8,Z3)</f>
        <v>입력오류</v>
      </c>
      <c r="AJ333" s="23" t="str">
        <f ca="1">_xll.IMDP("BND",Z333,AJ8,Z3)</f>
        <v>입력오류</v>
      </c>
      <c r="AK333" s="2"/>
      <c r="AU333" s="21" t="str">
        <f ca="1">_xll.IMDP("BND",AL333,AU8,AL3)</f>
        <v>입력오류</v>
      </c>
      <c r="AV333" s="23" t="str">
        <f ca="1">_xll.IMDP("BND",AL333,AV8,AL3)</f>
        <v>입력오류</v>
      </c>
      <c r="AW333" s="2"/>
      <c r="BG333" s="21" t="str">
        <f ca="1">_xll.IMDP("BND",AX333,BG8,AX3)</f>
        <v>입력오류</v>
      </c>
      <c r="BH333" s="23" t="str">
        <f ca="1">_xll.IMDP("BND",AX333,BH8,AX3)</f>
        <v>입력오류</v>
      </c>
      <c r="BI333" s="2"/>
      <c r="BS333" s="21" t="str">
        <f ca="1">_xll.IMDP("BND",BJ333,BS8,BJ3)</f>
        <v>입력오류</v>
      </c>
      <c r="BT333" s="23" t="str">
        <f ca="1">_xll.IMDP("BND",BJ333,BT8,BJ3)</f>
        <v>입력오류</v>
      </c>
      <c r="BU333" s="2"/>
      <c r="CE333" s="21" t="str">
        <f ca="1">_xll.IMDP("BND",BV333,CE8,BV3)</f>
        <v>입력오류</v>
      </c>
      <c r="CF333" s="23" t="str">
        <f ca="1">_xll.IMDP("BND",BV333,CF8,BV3)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"/>
      <c r="DC333" s="21" t="str">
        <f ca="1">_xll.IMDP("BND",CT333,DC8,CT3)</f>
        <v>입력오류</v>
      </c>
      <c r="DD333" s="23" t="str">
        <f ca="1">_xll.IMDP("BND",CT333,DD8,CT3)</f>
        <v>입력오류</v>
      </c>
      <c r="DE333" s="2"/>
      <c r="DO333" s="21" t="str">
        <f ca="1">_xll.IMDP("BND",DF333,DO8,DF3)</f>
        <v>입력오류</v>
      </c>
      <c r="DP333" s="23" t="str">
        <f ca="1">_xll.IMDP("BND",DF333,DP8,DF3)</f>
        <v>입력오류</v>
      </c>
      <c r="DQ333" s="2"/>
      <c r="EA333" s="21" t="str">
        <f ca="1">_xll.IMDP("BND",DR333,EA8,DR3)</f>
        <v>입력오류</v>
      </c>
      <c r="EB333" s="23" t="str">
        <f ca="1">_xll.IMDP("BND",DR333,EB8,DR3)</f>
        <v>입력오류</v>
      </c>
    </row>
    <row r="334" spans="1:132" ht="13.5" customHeight="1" x14ac:dyDescent="0.3">
      <c r="A334" s="2">
        <v>46198</v>
      </c>
      <c r="B334" s="3" t="s">
        <v>1561</v>
      </c>
      <c r="C334" s="3" t="s">
        <v>29</v>
      </c>
      <c r="D334" s="3" t="s">
        <v>1562</v>
      </c>
      <c r="E334" s="3">
        <v>0</v>
      </c>
      <c r="F334" s="3">
        <v>0.05</v>
      </c>
      <c r="G334" s="3">
        <v>0</v>
      </c>
      <c r="H334" s="3">
        <v>51523</v>
      </c>
      <c r="I334" s="3">
        <v>9701.9500000000007</v>
      </c>
      <c r="J334" s="3">
        <v>2.3584999999999998</v>
      </c>
      <c r="K334" s="21">
        <f ca="1">_xll.IMDP("BND",B334,K8,B3)</f>
        <v>20281210</v>
      </c>
      <c r="L334" s="23">
        <f ca="1">_xll.IMDP("BND",B334,L8,B3)</f>
        <v>3.6949999999999998</v>
      </c>
      <c r="M334" s="2"/>
      <c r="W334" s="21" t="str">
        <f ca="1">_xll.IMDP("BND",N334,W8,N3)</f>
        <v>입력오류</v>
      </c>
      <c r="X334" s="23" t="str">
        <f ca="1">_xll.IMDP("BND",N334,X8,N3)</f>
        <v>입력오류</v>
      </c>
      <c r="Y334" s="2"/>
      <c r="AI334" s="21" t="str">
        <f ca="1">_xll.IMDP("BND",Z334,AI8,Z3)</f>
        <v>입력오류</v>
      </c>
      <c r="AJ334" s="23" t="str">
        <f ca="1">_xll.IMDP("BND",Z334,AJ8,Z3)</f>
        <v>입력오류</v>
      </c>
      <c r="AK334" s="2"/>
      <c r="AU334" s="21" t="str">
        <f ca="1">_xll.IMDP("BND",AL334,AU8,AL3)</f>
        <v>입력오류</v>
      </c>
      <c r="AV334" s="23" t="str">
        <f ca="1">_xll.IMDP("BND",AL334,AV8,AL3)</f>
        <v>입력오류</v>
      </c>
      <c r="AW334" s="2"/>
      <c r="BG334" s="21" t="str">
        <f ca="1">_xll.IMDP("BND",AX334,BG8,AX3)</f>
        <v>입력오류</v>
      </c>
      <c r="BH334" s="23" t="str">
        <f ca="1">_xll.IMDP("BND",AX334,BH8,AX3)</f>
        <v>입력오류</v>
      </c>
      <c r="BI334" s="2"/>
      <c r="BS334" s="21" t="str">
        <f ca="1">_xll.IMDP("BND",BJ334,BS8,BJ3)</f>
        <v>입력오류</v>
      </c>
      <c r="BT334" s="23" t="str">
        <f ca="1">_xll.IMDP("BND",BJ334,BT8,BJ3)</f>
        <v>입력오류</v>
      </c>
      <c r="BU334" s="2"/>
      <c r="CE334" s="21" t="str">
        <f ca="1">_xll.IMDP("BND",BV334,CE8,BV3)</f>
        <v>입력오류</v>
      </c>
      <c r="CF334" s="23" t="str">
        <f ca="1">_xll.IMDP("BND",BV334,CF8,BV3)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"/>
      <c r="DC334" s="21" t="str">
        <f ca="1">_xll.IMDP("BND",CT334,DC8,CT3)</f>
        <v>입력오류</v>
      </c>
      <c r="DD334" s="23" t="str">
        <f ca="1">_xll.IMDP("BND",CT334,DD8,CT3)</f>
        <v>입력오류</v>
      </c>
      <c r="DE334" s="2"/>
      <c r="DO334" s="21" t="str">
        <f ca="1">_xll.IMDP("BND",DF334,DO8,DF3)</f>
        <v>입력오류</v>
      </c>
      <c r="DP334" s="23" t="str">
        <f ca="1">_xll.IMDP("BND",DF334,DP8,DF3)</f>
        <v>입력오류</v>
      </c>
      <c r="DQ334" s="2"/>
      <c r="EA334" s="21" t="str">
        <f ca="1">_xll.IMDP("BND",DR334,EA8,DR3)</f>
        <v>입력오류</v>
      </c>
      <c r="EB334" s="23" t="str">
        <f ca="1">_xll.IMDP("BND",DR334,EB8,DR3)</f>
        <v>입력오류</v>
      </c>
    </row>
    <row r="335" spans="1:132" ht="13.5" customHeight="1" x14ac:dyDescent="0.3">
      <c r="A335" s="2">
        <v>46198</v>
      </c>
      <c r="B335" s="3" t="s">
        <v>1439</v>
      </c>
      <c r="C335" s="3" t="s">
        <v>1440</v>
      </c>
      <c r="D335" s="3" t="s">
        <v>1441</v>
      </c>
      <c r="E335" s="3">
        <v>0</v>
      </c>
      <c r="F335" s="3">
        <v>0.05</v>
      </c>
      <c r="G335" s="3">
        <v>0</v>
      </c>
      <c r="H335" s="3">
        <v>50634</v>
      </c>
      <c r="I335" s="3">
        <v>9537.7199999999993</v>
      </c>
      <c r="J335" s="3">
        <v>5.5206</v>
      </c>
      <c r="K335" s="21">
        <f ca="1">_xll.IMDP("BND",B335,K8,B3)</f>
        <v>20320926</v>
      </c>
      <c r="L335" s="23">
        <f ca="1">_xll.IMDP("BND",B335,L8,B3)</f>
        <v>4.2880000000000003</v>
      </c>
      <c r="M335" s="2"/>
      <c r="W335" s="21" t="str">
        <f ca="1">_xll.IMDP("BND",N335,W8,N3)</f>
        <v>입력오류</v>
      </c>
      <c r="X335" s="23" t="str">
        <f ca="1">_xll.IMDP("BND",N335,X8,N3)</f>
        <v>입력오류</v>
      </c>
      <c r="Y335" s="2"/>
      <c r="AI335" s="21" t="str">
        <f ca="1">_xll.IMDP("BND",Z335,AI8,Z3)</f>
        <v>입력오류</v>
      </c>
      <c r="AJ335" s="23" t="str">
        <f ca="1">_xll.IMDP("BND",Z335,AJ8,Z3)</f>
        <v>입력오류</v>
      </c>
      <c r="AK335" s="2"/>
      <c r="AU335" s="21" t="str">
        <f ca="1">_xll.IMDP("BND",AL335,AU8,AL3)</f>
        <v>입력오류</v>
      </c>
      <c r="AV335" s="23" t="str">
        <f ca="1">_xll.IMDP("BND",AL335,AV8,AL3)</f>
        <v>입력오류</v>
      </c>
      <c r="AW335" s="2"/>
      <c r="BG335" s="21" t="str">
        <f ca="1">_xll.IMDP("BND",AX335,BG8,AX3)</f>
        <v>입력오류</v>
      </c>
      <c r="BH335" s="23" t="str">
        <f ca="1">_xll.IMDP("BND",AX335,BH8,AX3)</f>
        <v>입력오류</v>
      </c>
      <c r="BI335" s="2"/>
      <c r="BS335" s="21" t="str">
        <f ca="1">_xll.IMDP("BND",BJ335,BS8,BJ3)</f>
        <v>입력오류</v>
      </c>
      <c r="BT335" s="23" t="str">
        <f ca="1">_xll.IMDP("BND",BJ335,BT8,BJ3)</f>
        <v>입력오류</v>
      </c>
      <c r="BU335" s="2"/>
      <c r="CE335" s="21" t="str">
        <f ca="1">_xll.IMDP("BND",BV335,CE8,BV3)</f>
        <v>입력오류</v>
      </c>
      <c r="CF335" s="23" t="str">
        <f ca="1">_xll.IMDP("BND",BV335,CF8,BV3)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"/>
      <c r="DC335" s="21" t="str">
        <f ca="1">_xll.IMDP("BND",CT335,DC8,CT3)</f>
        <v>입력오류</v>
      </c>
      <c r="DD335" s="23" t="str">
        <f ca="1">_xll.IMDP("BND",CT335,DD8,CT3)</f>
        <v>입력오류</v>
      </c>
      <c r="DE335" s="2"/>
      <c r="DO335" s="21" t="str">
        <f ca="1">_xll.IMDP("BND",DF335,DO8,DF3)</f>
        <v>입력오류</v>
      </c>
      <c r="DP335" s="23" t="str">
        <f ca="1">_xll.IMDP("BND",DF335,DP8,DF3)</f>
        <v>입력오류</v>
      </c>
      <c r="DQ335" s="2"/>
      <c r="EA335" s="21" t="str">
        <f ca="1">_xll.IMDP("BND",DR335,EA8,DR3)</f>
        <v>입력오류</v>
      </c>
      <c r="EB335" s="23" t="str">
        <f ca="1">_xll.IMDP("BND",DR335,EB8,DR3)</f>
        <v>입력오류</v>
      </c>
    </row>
    <row r="336" spans="1:132" ht="13.5" customHeight="1" x14ac:dyDescent="0.3">
      <c r="A336" s="2">
        <v>46198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0.05</v>
      </c>
      <c r="G336" s="3">
        <v>0</v>
      </c>
      <c r="H336" s="3">
        <v>50389</v>
      </c>
      <c r="I336" s="3">
        <v>9488.39</v>
      </c>
      <c r="J336" s="3">
        <v>6.1288999999999998</v>
      </c>
      <c r="K336" s="21">
        <f ca="1">_xll.IMDP("BND",B336,K8,B3)</f>
        <v>20330610</v>
      </c>
      <c r="L336" s="23">
        <f ca="1">_xll.IMDP("BND",B336,L8,B3)</f>
        <v>4.125</v>
      </c>
      <c r="M336" s="2"/>
      <c r="W336" s="21" t="str">
        <f ca="1">_xll.IMDP("BND",N336,W8,N3)</f>
        <v>입력오류</v>
      </c>
      <c r="X336" s="23" t="str">
        <f ca="1">_xll.IMDP("BND",N336,X8,N3)</f>
        <v>입력오류</v>
      </c>
      <c r="Y336" s="2"/>
      <c r="AI336" s="21" t="str">
        <f ca="1">_xll.IMDP("BND",Z336,AI8,Z3)</f>
        <v>입력오류</v>
      </c>
      <c r="AJ336" s="23" t="str">
        <f ca="1">_xll.IMDP("BND",Z336,AJ8,Z3)</f>
        <v>입력오류</v>
      </c>
      <c r="AK336" s="2"/>
      <c r="AU336" s="21" t="str">
        <f ca="1">_xll.IMDP("BND",AL336,AU8,AL3)</f>
        <v>입력오류</v>
      </c>
      <c r="AV336" s="23" t="str">
        <f ca="1">_xll.IMDP("BND",AL336,AV8,AL3)</f>
        <v>입력오류</v>
      </c>
      <c r="AW336" s="2"/>
      <c r="BG336" s="21" t="str">
        <f ca="1">_xll.IMDP("BND",AX336,BG8,AX3)</f>
        <v>입력오류</v>
      </c>
      <c r="BH336" s="23" t="str">
        <f ca="1">_xll.IMDP("BND",AX336,BH8,AX3)</f>
        <v>입력오류</v>
      </c>
      <c r="BI336" s="2"/>
      <c r="BS336" s="21" t="str">
        <f ca="1">_xll.IMDP("BND",BJ336,BS8,BJ3)</f>
        <v>입력오류</v>
      </c>
      <c r="BT336" s="23" t="str">
        <f ca="1">_xll.IMDP("BND",BJ336,BT8,BJ3)</f>
        <v>입력오류</v>
      </c>
      <c r="BU336" s="2"/>
      <c r="CE336" s="21" t="str">
        <f ca="1">_xll.IMDP("BND",BV336,CE8,BV3)</f>
        <v>입력오류</v>
      </c>
      <c r="CF336" s="23" t="str">
        <f ca="1">_xll.IMDP("BND",BV336,CF8,BV3)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"/>
      <c r="DC336" s="21" t="str">
        <f ca="1">_xll.IMDP("BND",CT336,DC8,CT3)</f>
        <v>입력오류</v>
      </c>
      <c r="DD336" s="23" t="str">
        <f ca="1">_xll.IMDP("BND",CT336,DD8,CT3)</f>
        <v>입력오류</v>
      </c>
      <c r="DE336" s="2"/>
      <c r="DO336" s="21" t="str">
        <f ca="1">_xll.IMDP("BND",DF336,DO8,DF3)</f>
        <v>입력오류</v>
      </c>
      <c r="DP336" s="23" t="str">
        <f ca="1">_xll.IMDP("BND",DF336,DP8,DF3)</f>
        <v>입력오류</v>
      </c>
      <c r="DQ336" s="2"/>
      <c r="EA336" s="21" t="str">
        <f ca="1">_xll.IMDP("BND",DR336,EA8,DR3)</f>
        <v>입력오류</v>
      </c>
      <c r="EB336" s="23" t="str">
        <f ca="1">_xll.IMDP("BND",DR336,EB8,DR3)</f>
        <v>입력오류</v>
      </c>
    </row>
    <row r="337" spans="1:132" ht="13.5" customHeight="1" x14ac:dyDescent="0.3">
      <c r="A337" s="2">
        <v>46198</v>
      </c>
      <c r="B337" s="3" t="s">
        <v>2194</v>
      </c>
      <c r="C337" s="3" t="s">
        <v>408</v>
      </c>
      <c r="D337" s="3" t="s">
        <v>2195</v>
      </c>
      <c r="E337" s="3">
        <v>0</v>
      </c>
      <c r="F337" s="3">
        <v>0.04</v>
      </c>
      <c r="G337" s="3">
        <v>0</v>
      </c>
      <c r="H337" s="3">
        <v>44515</v>
      </c>
      <c r="I337" s="3">
        <v>9860.7199999999993</v>
      </c>
      <c r="J337" s="3">
        <v>1.5994999999999999</v>
      </c>
      <c r="K337" s="21">
        <f ca="1">_xll.IMDP("BND",B337,K8,B3)</f>
        <v>20280220</v>
      </c>
      <c r="L337" s="23">
        <f ca="1">_xll.IMDP("BND",B337,L8,B3)</f>
        <v>4.0629999999999997</v>
      </c>
      <c r="M337" s="2"/>
      <c r="W337" s="21" t="str">
        <f ca="1">_xll.IMDP("BND",N337,W8,N3)</f>
        <v>입력오류</v>
      </c>
      <c r="X337" s="23" t="str">
        <f ca="1">_xll.IMDP("BND",N337,X8,N3)</f>
        <v>입력오류</v>
      </c>
      <c r="Y337" s="2"/>
      <c r="AI337" s="21" t="str">
        <f ca="1">_xll.IMDP("BND",Z337,AI8,Z3)</f>
        <v>입력오류</v>
      </c>
      <c r="AJ337" s="23" t="str">
        <f ca="1">_xll.IMDP("BND",Z337,AJ8,Z3)</f>
        <v>입력오류</v>
      </c>
      <c r="AK337" s="2"/>
      <c r="AU337" s="21" t="str">
        <f ca="1">_xll.IMDP("BND",AL337,AU8,AL3)</f>
        <v>입력오류</v>
      </c>
      <c r="AV337" s="23" t="str">
        <f ca="1">_xll.IMDP("BND",AL337,AV8,AL3)</f>
        <v>입력오류</v>
      </c>
      <c r="AW337" s="2"/>
      <c r="BG337" s="21" t="str">
        <f ca="1">_xll.IMDP("BND",AX337,BG8,AX3)</f>
        <v>입력오류</v>
      </c>
      <c r="BH337" s="23" t="str">
        <f ca="1">_xll.IMDP("BND",AX337,BH8,AX3)</f>
        <v>입력오류</v>
      </c>
      <c r="BI337" s="2"/>
      <c r="BS337" s="21" t="str">
        <f ca="1">_xll.IMDP("BND",BJ337,BS8,BJ3)</f>
        <v>입력오류</v>
      </c>
      <c r="BT337" s="23" t="str">
        <f ca="1">_xll.IMDP("BND",BJ337,BT8,BJ3)</f>
        <v>입력오류</v>
      </c>
      <c r="BU337" s="2"/>
      <c r="CE337" s="21" t="str">
        <f ca="1">_xll.IMDP("BND",BV337,CE8,BV3)</f>
        <v>입력오류</v>
      </c>
      <c r="CF337" s="23" t="str">
        <f ca="1">_xll.IMDP("BND",BV337,CF8,BV3)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"/>
      <c r="DC337" s="21" t="str">
        <f ca="1">_xll.IMDP("BND",CT337,DC8,CT3)</f>
        <v>입력오류</v>
      </c>
      <c r="DD337" s="23" t="str">
        <f ca="1">_xll.IMDP("BND",CT337,DD8,CT3)</f>
        <v>입력오류</v>
      </c>
      <c r="DE337" s="2"/>
      <c r="DO337" s="21" t="str">
        <f ca="1">_xll.IMDP("BND",DF337,DO8,DF3)</f>
        <v>입력오류</v>
      </c>
      <c r="DP337" s="23" t="str">
        <f ca="1">_xll.IMDP("BND",DF337,DP8,DF3)</f>
        <v>입력오류</v>
      </c>
      <c r="DQ337" s="2"/>
      <c r="EA337" s="21" t="str">
        <f ca="1">_xll.IMDP("BND",DR337,EA8,DR3)</f>
        <v>입력오류</v>
      </c>
      <c r="EB337" s="23" t="str">
        <f ca="1">_xll.IMDP("BND",DR337,EB8,DR3)</f>
        <v>입력오류</v>
      </c>
    </row>
    <row r="338" spans="1:132" ht="13.5" customHeight="1" x14ac:dyDescent="0.3">
      <c r="A338" s="2">
        <v>46198</v>
      </c>
      <c r="B338" s="3" t="s">
        <v>1434</v>
      </c>
      <c r="C338" s="3" t="s">
        <v>29</v>
      </c>
      <c r="D338" s="3" t="s">
        <v>1435</v>
      </c>
      <c r="E338" s="3">
        <v>0</v>
      </c>
      <c r="F338" s="3">
        <v>0.04</v>
      </c>
      <c r="G338" s="3">
        <v>0</v>
      </c>
      <c r="H338" s="3">
        <v>44340</v>
      </c>
      <c r="I338" s="3">
        <v>9822.76</v>
      </c>
      <c r="J338" s="3">
        <v>1.8875999999999999</v>
      </c>
      <c r="K338" s="21">
        <f ca="1">_xll.IMDP("BND",B338,K8,B3)</f>
        <v>20280610</v>
      </c>
      <c r="L338" s="23">
        <f ca="1">_xll.IMDP("BND",B338,L8,B3)</f>
        <v>3.6259999999999999</v>
      </c>
      <c r="M338" s="2"/>
      <c r="W338" s="21" t="str">
        <f ca="1">_xll.IMDP("BND",N338,W8,N3)</f>
        <v>입력오류</v>
      </c>
      <c r="X338" s="23" t="str">
        <f ca="1">_xll.IMDP("BND",N338,X8,N3)</f>
        <v>입력오류</v>
      </c>
      <c r="Y338" s="2"/>
      <c r="AI338" s="21" t="str">
        <f ca="1">_xll.IMDP("BND",Z338,AI8,Z3)</f>
        <v>입력오류</v>
      </c>
      <c r="AJ338" s="23" t="str">
        <f ca="1">_xll.IMDP("BND",Z338,AJ8,Z3)</f>
        <v>입력오류</v>
      </c>
      <c r="AK338" s="2"/>
      <c r="AU338" s="21" t="str">
        <f ca="1">_xll.IMDP("BND",AL338,AU8,AL3)</f>
        <v>입력오류</v>
      </c>
      <c r="AV338" s="23" t="str">
        <f ca="1">_xll.IMDP("BND",AL338,AV8,AL3)</f>
        <v>입력오류</v>
      </c>
      <c r="AW338" s="2"/>
      <c r="BG338" s="21" t="str">
        <f ca="1">_xll.IMDP("BND",AX338,BG8,AX3)</f>
        <v>입력오류</v>
      </c>
      <c r="BH338" s="23" t="str">
        <f ca="1">_xll.IMDP("BND",AX338,BH8,AX3)</f>
        <v>입력오류</v>
      </c>
      <c r="BI338" s="2"/>
      <c r="BS338" s="21" t="str">
        <f ca="1">_xll.IMDP("BND",BJ338,BS8,BJ3)</f>
        <v>입력오류</v>
      </c>
      <c r="BT338" s="23" t="str">
        <f ca="1">_xll.IMDP("BND",BJ338,BT8,BJ3)</f>
        <v>입력오류</v>
      </c>
      <c r="BU338" s="2"/>
      <c r="CE338" s="21" t="str">
        <f ca="1">_xll.IMDP("BND",BV338,CE8,BV3)</f>
        <v>입력오류</v>
      </c>
      <c r="CF338" s="23" t="str">
        <f ca="1">_xll.IMDP("BND",BV338,CF8,BV3)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"/>
      <c r="DC338" s="21" t="str">
        <f ca="1">_xll.IMDP("BND",CT338,DC8,CT3)</f>
        <v>입력오류</v>
      </c>
      <c r="DD338" s="23" t="str">
        <f ca="1">_xll.IMDP("BND",CT338,DD8,CT3)</f>
        <v>입력오류</v>
      </c>
      <c r="DE338" s="2"/>
      <c r="DO338" s="21" t="str">
        <f ca="1">_xll.IMDP("BND",DF338,DO8,DF3)</f>
        <v>입력오류</v>
      </c>
      <c r="DP338" s="23" t="str">
        <f ca="1">_xll.IMDP("BND",DF338,DP8,DF3)</f>
        <v>입력오류</v>
      </c>
      <c r="DQ338" s="2"/>
      <c r="EA338" s="21" t="str">
        <f ca="1">_xll.IMDP("BND",DR338,EA8,DR3)</f>
        <v>입력오류</v>
      </c>
      <c r="EB338" s="23" t="str">
        <f ca="1">_xll.IMDP("BND",DR338,EB8,DR3)</f>
        <v>입력오류</v>
      </c>
    </row>
    <row r="339" spans="1:132" ht="13.5" customHeight="1" x14ac:dyDescent="0.3">
      <c r="A339" s="2">
        <v>46198</v>
      </c>
      <c r="B339" s="3" t="s">
        <v>2196</v>
      </c>
      <c r="C339" s="3" t="s">
        <v>1339</v>
      </c>
      <c r="D339" s="3" t="s">
        <v>2197</v>
      </c>
      <c r="E339" s="3">
        <v>0</v>
      </c>
      <c r="F339" s="3">
        <v>0.04</v>
      </c>
      <c r="G339" s="3">
        <v>0</v>
      </c>
      <c r="H339" s="3">
        <v>40256</v>
      </c>
      <c r="I339" s="3">
        <v>10106.89</v>
      </c>
      <c r="J339" s="3">
        <v>2.0068000000000001</v>
      </c>
      <c r="K339" s="21">
        <f ca="1">_xll.IMDP("BND",B339,K8,B3)</f>
        <v>20280807</v>
      </c>
      <c r="L339" s="23">
        <f ca="1">_xll.IMDP("BND",B339,L8,B3)</f>
        <v>3.9990000000000001</v>
      </c>
      <c r="M339" s="2"/>
      <c r="W339" s="21" t="str">
        <f ca="1">_xll.IMDP("BND",N339,W8,N3)</f>
        <v>입력오류</v>
      </c>
      <c r="X339" s="23" t="str">
        <f ca="1">_xll.IMDP("BND",N339,X8,N3)</f>
        <v>입력오류</v>
      </c>
      <c r="Y339" s="2"/>
      <c r="AI339" s="21" t="str">
        <f ca="1">_xll.IMDP("BND",Z339,AI8,Z3)</f>
        <v>입력오류</v>
      </c>
      <c r="AJ339" s="23" t="str">
        <f ca="1">_xll.IMDP("BND",Z339,AJ8,Z3)</f>
        <v>입력오류</v>
      </c>
      <c r="AK339" s="2"/>
      <c r="AU339" s="21" t="str">
        <f ca="1">_xll.IMDP("BND",AL339,AU8,AL3)</f>
        <v>입력오류</v>
      </c>
      <c r="AV339" s="23" t="str">
        <f ca="1">_xll.IMDP("BND",AL339,AV8,AL3)</f>
        <v>입력오류</v>
      </c>
      <c r="AW339" s="2"/>
      <c r="BG339" s="21" t="str">
        <f ca="1">_xll.IMDP("BND",AX339,BG8,AX3)</f>
        <v>입력오류</v>
      </c>
      <c r="BH339" s="23" t="str">
        <f ca="1">_xll.IMDP("BND",AX339,BH8,AX3)</f>
        <v>입력오류</v>
      </c>
      <c r="BI339" s="2"/>
      <c r="BS339" s="21" t="str">
        <f ca="1">_xll.IMDP("BND",BJ339,BS8,BJ3)</f>
        <v>입력오류</v>
      </c>
      <c r="BT339" s="23" t="str">
        <f ca="1">_xll.IMDP("BND",BJ339,BT8,BJ3)</f>
        <v>입력오류</v>
      </c>
      <c r="BU339" s="2"/>
      <c r="CE339" s="21" t="str">
        <f ca="1">_xll.IMDP("BND",BV339,CE8,BV3)</f>
        <v>입력오류</v>
      </c>
      <c r="CF339" s="23" t="str">
        <f ca="1">_xll.IMDP("BND",BV339,CF8,BV3)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"/>
      <c r="DC339" s="21" t="str">
        <f ca="1">_xll.IMDP("BND",CT339,DC8,CT3)</f>
        <v>입력오류</v>
      </c>
      <c r="DD339" s="23" t="str">
        <f ca="1">_xll.IMDP("BND",CT339,DD8,CT3)</f>
        <v>입력오류</v>
      </c>
      <c r="DE339" s="2"/>
      <c r="DO339" s="21" t="str">
        <f ca="1">_xll.IMDP("BND",DF339,DO8,DF3)</f>
        <v>입력오류</v>
      </c>
      <c r="DP339" s="23" t="str">
        <f ca="1">_xll.IMDP("BND",DF339,DP8,DF3)</f>
        <v>입력오류</v>
      </c>
      <c r="DQ339" s="2"/>
      <c r="EA339" s="21" t="str">
        <f ca="1">_xll.IMDP("BND",DR339,EA8,DR3)</f>
        <v>입력오류</v>
      </c>
      <c r="EB339" s="23" t="str">
        <f ca="1">_xll.IMDP("BND",DR339,EB8,DR3)</f>
        <v>입력오류</v>
      </c>
    </row>
    <row r="340" spans="1:132" ht="13.5" customHeight="1" x14ac:dyDescent="0.3">
      <c r="A340" s="2">
        <v>46198</v>
      </c>
      <c r="B340" s="3" t="s">
        <v>47</v>
      </c>
      <c r="C340" s="3" t="s">
        <v>29</v>
      </c>
      <c r="D340" s="3" t="s">
        <v>48</v>
      </c>
      <c r="E340" s="3">
        <v>0</v>
      </c>
      <c r="F340" s="3">
        <v>0.03</v>
      </c>
      <c r="G340" s="3">
        <v>0</v>
      </c>
      <c r="H340" s="3">
        <v>38575</v>
      </c>
      <c r="I340" s="3">
        <v>7264.13</v>
      </c>
      <c r="J340" s="3">
        <v>18.0136</v>
      </c>
      <c r="K340" s="21">
        <f ca="1">_xll.IMDP("BND",B340,K8,B3)</f>
        <v>20550310</v>
      </c>
      <c r="L340" s="23">
        <f ca="1">_xll.IMDP("BND",B340,L8,B3)</f>
        <v>4.3490000000000002</v>
      </c>
      <c r="M340" s="2"/>
      <c r="W340" s="21" t="str">
        <f ca="1">_xll.IMDP("BND",N340,W8,N3)</f>
        <v>입력오류</v>
      </c>
      <c r="X340" s="23" t="str">
        <f ca="1">_xll.IMDP("BND",N340,X8,N3)</f>
        <v>입력오류</v>
      </c>
      <c r="Y340" s="2"/>
      <c r="AI340" s="21" t="str">
        <f ca="1">_xll.IMDP("BND",Z340,AI8,Z3)</f>
        <v>입력오류</v>
      </c>
      <c r="AJ340" s="23" t="str">
        <f ca="1">_xll.IMDP("BND",Z340,AJ8,Z3)</f>
        <v>입력오류</v>
      </c>
      <c r="AK340" s="2"/>
      <c r="AU340" s="21" t="str">
        <f ca="1">_xll.IMDP("BND",AL340,AU8,AL3)</f>
        <v>입력오류</v>
      </c>
      <c r="AV340" s="23" t="str">
        <f ca="1">_xll.IMDP("BND",AL340,AV8,AL3)</f>
        <v>입력오류</v>
      </c>
      <c r="AW340" s="2"/>
      <c r="BG340" s="21" t="str">
        <f ca="1">_xll.IMDP("BND",AX340,BG8,AX3)</f>
        <v>입력오류</v>
      </c>
      <c r="BH340" s="23" t="str">
        <f ca="1">_xll.IMDP("BND",AX340,BH8,AX3)</f>
        <v>입력오류</v>
      </c>
      <c r="BI340" s="2"/>
      <c r="BS340" s="21" t="str">
        <f ca="1">_xll.IMDP("BND",BJ340,BS8,BJ3)</f>
        <v>입력오류</v>
      </c>
      <c r="BT340" s="23" t="str">
        <f ca="1">_xll.IMDP("BND",BJ340,BT8,BJ3)</f>
        <v>입력오류</v>
      </c>
      <c r="BU340" s="2"/>
      <c r="CE340" s="21" t="str">
        <f ca="1">_xll.IMDP("BND",BV340,CE8,BV3)</f>
        <v>입력오류</v>
      </c>
      <c r="CF340" s="23" t="str">
        <f ca="1">_xll.IMDP("BND",BV340,CF8,BV3)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"/>
      <c r="DC340" s="21" t="str">
        <f ca="1">_xll.IMDP("BND",CT340,DC8,CT3)</f>
        <v>입력오류</v>
      </c>
      <c r="DD340" s="23" t="str">
        <f ca="1">_xll.IMDP("BND",CT340,DD8,CT3)</f>
        <v>입력오류</v>
      </c>
      <c r="DE340" s="2"/>
      <c r="DO340" s="21" t="str">
        <f ca="1">_xll.IMDP("BND",DF340,DO8,DF3)</f>
        <v>입력오류</v>
      </c>
      <c r="DP340" s="23" t="str">
        <f ca="1">_xll.IMDP("BND",DF340,DP8,DF3)</f>
        <v>입력오류</v>
      </c>
      <c r="DQ340" s="2"/>
      <c r="EA340" s="21" t="str">
        <f ca="1">_xll.IMDP("BND",DR340,EA8,DR3)</f>
        <v>입력오류</v>
      </c>
      <c r="EB340" s="23" t="str">
        <f ca="1">_xll.IMDP("BND",DR340,EB8,DR3)</f>
        <v>입력오류</v>
      </c>
    </row>
    <row r="341" spans="1:132" ht="13.5" customHeight="1" x14ac:dyDescent="0.3">
      <c r="A341" s="2">
        <v>46198</v>
      </c>
      <c r="B341" s="3" t="s">
        <v>1709</v>
      </c>
      <c r="C341" s="3" t="s">
        <v>50</v>
      </c>
      <c r="D341" s="3" t="s">
        <v>1710</v>
      </c>
      <c r="E341" s="3">
        <v>0</v>
      </c>
      <c r="F341" s="3">
        <v>0.03</v>
      </c>
      <c r="G341" s="3">
        <v>0</v>
      </c>
      <c r="H341" s="3">
        <v>34780</v>
      </c>
      <c r="I341" s="3">
        <v>9960.9599999999991</v>
      </c>
      <c r="J341" s="3">
        <v>2.5438999999999998</v>
      </c>
      <c r="K341" s="21">
        <f ca="1">_xll.IMDP("BND",B341,K8,B3)</f>
        <v>20290310</v>
      </c>
      <c r="L341" s="23">
        <f ca="1">_xll.IMDP("BND",B341,L8,B3)</f>
        <v>3.77</v>
      </c>
      <c r="M341" s="2"/>
      <c r="W341" s="21" t="str">
        <f ca="1">_xll.IMDP("BND",N341,W8,N3)</f>
        <v>입력오류</v>
      </c>
      <c r="X341" s="23" t="str">
        <f ca="1">_xll.IMDP("BND",N341,X8,N3)</f>
        <v>입력오류</v>
      </c>
      <c r="Y341" s="2"/>
      <c r="AI341" s="21" t="str">
        <f ca="1">_xll.IMDP("BND",Z341,AI8,Z3)</f>
        <v>입력오류</v>
      </c>
      <c r="AJ341" s="23" t="str">
        <f ca="1">_xll.IMDP("BND",Z341,AJ8,Z3)</f>
        <v>입력오류</v>
      </c>
      <c r="AK341" s="2"/>
      <c r="AU341" s="21" t="str">
        <f ca="1">_xll.IMDP("BND",AL341,AU8,AL3)</f>
        <v>입력오류</v>
      </c>
      <c r="AV341" s="23" t="str">
        <f ca="1">_xll.IMDP("BND",AL341,AV8,AL3)</f>
        <v>입력오류</v>
      </c>
      <c r="AW341" s="2"/>
      <c r="BG341" s="21" t="str">
        <f ca="1">_xll.IMDP("BND",AX341,BG8,AX3)</f>
        <v>입력오류</v>
      </c>
      <c r="BH341" s="23" t="str">
        <f ca="1">_xll.IMDP("BND",AX341,BH8,AX3)</f>
        <v>입력오류</v>
      </c>
      <c r="BI341" s="2"/>
      <c r="BS341" s="21" t="str">
        <f ca="1">_xll.IMDP("BND",BJ341,BS8,BJ3)</f>
        <v>입력오류</v>
      </c>
      <c r="BT341" s="23" t="str">
        <f ca="1">_xll.IMDP("BND",BJ341,BT8,BJ3)</f>
        <v>입력오류</v>
      </c>
      <c r="BU341" s="2"/>
      <c r="CE341" s="21" t="str">
        <f ca="1">_xll.IMDP("BND",BV341,CE8,BV3)</f>
        <v>입력오류</v>
      </c>
      <c r="CF341" s="23" t="str">
        <f ca="1">_xll.IMDP("BND",BV341,CF8,BV3)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"/>
      <c r="DC341" s="21" t="str">
        <f ca="1">_xll.IMDP("BND",CT341,DC8,CT3)</f>
        <v>입력오류</v>
      </c>
      <c r="DD341" s="23" t="str">
        <f ca="1">_xll.IMDP("BND",CT341,DD8,CT3)</f>
        <v>입력오류</v>
      </c>
      <c r="DE341" s="2"/>
      <c r="DO341" s="21" t="str">
        <f ca="1">_xll.IMDP("BND",DF341,DO8,DF3)</f>
        <v>입력오류</v>
      </c>
      <c r="DP341" s="23" t="str">
        <f ca="1">_xll.IMDP("BND",DF341,DP8,DF3)</f>
        <v>입력오류</v>
      </c>
      <c r="DQ341" s="2"/>
      <c r="EA341" s="21" t="str">
        <f ca="1">_xll.IMDP("BND",DR341,EA8,DR3)</f>
        <v>입력오류</v>
      </c>
      <c r="EB341" s="23" t="str">
        <f ca="1">_xll.IMDP("BND",DR341,EB8,DR3)</f>
        <v>입력오류</v>
      </c>
    </row>
    <row r="342" spans="1:132" ht="13.5" customHeight="1" x14ac:dyDescent="0.3">
      <c r="A342" s="2">
        <v>46198</v>
      </c>
      <c r="B342" s="3" t="s">
        <v>1694</v>
      </c>
      <c r="C342" s="3" t="s">
        <v>1695</v>
      </c>
      <c r="D342" s="3" t="s">
        <v>1696</v>
      </c>
      <c r="E342" s="3">
        <v>0</v>
      </c>
      <c r="F342" s="3">
        <v>0.03</v>
      </c>
      <c r="G342" s="3">
        <v>0</v>
      </c>
      <c r="H342" s="3">
        <v>30062</v>
      </c>
      <c r="I342" s="3">
        <v>10292.799999999999</v>
      </c>
      <c r="J342" s="3">
        <v>0.68559999999999999</v>
      </c>
      <c r="K342" s="21">
        <f ca="1">_xll.IMDP("BND",B342,K8,B3)</f>
        <v>20270310</v>
      </c>
      <c r="L342" s="23">
        <f ca="1">_xll.IMDP("BND",B342,L8,B3)</f>
        <v>3.2229999999999999</v>
      </c>
      <c r="M342" s="2"/>
      <c r="W342" s="21" t="str">
        <f ca="1">_xll.IMDP("BND",N342,W8,N3)</f>
        <v>입력오류</v>
      </c>
      <c r="X342" s="23" t="str">
        <f ca="1">_xll.IMDP("BND",N342,X8,N3)</f>
        <v>입력오류</v>
      </c>
      <c r="Y342" s="2"/>
      <c r="AI342" s="21" t="str">
        <f ca="1">_xll.IMDP("BND",Z342,AI8,Z3)</f>
        <v>입력오류</v>
      </c>
      <c r="AJ342" s="23" t="str">
        <f ca="1">_xll.IMDP("BND",Z342,AJ8,Z3)</f>
        <v>입력오류</v>
      </c>
      <c r="AK342" s="2"/>
      <c r="AU342" s="21" t="str">
        <f ca="1">_xll.IMDP("BND",AL342,AU8,AL3)</f>
        <v>입력오류</v>
      </c>
      <c r="AV342" s="23" t="str">
        <f ca="1">_xll.IMDP("BND",AL342,AV8,AL3)</f>
        <v>입력오류</v>
      </c>
      <c r="AW342" s="2"/>
      <c r="BG342" s="21" t="str">
        <f ca="1">_xll.IMDP("BND",AX342,BG8,AX3)</f>
        <v>입력오류</v>
      </c>
      <c r="BH342" s="23" t="str">
        <f ca="1">_xll.IMDP("BND",AX342,BH8,AX3)</f>
        <v>입력오류</v>
      </c>
      <c r="BI342" s="2"/>
      <c r="BS342" s="21" t="str">
        <f ca="1">_xll.IMDP("BND",BJ342,BS8,BJ3)</f>
        <v>입력오류</v>
      </c>
      <c r="BT342" s="23" t="str">
        <f ca="1">_xll.IMDP("BND",BJ342,BT8,BJ3)</f>
        <v>입력오류</v>
      </c>
      <c r="BU342" s="2"/>
      <c r="CE342" s="21" t="str">
        <f ca="1">_xll.IMDP("BND",BV342,CE8,BV3)</f>
        <v>입력오류</v>
      </c>
      <c r="CF342" s="23" t="str">
        <f ca="1">_xll.IMDP("BND",BV342,CF8,BV3)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"/>
      <c r="DC342" s="21" t="str">
        <f ca="1">_xll.IMDP("BND",CT342,DC8,CT3)</f>
        <v>입력오류</v>
      </c>
      <c r="DD342" s="23" t="str">
        <f ca="1">_xll.IMDP("BND",CT342,DD8,CT3)</f>
        <v>입력오류</v>
      </c>
      <c r="DE342" s="2"/>
      <c r="DO342" s="21" t="str">
        <f ca="1">_xll.IMDP("BND",DF342,DO8,DF3)</f>
        <v>입력오류</v>
      </c>
      <c r="DP342" s="23" t="str">
        <f ca="1">_xll.IMDP("BND",DF342,DP8,DF3)</f>
        <v>입력오류</v>
      </c>
      <c r="DQ342" s="2"/>
      <c r="EA342" s="21" t="str">
        <f ca="1">_xll.IMDP("BND",DR342,EA8,DR3)</f>
        <v>입력오류</v>
      </c>
      <c r="EB342" s="23" t="str">
        <f ca="1">_xll.IMDP("BND",DR342,EB8,DR3)</f>
        <v>입력오류</v>
      </c>
    </row>
    <row r="343" spans="1:132" ht="13.5" customHeight="1" x14ac:dyDescent="0.3">
      <c r="A343" s="2">
        <v>46198</v>
      </c>
      <c r="B343" s="3" t="s">
        <v>1460</v>
      </c>
      <c r="C343" s="3" t="s">
        <v>50</v>
      </c>
      <c r="D343" s="3" t="s">
        <v>1461</v>
      </c>
      <c r="E343" s="3">
        <v>0</v>
      </c>
      <c r="F343" s="3">
        <v>0.03</v>
      </c>
      <c r="G343" s="3">
        <v>0</v>
      </c>
      <c r="H343" s="3">
        <v>30029</v>
      </c>
      <c r="I343" s="3">
        <v>9833.89</v>
      </c>
      <c r="J343" s="3">
        <v>2.9998999999999998</v>
      </c>
      <c r="K343" s="21">
        <f ca="1">_xll.IMDP("BND",B343,K8,B3)</f>
        <v>20290910</v>
      </c>
      <c r="L343" s="23">
        <f ca="1">_xll.IMDP("BND",B343,L8,B3)</f>
        <v>3.8439999999999999</v>
      </c>
      <c r="M343" s="2"/>
      <c r="W343" s="21" t="str">
        <f ca="1">_xll.IMDP("BND",N343,W8,N3)</f>
        <v>입력오류</v>
      </c>
      <c r="X343" s="23" t="str">
        <f ca="1">_xll.IMDP("BND",N343,X8,N3)</f>
        <v>입력오류</v>
      </c>
      <c r="Y343" s="2"/>
      <c r="AI343" s="21" t="str">
        <f ca="1">_xll.IMDP("BND",Z343,AI8,Z3)</f>
        <v>입력오류</v>
      </c>
      <c r="AJ343" s="23" t="str">
        <f ca="1">_xll.IMDP("BND",Z343,AJ8,Z3)</f>
        <v>입력오류</v>
      </c>
      <c r="AK343" s="2"/>
      <c r="AU343" s="21" t="str">
        <f ca="1">_xll.IMDP("BND",AL343,AU8,AL3)</f>
        <v>입력오류</v>
      </c>
      <c r="AV343" s="23" t="str">
        <f ca="1">_xll.IMDP("BND",AL343,AV8,AL3)</f>
        <v>입력오류</v>
      </c>
      <c r="AW343" s="2"/>
      <c r="BG343" s="21" t="str">
        <f ca="1">_xll.IMDP("BND",AX343,BG8,AX3)</f>
        <v>입력오류</v>
      </c>
      <c r="BH343" s="23" t="str">
        <f ca="1">_xll.IMDP("BND",AX343,BH8,AX3)</f>
        <v>입력오류</v>
      </c>
      <c r="BI343" s="2"/>
      <c r="BS343" s="21" t="str">
        <f ca="1">_xll.IMDP("BND",BJ343,BS8,BJ3)</f>
        <v>입력오류</v>
      </c>
      <c r="BT343" s="23" t="str">
        <f ca="1">_xll.IMDP("BND",BJ343,BT8,BJ3)</f>
        <v>입력오류</v>
      </c>
      <c r="BU343" s="2"/>
      <c r="CE343" s="21" t="str">
        <f ca="1">_xll.IMDP("BND",BV343,CE8,BV3)</f>
        <v>입력오류</v>
      </c>
      <c r="CF343" s="23" t="str">
        <f ca="1">_xll.IMDP("BND",BV343,CF8,BV3)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"/>
      <c r="DC343" s="21" t="str">
        <f ca="1">_xll.IMDP("BND",CT343,DC8,CT3)</f>
        <v>입력오류</v>
      </c>
      <c r="DD343" s="23" t="str">
        <f ca="1">_xll.IMDP("BND",CT343,DD8,CT3)</f>
        <v>입력오류</v>
      </c>
      <c r="DE343" s="2"/>
      <c r="DO343" s="21" t="str">
        <f ca="1">_xll.IMDP("BND",DF343,DO8,DF3)</f>
        <v>입력오류</v>
      </c>
      <c r="DP343" s="23" t="str">
        <f ca="1">_xll.IMDP("BND",DF343,DP8,DF3)</f>
        <v>입력오류</v>
      </c>
      <c r="DQ343" s="2"/>
      <c r="EA343" s="21" t="str">
        <f ca="1">_xll.IMDP("BND",DR343,EA8,DR3)</f>
        <v>입력오류</v>
      </c>
      <c r="EB343" s="23" t="str">
        <f ca="1">_xll.IMDP("BND",DR343,EB8,DR3)</f>
        <v>입력오류</v>
      </c>
    </row>
    <row r="344" spans="1:132" ht="13.5" customHeight="1" x14ac:dyDescent="0.3">
      <c r="A344" s="2">
        <v>46198</v>
      </c>
      <c r="B344" s="3" t="s">
        <v>2198</v>
      </c>
      <c r="C344" s="3" t="s">
        <v>850</v>
      </c>
      <c r="D344" s="3" t="s">
        <v>2199</v>
      </c>
      <c r="E344" s="3">
        <v>0</v>
      </c>
      <c r="F344" s="3">
        <v>0.03</v>
      </c>
      <c r="G344" s="3">
        <v>0</v>
      </c>
      <c r="H344" s="3">
        <v>28173</v>
      </c>
      <c r="I344" s="3">
        <v>10610.25</v>
      </c>
      <c r="J344" s="3">
        <v>1.7031000000000001</v>
      </c>
      <c r="K344" s="21">
        <f ca="1">_xll.IMDP("BND",B344,K8,B3)</f>
        <v>20280331</v>
      </c>
      <c r="L344" s="23">
        <f ca="1">_xll.IMDP("BND",B344,L8,B3)</f>
        <v>3.7</v>
      </c>
      <c r="M344" s="2"/>
      <c r="W344" s="21" t="str">
        <f ca="1">_xll.IMDP("BND",N344,W8,N3)</f>
        <v>입력오류</v>
      </c>
      <c r="X344" s="23" t="str">
        <f ca="1">_xll.IMDP("BND",N344,X8,N3)</f>
        <v>입력오류</v>
      </c>
      <c r="Y344" s="2"/>
      <c r="AI344" s="21" t="str">
        <f ca="1">_xll.IMDP("BND",Z344,AI8,Z3)</f>
        <v>입력오류</v>
      </c>
      <c r="AJ344" s="23" t="str">
        <f ca="1">_xll.IMDP("BND",Z344,AJ8,Z3)</f>
        <v>입력오류</v>
      </c>
      <c r="AK344" s="2"/>
      <c r="AU344" s="21" t="str">
        <f ca="1">_xll.IMDP("BND",AL344,AU8,AL3)</f>
        <v>입력오류</v>
      </c>
      <c r="AV344" s="23" t="str">
        <f ca="1">_xll.IMDP("BND",AL344,AV8,AL3)</f>
        <v>입력오류</v>
      </c>
      <c r="AW344" s="2"/>
      <c r="BG344" s="21" t="str">
        <f ca="1">_xll.IMDP("BND",AX344,BG8,AX3)</f>
        <v>입력오류</v>
      </c>
      <c r="BH344" s="23" t="str">
        <f ca="1">_xll.IMDP("BND",AX344,BH8,AX3)</f>
        <v>입력오류</v>
      </c>
      <c r="BI344" s="2"/>
      <c r="BS344" s="21" t="str">
        <f ca="1">_xll.IMDP("BND",BJ344,BS8,BJ3)</f>
        <v>입력오류</v>
      </c>
      <c r="BT344" s="23" t="str">
        <f ca="1">_xll.IMDP("BND",BJ344,BT8,BJ3)</f>
        <v>입력오류</v>
      </c>
      <c r="BU344" s="2"/>
      <c r="CE344" s="21" t="str">
        <f ca="1">_xll.IMDP("BND",BV344,CE8,BV3)</f>
        <v>입력오류</v>
      </c>
      <c r="CF344" s="23" t="str">
        <f ca="1">_xll.IMDP("BND",BV344,CF8,BV3)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"/>
      <c r="DC344" s="21" t="str">
        <f ca="1">_xll.IMDP("BND",CT344,DC8,CT3)</f>
        <v>입력오류</v>
      </c>
      <c r="DD344" s="23" t="str">
        <f ca="1">_xll.IMDP("BND",CT344,DD8,CT3)</f>
        <v>입력오류</v>
      </c>
      <c r="DE344" s="2"/>
      <c r="DO344" s="21" t="str">
        <f ca="1">_xll.IMDP("BND",DF344,DO8,DF3)</f>
        <v>입력오류</v>
      </c>
      <c r="DP344" s="23" t="str">
        <f ca="1">_xll.IMDP("BND",DF344,DP8,DF3)</f>
        <v>입력오류</v>
      </c>
      <c r="DQ344" s="2"/>
      <c r="EA344" s="21" t="str">
        <f ca="1">_xll.IMDP("BND",DR344,EA8,DR3)</f>
        <v>입력오류</v>
      </c>
      <c r="EB344" s="23" t="str">
        <f ca="1">_xll.IMDP("BND",DR344,EB8,DR3)</f>
        <v>입력오류</v>
      </c>
    </row>
    <row r="345" spans="1:132" ht="13.5" customHeight="1" x14ac:dyDescent="0.3">
      <c r="A345" s="2">
        <v>46198</v>
      </c>
      <c r="B345" s="3" t="s">
        <v>2200</v>
      </c>
      <c r="C345" s="3" t="s">
        <v>2201</v>
      </c>
      <c r="D345" s="3" t="s">
        <v>2202</v>
      </c>
      <c r="E345" s="3">
        <v>0</v>
      </c>
      <c r="F345" s="3">
        <v>0.02</v>
      </c>
      <c r="G345" s="3">
        <v>0</v>
      </c>
      <c r="H345" s="3">
        <v>27239</v>
      </c>
      <c r="I345" s="3">
        <v>10258.530000000001</v>
      </c>
      <c r="J345" s="3">
        <v>2.5085000000000002</v>
      </c>
      <c r="K345" s="21">
        <f ca="1">_xll.IMDP("BND",B345,K8,B3)</f>
        <v>20290131</v>
      </c>
      <c r="L345" s="23">
        <f ca="1">_xll.IMDP("BND",B345,L8,B3)</f>
        <v>3.827</v>
      </c>
      <c r="M345" s="2"/>
      <c r="W345" s="21" t="str">
        <f ca="1">_xll.IMDP("BND",N345,W8,N3)</f>
        <v>입력오류</v>
      </c>
      <c r="X345" s="23" t="str">
        <f ca="1">_xll.IMDP("BND",N345,X8,N3)</f>
        <v>입력오류</v>
      </c>
      <c r="Y345" s="2"/>
      <c r="AI345" s="21" t="str">
        <f ca="1">_xll.IMDP("BND",Z345,AI8,Z3)</f>
        <v>입력오류</v>
      </c>
      <c r="AJ345" s="23" t="str">
        <f ca="1">_xll.IMDP("BND",Z345,AJ8,Z3)</f>
        <v>입력오류</v>
      </c>
      <c r="AK345" s="2"/>
      <c r="AU345" s="21" t="str">
        <f ca="1">_xll.IMDP("BND",AL345,AU8,AL3)</f>
        <v>입력오류</v>
      </c>
      <c r="AV345" s="23" t="str">
        <f ca="1">_xll.IMDP("BND",AL345,AV8,AL3)</f>
        <v>입력오류</v>
      </c>
      <c r="AW345" s="2"/>
      <c r="BG345" s="21" t="str">
        <f ca="1">_xll.IMDP("BND",AX345,BG8,AX3)</f>
        <v>입력오류</v>
      </c>
      <c r="BH345" s="23" t="str">
        <f ca="1">_xll.IMDP("BND",AX345,BH8,AX3)</f>
        <v>입력오류</v>
      </c>
      <c r="BI345" s="2"/>
      <c r="BS345" s="21" t="str">
        <f ca="1">_xll.IMDP("BND",BJ345,BS8,BJ3)</f>
        <v>입력오류</v>
      </c>
      <c r="BT345" s="23" t="str">
        <f ca="1">_xll.IMDP("BND",BJ345,BT8,BJ3)</f>
        <v>입력오류</v>
      </c>
      <c r="BU345" s="2"/>
      <c r="CE345" s="21" t="str">
        <f ca="1">_xll.IMDP("BND",BV345,CE8,BV3)</f>
        <v>입력오류</v>
      </c>
      <c r="CF345" s="23" t="str">
        <f ca="1">_xll.IMDP("BND",BV345,CF8,BV3)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"/>
      <c r="DC345" s="21" t="str">
        <f ca="1">_xll.IMDP("BND",CT345,DC8,CT3)</f>
        <v>입력오류</v>
      </c>
      <c r="DD345" s="23" t="str">
        <f ca="1">_xll.IMDP("BND",CT345,DD8,CT3)</f>
        <v>입력오류</v>
      </c>
      <c r="DE345" s="2"/>
      <c r="DO345" s="21" t="str">
        <f ca="1">_xll.IMDP("BND",DF345,DO8,DF3)</f>
        <v>입력오류</v>
      </c>
      <c r="DP345" s="23" t="str">
        <f ca="1">_xll.IMDP("BND",DF345,DP8,DF3)</f>
        <v>입력오류</v>
      </c>
      <c r="DQ345" s="2"/>
      <c r="EA345" s="21" t="str">
        <f ca="1">_xll.IMDP("BND",DR345,EA8,DR3)</f>
        <v>입력오류</v>
      </c>
      <c r="EB345" s="23" t="str">
        <f ca="1">_xll.IMDP("BND",DR345,EB8,DR3)</f>
        <v>입력오류</v>
      </c>
    </row>
    <row r="346" spans="1:132" ht="13.5" customHeight="1" x14ac:dyDescent="0.3">
      <c r="A346" s="2">
        <v>46198</v>
      </c>
      <c r="B346" s="3" t="s">
        <v>2203</v>
      </c>
      <c r="C346" s="3" t="s">
        <v>2132</v>
      </c>
      <c r="D346" s="3" t="s">
        <v>2204</v>
      </c>
      <c r="E346" s="3">
        <v>0</v>
      </c>
      <c r="F346" s="3">
        <v>0.02</v>
      </c>
      <c r="G346" s="3">
        <v>0</v>
      </c>
      <c r="H346" s="3">
        <v>27117</v>
      </c>
      <c r="I346" s="3">
        <v>10212.73</v>
      </c>
      <c r="J346" s="3">
        <v>2.1848000000000001</v>
      </c>
      <c r="K346" s="21">
        <f ca="1">_xll.IMDP("BND",B346,K8,B3)</f>
        <v>20281026</v>
      </c>
      <c r="L346" s="23">
        <f ca="1">_xll.IMDP("BND",B346,L8,B3)</f>
        <v>4.0019999999999998</v>
      </c>
      <c r="M346" s="2"/>
      <c r="W346" s="21" t="str">
        <f ca="1">_xll.IMDP("BND",N346,W8,N3)</f>
        <v>입력오류</v>
      </c>
      <c r="X346" s="23" t="str">
        <f ca="1">_xll.IMDP("BND",N346,X8,N3)</f>
        <v>입력오류</v>
      </c>
      <c r="Y346" s="2"/>
      <c r="AI346" s="21" t="str">
        <f ca="1">_xll.IMDP("BND",Z346,AI8,Z3)</f>
        <v>입력오류</v>
      </c>
      <c r="AJ346" s="23" t="str">
        <f ca="1">_xll.IMDP("BND",Z346,AJ8,Z3)</f>
        <v>입력오류</v>
      </c>
      <c r="AK346" s="2"/>
      <c r="AU346" s="21" t="str">
        <f ca="1">_xll.IMDP("BND",AL346,AU8,AL3)</f>
        <v>입력오류</v>
      </c>
      <c r="AV346" s="23" t="str">
        <f ca="1">_xll.IMDP("BND",AL346,AV8,AL3)</f>
        <v>입력오류</v>
      </c>
      <c r="AW346" s="2"/>
      <c r="BG346" s="21" t="str">
        <f ca="1">_xll.IMDP("BND",AX346,BG8,AX3)</f>
        <v>입력오류</v>
      </c>
      <c r="BH346" s="23" t="str">
        <f ca="1">_xll.IMDP("BND",AX346,BH8,AX3)</f>
        <v>입력오류</v>
      </c>
      <c r="BI346" s="2"/>
      <c r="BS346" s="21" t="str">
        <f ca="1">_xll.IMDP("BND",BJ346,BS8,BJ3)</f>
        <v>입력오류</v>
      </c>
      <c r="BT346" s="23" t="str">
        <f ca="1">_xll.IMDP("BND",BJ346,BT8,BJ3)</f>
        <v>입력오류</v>
      </c>
      <c r="BU346" s="2"/>
      <c r="CE346" s="21" t="str">
        <f ca="1">_xll.IMDP("BND",BV346,CE8,BV3)</f>
        <v>입력오류</v>
      </c>
      <c r="CF346" s="23" t="str">
        <f ca="1">_xll.IMDP("BND",BV346,CF8,BV3)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"/>
      <c r="DC346" s="21" t="str">
        <f ca="1">_xll.IMDP("BND",CT346,DC8,CT3)</f>
        <v>입력오류</v>
      </c>
      <c r="DD346" s="23" t="str">
        <f ca="1">_xll.IMDP("BND",CT346,DD8,CT3)</f>
        <v>입력오류</v>
      </c>
      <c r="DE346" s="2"/>
      <c r="DO346" s="21" t="str">
        <f ca="1">_xll.IMDP("BND",DF346,DO8,DF3)</f>
        <v>입력오류</v>
      </c>
      <c r="DP346" s="23" t="str">
        <f ca="1">_xll.IMDP("BND",DF346,DP8,DF3)</f>
        <v>입력오류</v>
      </c>
      <c r="DQ346" s="2"/>
      <c r="EA346" s="21" t="str">
        <f ca="1">_xll.IMDP("BND",DR346,EA8,DR3)</f>
        <v>입력오류</v>
      </c>
      <c r="EB346" s="23" t="str">
        <f ca="1">_xll.IMDP("BND",DR346,EB8,DR3)</f>
        <v>입력오류</v>
      </c>
    </row>
    <row r="347" spans="1:132" ht="13.5" customHeight="1" x14ac:dyDescent="0.3">
      <c r="A347" s="2">
        <v>46198</v>
      </c>
      <c r="B347" s="3" t="s">
        <v>2205</v>
      </c>
      <c r="C347" s="3" t="s">
        <v>2206</v>
      </c>
      <c r="D347" s="3" t="s">
        <v>2207</v>
      </c>
      <c r="E347" s="3">
        <v>0</v>
      </c>
      <c r="F347" s="3">
        <v>0.02</v>
      </c>
      <c r="G347" s="3">
        <v>0</v>
      </c>
      <c r="H347" s="3">
        <v>26822</v>
      </c>
      <c r="I347" s="3">
        <v>10101.4</v>
      </c>
      <c r="J347" s="3">
        <v>2.8220999999999998</v>
      </c>
      <c r="K347" s="21">
        <f ca="1">_xll.IMDP("BND",B347,K8,B3)</f>
        <v>20290531</v>
      </c>
      <c r="L347" s="23">
        <f ca="1">_xll.IMDP("BND",B347,L8,B3)</f>
        <v>3.9409999999999998</v>
      </c>
      <c r="M347" s="2"/>
      <c r="W347" s="21" t="str">
        <f ca="1">_xll.IMDP("BND",N347,W8,N3)</f>
        <v>입력오류</v>
      </c>
      <c r="X347" s="23" t="str">
        <f ca="1">_xll.IMDP("BND",N347,X8,N3)</f>
        <v>입력오류</v>
      </c>
      <c r="Y347" s="2"/>
      <c r="AI347" s="21" t="str">
        <f ca="1">_xll.IMDP("BND",Z347,AI8,Z3)</f>
        <v>입력오류</v>
      </c>
      <c r="AJ347" s="23" t="str">
        <f ca="1">_xll.IMDP("BND",Z347,AJ8,Z3)</f>
        <v>입력오류</v>
      </c>
      <c r="AK347" s="2"/>
      <c r="AU347" s="21" t="str">
        <f ca="1">_xll.IMDP("BND",AL347,AU8,AL3)</f>
        <v>입력오류</v>
      </c>
      <c r="AV347" s="23" t="str">
        <f ca="1">_xll.IMDP("BND",AL347,AV8,AL3)</f>
        <v>입력오류</v>
      </c>
      <c r="AW347" s="2"/>
      <c r="BG347" s="21" t="str">
        <f ca="1">_xll.IMDP("BND",AX347,BG8,AX3)</f>
        <v>입력오류</v>
      </c>
      <c r="BH347" s="23" t="str">
        <f ca="1">_xll.IMDP("BND",AX347,BH8,AX3)</f>
        <v>입력오류</v>
      </c>
      <c r="BI347" s="2"/>
      <c r="BS347" s="21" t="str">
        <f ca="1">_xll.IMDP("BND",BJ347,BS8,BJ3)</f>
        <v>입력오류</v>
      </c>
      <c r="BT347" s="23" t="str">
        <f ca="1">_xll.IMDP("BND",BJ347,BT8,BJ3)</f>
        <v>입력오류</v>
      </c>
      <c r="BU347" s="2"/>
      <c r="CE347" s="21" t="str">
        <f ca="1">_xll.IMDP("BND",BV347,CE8,BV3)</f>
        <v>입력오류</v>
      </c>
      <c r="CF347" s="23" t="str">
        <f ca="1">_xll.IMDP("BND",BV347,CF8,BV3)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"/>
      <c r="DC347" s="21" t="str">
        <f ca="1">_xll.IMDP("BND",CT347,DC8,CT3)</f>
        <v>입력오류</v>
      </c>
      <c r="DD347" s="23" t="str">
        <f ca="1">_xll.IMDP("BND",CT347,DD8,CT3)</f>
        <v>입력오류</v>
      </c>
      <c r="DE347" s="2"/>
      <c r="DO347" s="21" t="str">
        <f ca="1">_xll.IMDP("BND",DF347,DO8,DF3)</f>
        <v>입력오류</v>
      </c>
      <c r="DP347" s="23" t="str">
        <f ca="1">_xll.IMDP("BND",DF347,DP8,DF3)</f>
        <v>입력오류</v>
      </c>
      <c r="DQ347" s="2"/>
      <c r="EA347" s="21" t="str">
        <f ca="1">_xll.IMDP("BND",DR347,EA8,DR3)</f>
        <v>입력오류</v>
      </c>
      <c r="EB347" s="23" t="str">
        <f ca="1">_xll.IMDP("BND",DR347,EB8,DR3)</f>
        <v>입력오류</v>
      </c>
    </row>
    <row r="348" spans="1:132" ht="13.5" customHeight="1" x14ac:dyDescent="0.3">
      <c r="A348" s="2">
        <v>46198</v>
      </c>
      <c r="B348" s="3" t="s">
        <v>1546</v>
      </c>
      <c r="C348" s="3" t="s">
        <v>1547</v>
      </c>
      <c r="D348" s="3" t="s">
        <v>1548</v>
      </c>
      <c r="E348" s="3">
        <v>0</v>
      </c>
      <c r="F348" s="3">
        <v>0.02</v>
      </c>
      <c r="G348" s="3">
        <v>0</v>
      </c>
      <c r="H348" s="3">
        <v>26815</v>
      </c>
      <c r="I348" s="3">
        <v>10098.98</v>
      </c>
      <c r="J348" s="3">
        <v>0.52700000000000002</v>
      </c>
      <c r="K348" s="21">
        <f ca="1">_xll.IMDP("BND",B348,K8,B3)</f>
        <v>20270108</v>
      </c>
      <c r="L348" s="23">
        <f ca="1">_xll.IMDP("BND",B348,L8,B3)</f>
        <v>3.2149999999999999</v>
      </c>
      <c r="M348" s="2"/>
      <c r="W348" s="21" t="str">
        <f ca="1">_xll.IMDP("BND",N348,W8,N3)</f>
        <v>입력오류</v>
      </c>
      <c r="X348" s="23" t="str">
        <f ca="1">_xll.IMDP("BND",N348,X8,N3)</f>
        <v>입력오류</v>
      </c>
      <c r="Y348" s="2"/>
      <c r="AI348" s="21" t="str">
        <f ca="1">_xll.IMDP("BND",Z348,AI8,Z3)</f>
        <v>입력오류</v>
      </c>
      <c r="AJ348" s="23" t="str">
        <f ca="1">_xll.IMDP("BND",Z348,AJ8,Z3)</f>
        <v>입력오류</v>
      </c>
      <c r="AK348" s="2"/>
      <c r="AU348" s="21" t="str">
        <f ca="1">_xll.IMDP("BND",AL348,AU8,AL3)</f>
        <v>입력오류</v>
      </c>
      <c r="AV348" s="23" t="str">
        <f ca="1">_xll.IMDP("BND",AL348,AV8,AL3)</f>
        <v>입력오류</v>
      </c>
      <c r="AW348" s="2"/>
      <c r="BG348" s="21" t="str">
        <f ca="1">_xll.IMDP("BND",AX348,BG8,AX3)</f>
        <v>입력오류</v>
      </c>
      <c r="BH348" s="23" t="str">
        <f ca="1">_xll.IMDP("BND",AX348,BH8,AX3)</f>
        <v>입력오류</v>
      </c>
      <c r="BI348" s="2"/>
      <c r="BS348" s="21" t="str">
        <f ca="1">_xll.IMDP("BND",BJ348,BS8,BJ3)</f>
        <v>입력오류</v>
      </c>
      <c r="BT348" s="23" t="str">
        <f ca="1">_xll.IMDP("BND",BJ348,BT8,BJ3)</f>
        <v>입력오류</v>
      </c>
      <c r="BU348" s="2"/>
      <c r="CE348" s="21" t="str">
        <f ca="1">_xll.IMDP("BND",BV348,CE8,BV3)</f>
        <v>입력오류</v>
      </c>
      <c r="CF348" s="23" t="str">
        <f ca="1">_xll.IMDP("BND",BV348,CF8,BV3)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"/>
      <c r="DC348" s="21" t="str">
        <f ca="1">_xll.IMDP("BND",CT348,DC8,CT3)</f>
        <v>입력오류</v>
      </c>
      <c r="DD348" s="23" t="str">
        <f ca="1">_xll.IMDP("BND",CT348,DD8,CT3)</f>
        <v>입력오류</v>
      </c>
      <c r="DE348" s="2"/>
      <c r="DO348" s="21" t="str">
        <f ca="1">_xll.IMDP("BND",DF348,DO8,DF3)</f>
        <v>입력오류</v>
      </c>
      <c r="DP348" s="23" t="str">
        <f ca="1">_xll.IMDP("BND",DF348,DP8,DF3)</f>
        <v>입력오류</v>
      </c>
      <c r="DQ348" s="2"/>
      <c r="EA348" s="21" t="str">
        <f ca="1">_xll.IMDP("BND",DR348,EA8,DR3)</f>
        <v>입력오류</v>
      </c>
      <c r="EB348" s="23" t="str">
        <f ca="1">_xll.IMDP("BND",DR348,EB8,DR3)</f>
        <v>입력오류</v>
      </c>
    </row>
    <row r="349" spans="1:132" ht="13.5" customHeight="1" x14ac:dyDescent="0.3">
      <c r="A349" s="2">
        <v>46198</v>
      </c>
      <c r="B349" s="3" t="s">
        <v>40</v>
      </c>
      <c r="C349" s="3" t="s">
        <v>29</v>
      </c>
      <c r="D349" s="3" t="s">
        <v>41</v>
      </c>
      <c r="E349" s="3">
        <v>0</v>
      </c>
      <c r="F349" s="3">
        <v>0.02</v>
      </c>
      <c r="G349" s="3">
        <v>0</v>
      </c>
      <c r="H349" s="3">
        <v>26809</v>
      </c>
      <c r="I349" s="3">
        <v>10096.75</v>
      </c>
      <c r="J349" s="3">
        <v>5.5978000000000003</v>
      </c>
      <c r="K349" s="21">
        <f ca="1">_xll.IMDP("BND",B349,K8,B3)</f>
        <v>20321210</v>
      </c>
      <c r="L349" s="23">
        <f ca="1">_xll.IMDP("BND",B349,L8,B3)</f>
        <v>4.1079999999999997</v>
      </c>
      <c r="M349" s="2"/>
      <c r="W349" s="21" t="str">
        <f ca="1">_xll.IMDP("BND",N349,W8,N3)</f>
        <v>입력오류</v>
      </c>
      <c r="X349" s="23" t="str">
        <f ca="1">_xll.IMDP("BND",N349,X8,N3)</f>
        <v>입력오류</v>
      </c>
      <c r="Y349" s="2"/>
      <c r="AI349" s="21" t="str">
        <f ca="1">_xll.IMDP("BND",Z349,AI8,Z3)</f>
        <v>입력오류</v>
      </c>
      <c r="AJ349" s="23" t="str">
        <f ca="1">_xll.IMDP("BND",Z349,AJ8,Z3)</f>
        <v>입력오류</v>
      </c>
      <c r="AK349" s="2"/>
      <c r="AU349" s="21" t="str">
        <f ca="1">_xll.IMDP("BND",AL349,AU8,AL3)</f>
        <v>입력오류</v>
      </c>
      <c r="AV349" s="23" t="str">
        <f ca="1">_xll.IMDP("BND",AL349,AV8,AL3)</f>
        <v>입력오류</v>
      </c>
      <c r="AW349" s="2"/>
      <c r="BG349" s="21" t="str">
        <f ca="1">_xll.IMDP("BND",AX349,BG8,AX3)</f>
        <v>입력오류</v>
      </c>
      <c r="BH349" s="23" t="str">
        <f ca="1">_xll.IMDP("BND",AX349,BH8,AX3)</f>
        <v>입력오류</v>
      </c>
      <c r="BI349" s="2"/>
      <c r="BS349" s="21" t="str">
        <f ca="1">_xll.IMDP("BND",BJ349,BS8,BJ3)</f>
        <v>입력오류</v>
      </c>
      <c r="BT349" s="23" t="str">
        <f ca="1">_xll.IMDP("BND",BJ349,BT8,BJ3)</f>
        <v>입력오류</v>
      </c>
      <c r="BU349" s="2"/>
      <c r="CE349" s="21" t="str">
        <f ca="1">_xll.IMDP("BND",BV349,CE8,BV3)</f>
        <v>입력오류</v>
      </c>
      <c r="CF349" s="23" t="str">
        <f ca="1">_xll.IMDP("BND",BV349,CF8,BV3)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"/>
      <c r="DC349" s="21" t="str">
        <f ca="1">_xll.IMDP("BND",CT349,DC8,CT3)</f>
        <v>입력오류</v>
      </c>
      <c r="DD349" s="23" t="str">
        <f ca="1">_xll.IMDP("BND",CT349,DD8,CT3)</f>
        <v>입력오류</v>
      </c>
      <c r="DE349" s="2"/>
      <c r="DO349" s="21" t="str">
        <f ca="1">_xll.IMDP("BND",DF349,DO8,DF3)</f>
        <v>입력오류</v>
      </c>
      <c r="DP349" s="23" t="str">
        <f ca="1">_xll.IMDP("BND",DF349,DP8,DF3)</f>
        <v>입력오류</v>
      </c>
      <c r="DQ349" s="2"/>
      <c r="EA349" s="21" t="str">
        <f ca="1">_xll.IMDP("BND",DR349,EA8,DR3)</f>
        <v>입력오류</v>
      </c>
      <c r="EB349" s="23" t="str">
        <f ca="1">_xll.IMDP("BND",DR349,EB8,DR3)</f>
        <v>입력오류</v>
      </c>
    </row>
    <row r="350" spans="1:132" ht="13.5" customHeight="1" x14ac:dyDescent="0.3">
      <c r="A350" s="2">
        <v>46198</v>
      </c>
      <c r="B350" s="3" t="s">
        <v>2208</v>
      </c>
      <c r="C350" s="3" t="s">
        <v>1899</v>
      </c>
      <c r="D350" s="3" t="s">
        <v>2209</v>
      </c>
      <c r="E350" s="3">
        <v>0</v>
      </c>
      <c r="F350" s="3">
        <v>0.02</v>
      </c>
      <c r="G350" s="3">
        <v>0</v>
      </c>
      <c r="H350" s="3">
        <v>26767</v>
      </c>
      <c r="I350" s="3">
        <v>10081.030000000001</v>
      </c>
      <c r="J350" s="3">
        <v>0.95069999999999999</v>
      </c>
      <c r="K350" s="21">
        <f ca="1">_xll.IMDP("BND",B350,K8,B3)</f>
        <v>20270617</v>
      </c>
      <c r="L350" s="23">
        <f ca="1">_xll.IMDP("BND",B350,L8,B3)</f>
        <v>3.6789999999999998</v>
      </c>
      <c r="M350" s="2"/>
      <c r="W350" s="21" t="str">
        <f ca="1">_xll.IMDP("BND",N350,W8,N3)</f>
        <v>입력오류</v>
      </c>
      <c r="X350" s="23" t="str">
        <f ca="1">_xll.IMDP("BND",N350,X8,N3)</f>
        <v>입력오류</v>
      </c>
      <c r="Y350" s="2"/>
      <c r="AI350" s="21" t="str">
        <f ca="1">_xll.IMDP("BND",Z350,AI8,Z3)</f>
        <v>입력오류</v>
      </c>
      <c r="AJ350" s="23" t="str">
        <f ca="1">_xll.IMDP("BND",Z350,AJ8,Z3)</f>
        <v>입력오류</v>
      </c>
      <c r="AK350" s="2"/>
      <c r="AU350" s="21" t="str">
        <f ca="1">_xll.IMDP("BND",AL350,AU8,AL3)</f>
        <v>입력오류</v>
      </c>
      <c r="AV350" s="23" t="str">
        <f ca="1">_xll.IMDP("BND",AL350,AV8,AL3)</f>
        <v>입력오류</v>
      </c>
      <c r="AW350" s="2"/>
      <c r="BG350" s="21" t="str">
        <f ca="1">_xll.IMDP("BND",AX350,BG8,AX3)</f>
        <v>입력오류</v>
      </c>
      <c r="BH350" s="23" t="str">
        <f ca="1">_xll.IMDP("BND",AX350,BH8,AX3)</f>
        <v>입력오류</v>
      </c>
      <c r="BI350" s="2"/>
      <c r="BS350" s="21" t="str">
        <f ca="1">_xll.IMDP("BND",BJ350,BS8,BJ3)</f>
        <v>입력오류</v>
      </c>
      <c r="BT350" s="23" t="str">
        <f ca="1">_xll.IMDP("BND",BJ350,BT8,BJ3)</f>
        <v>입력오류</v>
      </c>
      <c r="BU350" s="2"/>
      <c r="CE350" s="21" t="str">
        <f ca="1">_xll.IMDP("BND",BV350,CE8,BV3)</f>
        <v>입력오류</v>
      </c>
      <c r="CF350" s="23" t="str">
        <f ca="1">_xll.IMDP("BND",BV350,CF8,BV3)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"/>
      <c r="DC350" s="21" t="str">
        <f ca="1">_xll.IMDP("BND",CT350,DC8,CT3)</f>
        <v>입력오류</v>
      </c>
      <c r="DD350" s="23" t="str">
        <f ca="1">_xll.IMDP("BND",CT350,DD8,CT3)</f>
        <v>입력오류</v>
      </c>
      <c r="DE350" s="2"/>
      <c r="DO350" s="21" t="str">
        <f ca="1">_xll.IMDP("BND",DF350,DO8,DF3)</f>
        <v>입력오류</v>
      </c>
      <c r="DP350" s="23" t="str">
        <f ca="1">_xll.IMDP("BND",DF350,DP8,DF3)</f>
        <v>입력오류</v>
      </c>
      <c r="DQ350" s="2"/>
      <c r="EA350" s="21" t="str">
        <f ca="1">_xll.IMDP("BND",DR350,EA8,DR3)</f>
        <v>입력오류</v>
      </c>
      <c r="EB350" s="23" t="str">
        <f ca="1">_xll.IMDP("BND",DR350,EB8,DR3)</f>
        <v>입력오류</v>
      </c>
    </row>
    <row r="351" spans="1:132" ht="13.5" customHeight="1" x14ac:dyDescent="0.3">
      <c r="A351" s="2">
        <v>46198</v>
      </c>
      <c r="B351" s="3" t="s">
        <v>2210</v>
      </c>
      <c r="C351" s="3" t="s">
        <v>2211</v>
      </c>
      <c r="D351" s="3" t="s">
        <v>2212</v>
      </c>
      <c r="E351" s="3">
        <v>0</v>
      </c>
      <c r="F351" s="3">
        <v>0.02</v>
      </c>
      <c r="G351" s="3">
        <v>0</v>
      </c>
      <c r="H351" s="3">
        <v>26765</v>
      </c>
      <c r="I351" s="3">
        <v>10079.870000000001</v>
      </c>
      <c r="J351" s="3">
        <v>1.6217999999999999</v>
      </c>
      <c r="K351" s="21">
        <f ca="1">_xll.IMDP("BND",B351,K8,B3)</f>
        <v>20280229</v>
      </c>
      <c r="L351" s="23">
        <f ca="1">_xll.IMDP("BND",B351,L8,B3)</f>
        <v>3.6680000000000001</v>
      </c>
      <c r="M351" s="2"/>
      <c r="W351" s="21" t="str">
        <f ca="1">_xll.IMDP("BND",N351,W8,N3)</f>
        <v>입력오류</v>
      </c>
      <c r="X351" s="23" t="str">
        <f ca="1">_xll.IMDP("BND",N351,X8,N3)</f>
        <v>입력오류</v>
      </c>
      <c r="Y351" s="2"/>
      <c r="AI351" s="21" t="str">
        <f ca="1">_xll.IMDP("BND",Z351,AI8,Z3)</f>
        <v>입력오류</v>
      </c>
      <c r="AJ351" s="23" t="str">
        <f ca="1">_xll.IMDP("BND",Z351,AJ8,Z3)</f>
        <v>입력오류</v>
      </c>
      <c r="AK351" s="2"/>
      <c r="AU351" s="21" t="str">
        <f ca="1">_xll.IMDP("BND",AL351,AU8,AL3)</f>
        <v>입력오류</v>
      </c>
      <c r="AV351" s="23" t="str">
        <f ca="1">_xll.IMDP("BND",AL351,AV8,AL3)</f>
        <v>입력오류</v>
      </c>
      <c r="AW351" s="2"/>
      <c r="BG351" s="21" t="str">
        <f ca="1">_xll.IMDP("BND",AX351,BG8,AX3)</f>
        <v>입력오류</v>
      </c>
      <c r="BH351" s="23" t="str">
        <f ca="1">_xll.IMDP("BND",AX351,BH8,AX3)</f>
        <v>입력오류</v>
      </c>
      <c r="BI351" s="2"/>
      <c r="BS351" s="21" t="str">
        <f ca="1">_xll.IMDP("BND",BJ351,BS8,BJ3)</f>
        <v>입력오류</v>
      </c>
      <c r="BT351" s="23" t="str">
        <f ca="1">_xll.IMDP("BND",BJ351,BT8,BJ3)</f>
        <v>입력오류</v>
      </c>
      <c r="BU351" s="2"/>
      <c r="CE351" s="21" t="str">
        <f ca="1">_xll.IMDP("BND",BV351,CE8,BV3)</f>
        <v>입력오류</v>
      </c>
      <c r="CF351" s="23" t="str">
        <f ca="1">_xll.IMDP("BND",BV351,CF8,BV3)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"/>
      <c r="DC351" s="21" t="str">
        <f ca="1">_xll.IMDP("BND",CT351,DC8,CT3)</f>
        <v>입력오류</v>
      </c>
      <c r="DD351" s="23" t="str">
        <f ca="1">_xll.IMDP("BND",CT351,DD8,CT3)</f>
        <v>입력오류</v>
      </c>
      <c r="DE351" s="2"/>
      <c r="DO351" s="21" t="str">
        <f ca="1">_xll.IMDP("BND",DF351,DO8,DF3)</f>
        <v>입력오류</v>
      </c>
      <c r="DP351" s="23" t="str">
        <f ca="1">_xll.IMDP("BND",DF351,DP8,DF3)</f>
        <v>입력오류</v>
      </c>
      <c r="DQ351" s="2"/>
      <c r="EA351" s="21" t="str">
        <f ca="1">_xll.IMDP("BND",DR351,EA8,DR3)</f>
        <v>입력오류</v>
      </c>
      <c r="EB351" s="23" t="str">
        <f ca="1">_xll.IMDP("BND",DR351,EB8,DR3)</f>
        <v>입력오류</v>
      </c>
    </row>
    <row r="352" spans="1:132" ht="13.5" customHeight="1" x14ac:dyDescent="0.3">
      <c r="A352" s="2">
        <v>46198</v>
      </c>
      <c r="B352" s="3" t="s">
        <v>2213</v>
      </c>
      <c r="C352" s="3" t="s">
        <v>1580</v>
      </c>
      <c r="D352" s="3" t="s">
        <v>2214</v>
      </c>
      <c r="E352" s="3">
        <v>0</v>
      </c>
      <c r="F352" s="3">
        <v>0.02</v>
      </c>
      <c r="G352" s="3">
        <v>0</v>
      </c>
      <c r="H352" s="3">
        <v>26659</v>
      </c>
      <c r="I352" s="3">
        <v>10039.68</v>
      </c>
      <c r="J352" s="3">
        <v>4.9938000000000002</v>
      </c>
      <c r="K352" s="21">
        <f ca="1">_xll.IMDP("BND",B352,K8,B3)</f>
        <v>20320215</v>
      </c>
      <c r="L352" s="23">
        <f ca="1">_xll.IMDP("BND",B352,L8,B3)</f>
        <v>4.274</v>
      </c>
      <c r="M352" s="2"/>
      <c r="W352" s="21" t="str">
        <f ca="1">_xll.IMDP("BND",N352,W8,N3)</f>
        <v>입력오류</v>
      </c>
      <c r="X352" s="23" t="str">
        <f ca="1">_xll.IMDP("BND",N352,X8,N3)</f>
        <v>입력오류</v>
      </c>
      <c r="Y352" s="2"/>
      <c r="AI352" s="21" t="str">
        <f ca="1">_xll.IMDP("BND",Z352,AI8,Z3)</f>
        <v>입력오류</v>
      </c>
      <c r="AJ352" s="23" t="str">
        <f ca="1">_xll.IMDP("BND",Z352,AJ8,Z3)</f>
        <v>입력오류</v>
      </c>
      <c r="AK352" s="2"/>
      <c r="AU352" s="21" t="str">
        <f ca="1">_xll.IMDP("BND",AL352,AU8,AL3)</f>
        <v>입력오류</v>
      </c>
      <c r="AV352" s="23" t="str">
        <f ca="1">_xll.IMDP("BND",AL352,AV8,AL3)</f>
        <v>입력오류</v>
      </c>
      <c r="AW352" s="2"/>
      <c r="BG352" s="21" t="str">
        <f ca="1">_xll.IMDP("BND",AX352,BG8,AX3)</f>
        <v>입력오류</v>
      </c>
      <c r="BH352" s="23" t="str">
        <f ca="1">_xll.IMDP("BND",AX352,BH8,AX3)</f>
        <v>입력오류</v>
      </c>
      <c r="BI352" s="2"/>
      <c r="BS352" s="21" t="str">
        <f ca="1">_xll.IMDP("BND",BJ352,BS8,BJ3)</f>
        <v>입력오류</v>
      </c>
      <c r="BT352" s="23" t="str">
        <f ca="1">_xll.IMDP("BND",BJ352,BT8,BJ3)</f>
        <v>입력오류</v>
      </c>
      <c r="BU352" s="2"/>
      <c r="CE352" s="21" t="str">
        <f ca="1">_xll.IMDP("BND",BV352,CE8,BV3)</f>
        <v>입력오류</v>
      </c>
      <c r="CF352" s="23" t="str">
        <f ca="1">_xll.IMDP("BND",BV352,CF8,BV3)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"/>
      <c r="DC352" s="21" t="str">
        <f ca="1">_xll.IMDP("BND",CT352,DC8,CT3)</f>
        <v>입력오류</v>
      </c>
      <c r="DD352" s="23" t="str">
        <f ca="1">_xll.IMDP("BND",CT352,DD8,CT3)</f>
        <v>입력오류</v>
      </c>
      <c r="DE352" s="2"/>
      <c r="DO352" s="21" t="str">
        <f ca="1">_xll.IMDP("BND",DF352,DO8,DF3)</f>
        <v>입력오류</v>
      </c>
      <c r="DP352" s="23" t="str">
        <f ca="1">_xll.IMDP("BND",DF352,DP8,DF3)</f>
        <v>입력오류</v>
      </c>
      <c r="DQ352" s="2"/>
      <c r="EA352" s="21" t="str">
        <f ca="1">_xll.IMDP("BND",DR352,EA8,DR3)</f>
        <v>입력오류</v>
      </c>
      <c r="EB352" s="23" t="str">
        <f ca="1">_xll.IMDP("BND",DR352,EB8,DR3)</f>
        <v>입력오류</v>
      </c>
    </row>
    <row r="353" spans="1:132" ht="13.5" customHeight="1" x14ac:dyDescent="0.3">
      <c r="A353" s="2">
        <v>46198</v>
      </c>
      <c r="B353" s="3" t="s">
        <v>2215</v>
      </c>
      <c r="C353" s="3" t="s">
        <v>2000</v>
      </c>
      <c r="D353" s="3" t="s">
        <v>2216</v>
      </c>
      <c r="E353" s="3">
        <v>0</v>
      </c>
      <c r="F353" s="3">
        <v>0.02</v>
      </c>
      <c r="G353" s="3">
        <v>0</v>
      </c>
      <c r="H353" s="3">
        <v>26398</v>
      </c>
      <c r="I353" s="3">
        <v>9942.2099999999991</v>
      </c>
      <c r="J353" s="3">
        <v>2.3475000000000001</v>
      </c>
      <c r="K353" s="21">
        <f ca="1">_xll.IMDP("BND",B353,K8,B3)</f>
        <v>20281219</v>
      </c>
      <c r="L353" s="23">
        <f ca="1">_xll.IMDP("BND",B353,L8,B3)</f>
        <v>4.0330000000000004</v>
      </c>
      <c r="M353" s="2"/>
      <c r="W353" s="21" t="str">
        <f ca="1">_xll.IMDP("BND",N353,W8,N3)</f>
        <v>입력오류</v>
      </c>
      <c r="X353" s="23" t="str">
        <f ca="1">_xll.IMDP("BND",N353,X8,N3)</f>
        <v>입력오류</v>
      </c>
      <c r="Y353" s="2"/>
      <c r="AI353" s="21" t="str">
        <f ca="1">_xll.IMDP("BND",Z353,AI8,Z3)</f>
        <v>입력오류</v>
      </c>
      <c r="AJ353" s="23" t="str">
        <f ca="1">_xll.IMDP("BND",Z353,AJ8,Z3)</f>
        <v>입력오류</v>
      </c>
      <c r="AK353" s="2"/>
      <c r="AU353" s="21" t="str">
        <f ca="1">_xll.IMDP("BND",AL353,AU8,AL3)</f>
        <v>입력오류</v>
      </c>
      <c r="AV353" s="23" t="str">
        <f ca="1">_xll.IMDP("BND",AL353,AV8,AL3)</f>
        <v>입력오류</v>
      </c>
      <c r="AW353" s="2"/>
      <c r="BG353" s="21" t="str">
        <f ca="1">_xll.IMDP("BND",AX353,BG8,AX3)</f>
        <v>입력오류</v>
      </c>
      <c r="BH353" s="23" t="str">
        <f ca="1">_xll.IMDP("BND",AX353,BH8,AX3)</f>
        <v>입력오류</v>
      </c>
      <c r="BI353" s="2"/>
      <c r="BS353" s="21" t="str">
        <f ca="1">_xll.IMDP("BND",BJ353,BS8,BJ3)</f>
        <v>입력오류</v>
      </c>
      <c r="BT353" s="23" t="str">
        <f ca="1">_xll.IMDP("BND",BJ353,BT8,BJ3)</f>
        <v>입력오류</v>
      </c>
      <c r="BU353" s="2"/>
      <c r="CE353" s="21" t="str">
        <f ca="1">_xll.IMDP("BND",BV353,CE8,BV3)</f>
        <v>입력오류</v>
      </c>
      <c r="CF353" s="23" t="str">
        <f ca="1">_xll.IMDP("BND",BV353,CF8,BV3)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"/>
      <c r="DC353" s="21" t="str">
        <f ca="1">_xll.IMDP("BND",CT353,DC8,CT3)</f>
        <v>입력오류</v>
      </c>
      <c r="DD353" s="23" t="str">
        <f ca="1">_xll.IMDP("BND",CT353,DD8,CT3)</f>
        <v>입력오류</v>
      </c>
      <c r="DE353" s="2"/>
      <c r="DO353" s="21" t="str">
        <f ca="1">_xll.IMDP("BND",DF353,DO8,DF3)</f>
        <v>입력오류</v>
      </c>
      <c r="DP353" s="23" t="str">
        <f ca="1">_xll.IMDP("BND",DF353,DP8,DF3)</f>
        <v>입력오류</v>
      </c>
      <c r="DQ353" s="2"/>
      <c r="EA353" s="21" t="str">
        <f ca="1">_xll.IMDP("BND",DR353,EA8,DR3)</f>
        <v>입력오류</v>
      </c>
      <c r="EB353" s="23" t="str">
        <f ca="1">_xll.IMDP("BND",DR353,EB8,DR3)</f>
        <v>입력오류</v>
      </c>
    </row>
    <row r="354" spans="1:132" ht="13.5" customHeight="1" x14ac:dyDescent="0.3">
      <c r="A354" s="2">
        <v>46198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26348</v>
      </c>
      <c r="I354" s="3">
        <v>9922.7199999999993</v>
      </c>
      <c r="J354" s="3">
        <v>1.4142999999999999</v>
      </c>
      <c r="K354" s="21">
        <f ca="1">_xll.IMDP("BND",B354,K8,B3)</f>
        <v>20271210</v>
      </c>
      <c r="L354" s="23">
        <f ca="1">_xll.IMDP("BND",B354,L8,B3)</f>
        <v>3.5049999999999999</v>
      </c>
      <c r="M354" s="2"/>
      <c r="W354" s="21" t="str">
        <f ca="1">_xll.IMDP("BND",N354,W8,N3)</f>
        <v>입력오류</v>
      </c>
      <c r="X354" s="23" t="str">
        <f ca="1">_xll.IMDP("BND",N354,X8,N3)</f>
        <v>입력오류</v>
      </c>
      <c r="Y354" s="2"/>
      <c r="AI354" s="21" t="str">
        <f ca="1">_xll.IMDP("BND",Z354,AI8,Z3)</f>
        <v>입력오류</v>
      </c>
      <c r="AJ354" s="23" t="str">
        <f ca="1">_xll.IMDP("BND",Z354,AJ8,Z3)</f>
        <v>입력오류</v>
      </c>
      <c r="AK354" s="2"/>
      <c r="AU354" s="21" t="str">
        <f ca="1">_xll.IMDP("BND",AL354,AU8,AL3)</f>
        <v>입력오류</v>
      </c>
      <c r="AV354" s="23" t="str">
        <f ca="1">_xll.IMDP("BND",AL354,AV8,AL3)</f>
        <v>입력오류</v>
      </c>
      <c r="AW354" s="2"/>
      <c r="BG354" s="21" t="str">
        <f ca="1">_xll.IMDP("BND",AX354,BG8,AX3)</f>
        <v>입력오류</v>
      </c>
      <c r="BH354" s="23" t="str">
        <f ca="1">_xll.IMDP("BND",AX354,BH8,AX3)</f>
        <v>입력오류</v>
      </c>
      <c r="BI354" s="2"/>
      <c r="BS354" s="21" t="str">
        <f ca="1">_xll.IMDP("BND",BJ354,BS8,BJ3)</f>
        <v>입력오류</v>
      </c>
      <c r="BT354" s="23" t="str">
        <f ca="1">_xll.IMDP("BND",BJ354,BT8,BJ3)</f>
        <v>입력오류</v>
      </c>
      <c r="BU354" s="2"/>
      <c r="CE354" s="21" t="str">
        <f ca="1">_xll.IMDP("BND",BV354,CE8,BV3)</f>
        <v>입력오류</v>
      </c>
      <c r="CF354" s="23" t="str">
        <f ca="1">_xll.IMDP("BND",BV354,CF8,BV3)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"/>
      <c r="DC354" s="21" t="str">
        <f ca="1">_xll.IMDP("BND",CT354,DC8,CT3)</f>
        <v>입력오류</v>
      </c>
      <c r="DD354" s="23" t="str">
        <f ca="1">_xll.IMDP("BND",CT354,DD8,CT3)</f>
        <v>입력오류</v>
      </c>
      <c r="DE354" s="2"/>
      <c r="DO354" s="21" t="str">
        <f ca="1">_xll.IMDP("BND",DF354,DO8,DF3)</f>
        <v>입력오류</v>
      </c>
      <c r="DP354" s="23" t="str">
        <f ca="1">_xll.IMDP("BND",DF354,DP8,DF3)</f>
        <v>입력오류</v>
      </c>
      <c r="DQ354" s="2"/>
      <c r="EA354" s="21" t="str">
        <f ca="1">_xll.IMDP("BND",DR354,EA8,DR3)</f>
        <v>입력오류</v>
      </c>
      <c r="EB354" s="23" t="str">
        <f ca="1">_xll.IMDP("BND",DR354,EB8,DR3)</f>
        <v>입력오류</v>
      </c>
    </row>
    <row r="355" spans="1:132" ht="13.5" customHeight="1" x14ac:dyDescent="0.3">
      <c r="A355" s="2">
        <v>46198</v>
      </c>
      <c r="B355" s="3" t="s">
        <v>2217</v>
      </c>
      <c r="C355" s="3" t="s">
        <v>897</v>
      </c>
      <c r="D355" s="3" t="s">
        <v>2218</v>
      </c>
      <c r="E355" s="3">
        <v>0</v>
      </c>
      <c r="F355" s="3">
        <v>0.02</v>
      </c>
      <c r="G355" s="3">
        <v>0</v>
      </c>
      <c r="H355" s="3">
        <v>26257</v>
      </c>
      <c r="I355" s="3">
        <v>9802.32</v>
      </c>
      <c r="J355" s="3">
        <v>2.8098000000000001</v>
      </c>
      <c r="K355" s="21">
        <f ca="1">_xll.IMDP("BND",B355,K8,B3)</f>
        <v>20290625</v>
      </c>
      <c r="L355" s="23">
        <f ca="1">_xll.IMDP("BND",B355,L8,B3)</f>
        <v>4.1340000000000003</v>
      </c>
      <c r="M355" s="2"/>
      <c r="W355" s="21" t="str">
        <f ca="1">_xll.IMDP("BND",N355,W8,N3)</f>
        <v>입력오류</v>
      </c>
      <c r="X355" s="23" t="str">
        <f ca="1">_xll.IMDP("BND",N355,X8,N3)</f>
        <v>입력오류</v>
      </c>
      <c r="Y355" s="2"/>
      <c r="AI355" s="21" t="str">
        <f ca="1">_xll.IMDP("BND",Z355,AI8,Z3)</f>
        <v>입력오류</v>
      </c>
      <c r="AJ355" s="23" t="str">
        <f ca="1">_xll.IMDP("BND",Z355,AJ8,Z3)</f>
        <v>입력오류</v>
      </c>
      <c r="AK355" s="2"/>
      <c r="AU355" s="21" t="str">
        <f ca="1">_xll.IMDP("BND",AL355,AU8,AL3)</f>
        <v>입력오류</v>
      </c>
      <c r="AV355" s="23" t="str">
        <f ca="1">_xll.IMDP("BND",AL355,AV8,AL3)</f>
        <v>입력오류</v>
      </c>
      <c r="AW355" s="2"/>
      <c r="BG355" s="21" t="str">
        <f ca="1">_xll.IMDP("BND",AX355,BG8,AX3)</f>
        <v>입력오류</v>
      </c>
      <c r="BH355" s="23" t="str">
        <f ca="1">_xll.IMDP("BND",AX355,BH8,AX3)</f>
        <v>입력오류</v>
      </c>
      <c r="BI355" s="2"/>
      <c r="BS355" s="21" t="str">
        <f ca="1">_xll.IMDP("BND",BJ355,BS8,BJ3)</f>
        <v>입력오류</v>
      </c>
      <c r="BT355" s="23" t="str">
        <f ca="1">_xll.IMDP("BND",BJ355,BT8,BJ3)</f>
        <v>입력오류</v>
      </c>
      <c r="BU355" s="2"/>
      <c r="CE355" s="21" t="str">
        <f ca="1">_xll.IMDP("BND",BV355,CE8,BV3)</f>
        <v>입력오류</v>
      </c>
      <c r="CF355" s="23" t="str">
        <f ca="1">_xll.IMDP("BND",BV355,CF8,BV3)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"/>
      <c r="DC355" s="21" t="str">
        <f ca="1">_xll.IMDP("BND",CT355,DC8,CT3)</f>
        <v>입력오류</v>
      </c>
      <c r="DD355" s="23" t="str">
        <f ca="1">_xll.IMDP("BND",CT355,DD8,CT3)</f>
        <v>입력오류</v>
      </c>
      <c r="DE355" s="2"/>
      <c r="DO355" s="21" t="str">
        <f ca="1">_xll.IMDP("BND",DF355,DO8,DF3)</f>
        <v>입력오류</v>
      </c>
      <c r="DP355" s="23" t="str">
        <f ca="1">_xll.IMDP("BND",DF355,DP8,DF3)</f>
        <v>입력오류</v>
      </c>
      <c r="DQ355" s="2"/>
      <c r="EA355" s="21" t="str">
        <f ca="1">_xll.IMDP("BND",DR355,EA8,DR3)</f>
        <v>입력오류</v>
      </c>
      <c r="EB355" s="23" t="str">
        <f ca="1">_xll.IMDP("BND",DR355,EB8,DR3)</f>
        <v>입력오류</v>
      </c>
    </row>
    <row r="356" spans="1:132" ht="13.5" customHeight="1" x14ac:dyDescent="0.3">
      <c r="A356" s="2">
        <v>46198</v>
      </c>
      <c r="B356" s="3" t="s">
        <v>2221</v>
      </c>
      <c r="C356" s="3" t="s">
        <v>2222</v>
      </c>
      <c r="D356" s="3" t="s">
        <v>2223</v>
      </c>
      <c r="E356" s="3">
        <v>0</v>
      </c>
      <c r="F356" s="3">
        <v>0.02</v>
      </c>
      <c r="G356" s="3">
        <v>0</v>
      </c>
      <c r="H356" s="3">
        <v>25495</v>
      </c>
      <c r="I356" s="3">
        <v>9601.41</v>
      </c>
      <c r="J356" s="3">
        <v>3.9394999999999998</v>
      </c>
      <c r="K356" s="21">
        <f ca="1">_xll.IMDP("BND",B356,K8,B3)</f>
        <v>20300731</v>
      </c>
      <c r="L356" s="23">
        <f ca="1">_xll.IMDP("BND",B356,L8,B3)</f>
        <v>4.0839999999999996</v>
      </c>
      <c r="M356" s="2"/>
      <c r="W356" s="21" t="str">
        <f ca="1">_xll.IMDP("BND",N356,W8,N3)</f>
        <v>입력오류</v>
      </c>
      <c r="X356" s="23" t="str">
        <f ca="1">_xll.IMDP("BND",N356,X8,N3)</f>
        <v>입력오류</v>
      </c>
      <c r="Y356" s="2"/>
      <c r="AI356" s="21" t="str">
        <f ca="1">_xll.IMDP("BND",Z356,AI8,Z3)</f>
        <v>입력오류</v>
      </c>
      <c r="AJ356" s="23" t="str">
        <f ca="1">_xll.IMDP("BND",Z356,AJ8,Z3)</f>
        <v>입력오류</v>
      </c>
      <c r="AK356" s="2"/>
      <c r="AU356" s="21" t="str">
        <f ca="1">_xll.IMDP("BND",AL356,AU8,AL3)</f>
        <v>입력오류</v>
      </c>
      <c r="AV356" s="23" t="str">
        <f ca="1">_xll.IMDP("BND",AL356,AV8,AL3)</f>
        <v>입력오류</v>
      </c>
      <c r="AW356" s="2"/>
      <c r="BG356" s="21" t="str">
        <f ca="1">_xll.IMDP("BND",AX356,BG8,AX3)</f>
        <v>입력오류</v>
      </c>
      <c r="BH356" s="23" t="str">
        <f ca="1">_xll.IMDP("BND",AX356,BH8,AX3)</f>
        <v>입력오류</v>
      </c>
      <c r="BI356" s="2"/>
      <c r="BS356" s="21" t="str">
        <f ca="1">_xll.IMDP("BND",BJ356,BS8,BJ3)</f>
        <v>입력오류</v>
      </c>
      <c r="BT356" s="23" t="str">
        <f ca="1">_xll.IMDP("BND",BJ356,BT8,BJ3)</f>
        <v>입력오류</v>
      </c>
      <c r="BU356" s="2"/>
      <c r="CE356" s="21" t="str">
        <f ca="1">_xll.IMDP("BND",BV356,CE8,BV3)</f>
        <v>입력오류</v>
      </c>
      <c r="CF356" s="23" t="str">
        <f ca="1">_xll.IMDP("BND",BV356,CF8,BV3)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"/>
      <c r="DC356" s="21" t="str">
        <f ca="1">_xll.IMDP("BND",CT356,DC8,CT3)</f>
        <v>입력오류</v>
      </c>
      <c r="DD356" s="23" t="str">
        <f ca="1">_xll.IMDP("BND",CT356,DD8,CT3)</f>
        <v>입력오류</v>
      </c>
      <c r="DE356" s="2"/>
      <c r="DO356" s="21" t="str">
        <f ca="1">_xll.IMDP("BND",DF356,DO8,DF3)</f>
        <v>입력오류</v>
      </c>
      <c r="DP356" s="23" t="str">
        <f ca="1">_xll.IMDP("BND",DF356,DP8,DF3)</f>
        <v>입력오류</v>
      </c>
      <c r="DQ356" s="2"/>
      <c r="EA356" s="21" t="str">
        <f ca="1">_xll.IMDP("BND",DR356,EA8,DR3)</f>
        <v>입력오류</v>
      </c>
      <c r="EB356" s="23" t="str">
        <f ca="1">_xll.IMDP("BND",DR356,EB8,DR3)</f>
        <v>입력오류</v>
      </c>
    </row>
    <row r="357" spans="1:132" ht="13.5" customHeight="1" x14ac:dyDescent="0.3">
      <c r="A357" s="2">
        <v>46198</v>
      </c>
      <c r="B357" s="3" t="s">
        <v>2219</v>
      </c>
      <c r="C357" s="3" t="s">
        <v>2206</v>
      </c>
      <c r="D357" s="3" t="s">
        <v>2220</v>
      </c>
      <c r="E357" s="3">
        <v>0</v>
      </c>
      <c r="F357" s="3">
        <v>0.02</v>
      </c>
      <c r="G357" s="3">
        <v>0</v>
      </c>
      <c r="H357" s="3">
        <v>25495</v>
      </c>
      <c r="I357" s="3">
        <v>9601.41</v>
      </c>
      <c r="J357" s="3">
        <v>3.9394999999999998</v>
      </c>
      <c r="K357" s="21">
        <f ca="1">_xll.IMDP("BND",B357,K8,B3)</f>
        <v>20300731</v>
      </c>
      <c r="L357" s="23">
        <f ca="1">_xll.IMDP("BND",B357,L8,B3)</f>
        <v>4.0839999999999996</v>
      </c>
      <c r="M357" s="2"/>
      <c r="W357" s="21" t="str">
        <f ca="1">_xll.IMDP("BND",N357,W8,N3)</f>
        <v>입력오류</v>
      </c>
      <c r="X357" s="23" t="str">
        <f ca="1">_xll.IMDP("BND",N357,X8,N3)</f>
        <v>입력오류</v>
      </c>
      <c r="Y357" s="2"/>
      <c r="AI357" s="21" t="str">
        <f ca="1">_xll.IMDP("BND",Z357,AI8,Z3)</f>
        <v>입력오류</v>
      </c>
      <c r="AJ357" s="23" t="str">
        <f ca="1">_xll.IMDP("BND",Z357,AJ8,Z3)</f>
        <v>입력오류</v>
      </c>
      <c r="AK357" s="2"/>
      <c r="AU357" s="21" t="str">
        <f ca="1">_xll.IMDP("BND",AL357,AU8,AL3)</f>
        <v>입력오류</v>
      </c>
      <c r="AV357" s="23" t="str">
        <f ca="1">_xll.IMDP("BND",AL357,AV8,AL3)</f>
        <v>입력오류</v>
      </c>
      <c r="AW357" s="2"/>
      <c r="BG357" s="21" t="str">
        <f ca="1">_xll.IMDP("BND",AX357,BG8,AX3)</f>
        <v>입력오류</v>
      </c>
      <c r="BH357" s="23" t="str">
        <f ca="1">_xll.IMDP("BND",AX357,BH8,AX3)</f>
        <v>입력오류</v>
      </c>
      <c r="BI357" s="2"/>
      <c r="BS357" s="21" t="str">
        <f ca="1">_xll.IMDP("BND",BJ357,BS8,BJ3)</f>
        <v>입력오류</v>
      </c>
      <c r="BT357" s="23" t="str">
        <f ca="1">_xll.IMDP("BND",BJ357,BT8,BJ3)</f>
        <v>입력오류</v>
      </c>
      <c r="BU357" s="2"/>
      <c r="CE357" s="21" t="str">
        <f ca="1">_xll.IMDP("BND",BV357,CE8,BV3)</f>
        <v>입력오류</v>
      </c>
      <c r="CF357" s="23" t="str">
        <f ca="1">_xll.IMDP("BND",BV357,CF8,BV3)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"/>
      <c r="DC357" s="21" t="str">
        <f ca="1">_xll.IMDP("BND",CT357,DC8,CT3)</f>
        <v>입력오류</v>
      </c>
      <c r="DD357" s="23" t="str">
        <f ca="1">_xll.IMDP("BND",CT357,DD8,CT3)</f>
        <v>입력오류</v>
      </c>
      <c r="DE357" s="2"/>
      <c r="DO357" s="21" t="str">
        <f ca="1">_xll.IMDP("BND",DF357,DO8,DF3)</f>
        <v>입력오류</v>
      </c>
      <c r="DP357" s="23" t="str">
        <f ca="1">_xll.IMDP("BND",DF357,DP8,DF3)</f>
        <v>입력오류</v>
      </c>
      <c r="DQ357" s="2"/>
      <c r="EA357" s="21" t="str">
        <f ca="1">_xll.IMDP("BND",DR357,EA8,DR3)</f>
        <v>입력오류</v>
      </c>
      <c r="EB357" s="23" t="str">
        <f ca="1">_xll.IMDP("BND",DR357,EB8,DR3)</f>
        <v>입력오류</v>
      </c>
    </row>
    <row r="358" spans="1:132" ht="13.5" customHeight="1" x14ac:dyDescent="0.3">
      <c r="A358" s="2">
        <v>46198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25234</v>
      </c>
      <c r="I358" s="3">
        <v>9503.5300000000007</v>
      </c>
      <c r="J358" s="3">
        <v>3.9093</v>
      </c>
      <c r="K358" s="21">
        <f ca="1">_xll.IMDP("BND",B358,K8,B3)</f>
        <v>20300910</v>
      </c>
      <c r="L358" s="23">
        <f ca="1">_xll.IMDP("BND",B358,L8,B3)</f>
        <v>3.98</v>
      </c>
      <c r="M358" s="2"/>
      <c r="W358" s="21" t="str">
        <f ca="1">_xll.IMDP("BND",N358,W8,N3)</f>
        <v>입력오류</v>
      </c>
      <c r="X358" s="23" t="str">
        <f ca="1">_xll.IMDP("BND",N358,X8,N3)</f>
        <v>입력오류</v>
      </c>
      <c r="Y358" s="2"/>
      <c r="AI358" s="21" t="str">
        <f ca="1">_xll.IMDP("BND",Z358,AI8,Z3)</f>
        <v>입력오류</v>
      </c>
      <c r="AJ358" s="23" t="str">
        <f ca="1">_xll.IMDP("BND",Z358,AJ8,Z3)</f>
        <v>입력오류</v>
      </c>
      <c r="AK358" s="2"/>
      <c r="AU358" s="21" t="str">
        <f ca="1">_xll.IMDP("BND",AL358,AU8,AL3)</f>
        <v>입력오류</v>
      </c>
      <c r="AV358" s="23" t="str">
        <f ca="1">_xll.IMDP("BND",AL358,AV8,AL3)</f>
        <v>입력오류</v>
      </c>
      <c r="AW358" s="2"/>
      <c r="BG358" s="21" t="str">
        <f ca="1">_xll.IMDP("BND",AX358,BG8,AX3)</f>
        <v>입력오류</v>
      </c>
      <c r="BH358" s="23" t="str">
        <f ca="1">_xll.IMDP("BND",AX358,BH8,AX3)</f>
        <v>입력오류</v>
      </c>
      <c r="BI358" s="2"/>
      <c r="BS358" s="21" t="str">
        <f ca="1">_xll.IMDP("BND",BJ358,BS8,BJ3)</f>
        <v>입력오류</v>
      </c>
      <c r="BT358" s="23" t="str">
        <f ca="1">_xll.IMDP("BND",BJ358,BT8,BJ3)</f>
        <v>입력오류</v>
      </c>
      <c r="BU358" s="2"/>
      <c r="CE358" s="21" t="str">
        <f ca="1">_xll.IMDP("BND",BV358,CE8,BV3)</f>
        <v>입력오류</v>
      </c>
      <c r="CF358" s="23" t="str">
        <f ca="1">_xll.IMDP("BND",BV358,CF8,BV3)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"/>
      <c r="DC358" s="21" t="str">
        <f ca="1">_xll.IMDP("BND",CT358,DC8,CT3)</f>
        <v>입력오류</v>
      </c>
      <c r="DD358" s="23" t="str">
        <f ca="1">_xll.IMDP("BND",CT358,DD8,CT3)</f>
        <v>입력오류</v>
      </c>
      <c r="DE358" s="2"/>
      <c r="DO358" s="21" t="str">
        <f ca="1">_xll.IMDP("BND",DF358,DO8,DF3)</f>
        <v>입력오류</v>
      </c>
      <c r="DP358" s="23" t="str">
        <f ca="1">_xll.IMDP("BND",DF358,DP8,DF3)</f>
        <v>입력오류</v>
      </c>
      <c r="DQ358" s="2"/>
      <c r="EA358" s="21" t="str">
        <f ca="1">_xll.IMDP("BND",DR358,EA8,DR3)</f>
        <v>입력오류</v>
      </c>
      <c r="EB358" s="23" t="str">
        <f ca="1">_xll.IMDP("BND",DR358,EB8,DR3)</f>
        <v>입력오류</v>
      </c>
    </row>
    <row r="359" spans="1:132" ht="13.5" customHeight="1" x14ac:dyDescent="0.3">
      <c r="A359" s="2">
        <v>46198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0.02</v>
      </c>
      <c r="G359" s="3">
        <v>0</v>
      </c>
      <c r="H359" s="3">
        <v>24478</v>
      </c>
      <c r="I359" s="3">
        <v>9218.9</v>
      </c>
      <c r="J359" s="3">
        <v>7.3273000000000001</v>
      </c>
      <c r="K359" s="21">
        <f ca="1">_xll.IMDP("BND",B359,K8,B3)</f>
        <v>20341210</v>
      </c>
      <c r="L359" s="23">
        <f ca="1">_xll.IMDP("BND",B359,L8,B3)</f>
        <v>4.12</v>
      </c>
      <c r="M359" s="2"/>
      <c r="W359" s="21" t="str">
        <f ca="1">_xll.IMDP("BND",N359,W8,N3)</f>
        <v>입력오류</v>
      </c>
      <c r="X359" s="23" t="str">
        <f ca="1">_xll.IMDP("BND",N359,X8,N3)</f>
        <v>입력오류</v>
      </c>
      <c r="Y359" s="2"/>
      <c r="AI359" s="21" t="str">
        <f ca="1">_xll.IMDP("BND",Z359,AI8,Z3)</f>
        <v>입력오류</v>
      </c>
      <c r="AJ359" s="23" t="str">
        <f ca="1">_xll.IMDP("BND",Z359,AJ8,Z3)</f>
        <v>입력오류</v>
      </c>
      <c r="AK359" s="2"/>
      <c r="AU359" s="21" t="str">
        <f ca="1">_xll.IMDP("BND",AL359,AU8,AL3)</f>
        <v>입력오류</v>
      </c>
      <c r="AV359" s="23" t="str">
        <f ca="1">_xll.IMDP("BND",AL359,AV8,AL3)</f>
        <v>입력오류</v>
      </c>
      <c r="AW359" s="2"/>
      <c r="BG359" s="21" t="str">
        <f ca="1">_xll.IMDP("BND",AX359,BG8,AX3)</f>
        <v>입력오류</v>
      </c>
      <c r="BH359" s="23" t="str">
        <f ca="1">_xll.IMDP("BND",AX359,BH8,AX3)</f>
        <v>입력오류</v>
      </c>
      <c r="BI359" s="2"/>
      <c r="BS359" s="21" t="str">
        <f ca="1">_xll.IMDP("BND",BJ359,BS8,BJ3)</f>
        <v>입력오류</v>
      </c>
      <c r="BT359" s="23" t="str">
        <f ca="1">_xll.IMDP("BND",BJ359,BT8,BJ3)</f>
        <v>입력오류</v>
      </c>
      <c r="BU359" s="2"/>
      <c r="CE359" s="21" t="str">
        <f ca="1">_xll.IMDP("BND",BV359,CE8,BV3)</f>
        <v>입력오류</v>
      </c>
      <c r="CF359" s="23" t="str">
        <f ca="1">_xll.IMDP("BND",BV359,CF8,BV3)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"/>
      <c r="DC359" s="21" t="str">
        <f ca="1">_xll.IMDP("BND",CT359,DC8,CT3)</f>
        <v>입력오류</v>
      </c>
      <c r="DD359" s="23" t="str">
        <f ca="1">_xll.IMDP("BND",CT359,DD8,CT3)</f>
        <v>입력오류</v>
      </c>
      <c r="DE359" s="2"/>
      <c r="DO359" s="21" t="str">
        <f ca="1">_xll.IMDP("BND",DF359,DO8,DF3)</f>
        <v>입력오류</v>
      </c>
      <c r="DP359" s="23" t="str">
        <f ca="1">_xll.IMDP("BND",DF359,DP8,DF3)</f>
        <v>입력오류</v>
      </c>
      <c r="DQ359" s="2"/>
      <c r="EA359" s="21" t="str">
        <f ca="1">_xll.IMDP("BND",DR359,EA8,DR3)</f>
        <v>입력오류</v>
      </c>
      <c r="EB359" s="23" t="str">
        <f ca="1">_xll.IMDP("BND",DR359,EB8,DR3)</f>
        <v>입력오류</v>
      </c>
    </row>
    <row r="360" spans="1:132" ht="13.5" customHeight="1" x14ac:dyDescent="0.3">
      <c r="A360" s="2">
        <v>46198</v>
      </c>
      <c r="B360" s="3" t="s">
        <v>2224</v>
      </c>
      <c r="C360" s="3" t="s">
        <v>154</v>
      </c>
      <c r="D360" s="3" t="s">
        <v>2225</v>
      </c>
      <c r="E360" s="3">
        <v>0</v>
      </c>
      <c r="F360" s="3">
        <v>0.02</v>
      </c>
      <c r="G360" s="3">
        <v>0</v>
      </c>
      <c r="H360" s="3">
        <v>24317</v>
      </c>
      <c r="I360" s="3">
        <v>9157.48</v>
      </c>
      <c r="J360" s="3">
        <v>3.6408</v>
      </c>
      <c r="K360" s="21">
        <f ca="1">_xll.IMDP("BND",B360,K8,B3)</f>
        <v>20300429</v>
      </c>
      <c r="L360" s="23">
        <f ca="1">_xll.IMDP("BND",B360,L8,B3)</f>
        <v>4.2439999999999998</v>
      </c>
      <c r="M360" s="2"/>
      <c r="W360" s="21" t="str">
        <f ca="1">_xll.IMDP("BND",N360,W8,N3)</f>
        <v>입력오류</v>
      </c>
      <c r="X360" s="23" t="str">
        <f ca="1">_xll.IMDP("BND",N360,X8,N3)</f>
        <v>입력오류</v>
      </c>
      <c r="Y360" s="2"/>
      <c r="AI360" s="21" t="str">
        <f ca="1">_xll.IMDP("BND",Z360,AI8,Z3)</f>
        <v>입력오류</v>
      </c>
      <c r="AJ360" s="23" t="str">
        <f ca="1">_xll.IMDP("BND",Z360,AJ8,Z3)</f>
        <v>입력오류</v>
      </c>
      <c r="AK360" s="2"/>
      <c r="AU360" s="21" t="str">
        <f ca="1">_xll.IMDP("BND",AL360,AU8,AL3)</f>
        <v>입력오류</v>
      </c>
      <c r="AV360" s="23" t="str">
        <f ca="1">_xll.IMDP("BND",AL360,AV8,AL3)</f>
        <v>입력오류</v>
      </c>
      <c r="AW360" s="2"/>
      <c r="BG360" s="21" t="str">
        <f ca="1">_xll.IMDP("BND",AX360,BG8,AX3)</f>
        <v>입력오류</v>
      </c>
      <c r="BH360" s="23" t="str">
        <f ca="1">_xll.IMDP("BND",AX360,BH8,AX3)</f>
        <v>입력오류</v>
      </c>
      <c r="BI360" s="2"/>
      <c r="BS360" s="21" t="str">
        <f ca="1">_xll.IMDP("BND",BJ360,BS8,BJ3)</f>
        <v>입력오류</v>
      </c>
      <c r="BT360" s="23" t="str">
        <f ca="1">_xll.IMDP("BND",BJ360,BT8,BJ3)</f>
        <v>입력오류</v>
      </c>
      <c r="BU360" s="2"/>
      <c r="CE360" s="21" t="str">
        <f ca="1">_xll.IMDP("BND",BV360,CE8,BV3)</f>
        <v>입력오류</v>
      </c>
      <c r="CF360" s="23" t="str">
        <f ca="1">_xll.IMDP("BND",BV360,CF8,BV3)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"/>
      <c r="DC360" s="21" t="str">
        <f ca="1">_xll.IMDP("BND",CT360,DC8,CT3)</f>
        <v>입력오류</v>
      </c>
      <c r="DD360" s="23" t="str">
        <f ca="1">_xll.IMDP("BND",CT360,DD8,CT3)</f>
        <v>입력오류</v>
      </c>
      <c r="DE360" s="2"/>
      <c r="DO360" s="21" t="str">
        <f ca="1">_xll.IMDP("BND",DF360,DO8,DF3)</f>
        <v>입력오류</v>
      </c>
      <c r="DP360" s="23" t="str">
        <f ca="1">_xll.IMDP("BND",DF360,DP8,DF3)</f>
        <v>입력오류</v>
      </c>
      <c r="DQ360" s="2"/>
      <c r="EA360" s="21" t="str">
        <f ca="1">_xll.IMDP("BND",DR360,EA8,DR3)</f>
        <v>입력오류</v>
      </c>
      <c r="EB360" s="23" t="str">
        <f ca="1">_xll.IMDP("BND",DR360,EB8,DR3)</f>
        <v>입력오류</v>
      </c>
    </row>
    <row r="361" spans="1:132" ht="13.5" customHeight="1" x14ac:dyDescent="0.3">
      <c r="A361" s="2">
        <v>46198</v>
      </c>
      <c r="B361" s="3" t="s">
        <v>1445</v>
      </c>
      <c r="C361" s="3" t="s">
        <v>50</v>
      </c>
      <c r="D361" s="3" t="s">
        <v>1446</v>
      </c>
      <c r="E361" s="3">
        <v>0</v>
      </c>
      <c r="F361" s="3">
        <v>0.02</v>
      </c>
      <c r="G361" s="3">
        <v>0</v>
      </c>
      <c r="H361" s="3">
        <v>24012</v>
      </c>
      <c r="I361" s="3">
        <v>10047.9</v>
      </c>
      <c r="J361" s="3">
        <v>1.1673</v>
      </c>
      <c r="K361" s="21">
        <f ca="1">_xll.IMDP("BND",B361,K8,B3)</f>
        <v>20270910</v>
      </c>
      <c r="L361" s="23">
        <f ca="1">_xll.IMDP("BND",B361,L8,B3)</f>
        <v>3.4849999999999999</v>
      </c>
      <c r="M361" s="2"/>
      <c r="W361" s="21" t="str">
        <f ca="1">_xll.IMDP("BND",N361,W8,N3)</f>
        <v>입력오류</v>
      </c>
      <c r="X361" s="23" t="str">
        <f ca="1">_xll.IMDP("BND",N361,X8,N3)</f>
        <v>입력오류</v>
      </c>
      <c r="Y361" s="2"/>
      <c r="AI361" s="21" t="str">
        <f ca="1">_xll.IMDP("BND",Z361,AI8,Z3)</f>
        <v>입력오류</v>
      </c>
      <c r="AJ361" s="23" t="str">
        <f ca="1">_xll.IMDP("BND",Z361,AJ8,Z3)</f>
        <v>입력오류</v>
      </c>
      <c r="AK361" s="2"/>
      <c r="AU361" s="21" t="str">
        <f ca="1">_xll.IMDP("BND",AL361,AU8,AL3)</f>
        <v>입력오류</v>
      </c>
      <c r="AV361" s="23" t="str">
        <f ca="1">_xll.IMDP("BND",AL361,AV8,AL3)</f>
        <v>입력오류</v>
      </c>
      <c r="AW361" s="2"/>
      <c r="BG361" s="21" t="str">
        <f ca="1">_xll.IMDP("BND",AX361,BG8,AX3)</f>
        <v>입력오류</v>
      </c>
      <c r="BH361" s="23" t="str">
        <f ca="1">_xll.IMDP("BND",AX361,BH8,AX3)</f>
        <v>입력오류</v>
      </c>
      <c r="BI361" s="2"/>
      <c r="BS361" s="21" t="str">
        <f ca="1">_xll.IMDP("BND",BJ361,BS8,BJ3)</f>
        <v>입력오류</v>
      </c>
      <c r="BT361" s="23" t="str">
        <f ca="1">_xll.IMDP("BND",BJ361,BT8,BJ3)</f>
        <v>입력오류</v>
      </c>
      <c r="BU361" s="2"/>
      <c r="CE361" s="21" t="str">
        <f ca="1">_xll.IMDP("BND",BV361,CE8,BV3)</f>
        <v>입력오류</v>
      </c>
      <c r="CF361" s="23" t="str">
        <f ca="1">_xll.IMDP("BND",BV361,CF8,BV3)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"/>
      <c r="DC361" s="21" t="str">
        <f ca="1">_xll.IMDP("BND",CT361,DC8,CT3)</f>
        <v>입력오류</v>
      </c>
      <c r="DD361" s="23" t="str">
        <f ca="1">_xll.IMDP("BND",CT361,DD8,CT3)</f>
        <v>입력오류</v>
      </c>
      <c r="DE361" s="2"/>
      <c r="DO361" s="21" t="str">
        <f ca="1">_xll.IMDP("BND",DF361,DO8,DF3)</f>
        <v>입력오류</v>
      </c>
      <c r="DP361" s="23" t="str">
        <f ca="1">_xll.IMDP("BND",DF361,DP8,DF3)</f>
        <v>입력오류</v>
      </c>
      <c r="DQ361" s="2"/>
      <c r="EA361" s="21" t="str">
        <f ca="1">_xll.IMDP("BND",DR361,EA8,DR3)</f>
        <v>입력오류</v>
      </c>
      <c r="EB361" s="23" t="str">
        <f ca="1">_xll.IMDP("BND",DR361,EB8,DR3)</f>
        <v>입력오류</v>
      </c>
    </row>
    <row r="362" spans="1:132" ht="13.5" customHeight="1" x14ac:dyDescent="0.3">
      <c r="A362" s="2">
        <v>46198</v>
      </c>
      <c r="B362" s="3" t="s">
        <v>2226</v>
      </c>
      <c r="C362" s="3" t="s">
        <v>2227</v>
      </c>
      <c r="D362" s="3" t="s">
        <v>2228</v>
      </c>
      <c r="E362" s="3">
        <v>0</v>
      </c>
      <c r="F362" s="3">
        <v>0.02</v>
      </c>
      <c r="G362" s="3">
        <v>0</v>
      </c>
      <c r="H362" s="3">
        <v>23929</v>
      </c>
      <c r="I362" s="3">
        <v>10013.780000000001</v>
      </c>
      <c r="J362" s="3">
        <v>0.61699999999999999</v>
      </c>
      <c r="K362" s="21">
        <f ca="1">_xll.IMDP("BND",B362,K8,B3)</f>
        <v>20270210</v>
      </c>
      <c r="L362" s="23">
        <f ca="1">_xll.IMDP("BND",B362,L8,B3)</f>
        <v>3.3220000000000001</v>
      </c>
      <c r="M362" s="2"/>
      <c r="W362" s="21" t="str">
        <f ca="1">_xll.IMDP("BND",N362,W8,N3)</f>
        <v>입력오류</v>
      </c>
      <c r="X362" s="23" t="str">
        <f ca="1">_xll.IMDP("BND",N362,X8,N3)</f>
        <v>입력오류</v>
      </c>
      <c r="Y362" s="2"/>
      <c r="AI362" s="21" t="str">
        <f ca="1">_xll.IMDP("BND",Z362,AI8,Z3)</f>
        <v>입력오류</v>
      </c>
      <c r="AJ362" s="23" t="str">
        <f ca="1">_xll.IMDP("BND",Z362,AJ8,Z3)</f>
        <v>입력오류</v>
      </c>
      <c r="AK362" s="2"/>
      <c r="AU362" s="21" t="str">
        <f ca="1">_xll.IMDP("BND",AL362,AU8,AL3)</f>
        <v>입력오류</v>
      </c>
      <c r="AV362" s="23" t="str">
        <f ca="1">_xll.IMDP("BND",AL362,AV8,AL3)</f>
        <v>입력오류</v>
      </c>
      <c r="AW362" s="2"/>
      <c r="BG362" s="21" t="str">
        <f ca="1">_xll.IMDP("BND",AX362,BG8,AX3)</f>
        <v>입력오류</v>
      </c>
      <c r="BH362" s="23" t="str">
        <f ca="1">_xll.IMDP("BND",AX362,BH8,AX3)</f>
        <v>입력오류</v>
      </c>
      <c r="BI362" s="2"/>
      <c r="BS362" s="21" t="str">
        <f ca="1">_xll.IMDP("BND",BJ362,BS8,BJ3)</f>
        <v>입력오류</v>
      </c>
      <c r="BT362" s="23" t="str">
        <f ca="1">_xll.IMDP("BND",BJ362,BT8,BJ3)</f>
        <v>입력오류</v>
      </c>
      <c r="BU362" s="2"/>
      <c r="CE362" s="21" t="str">
        <f ca="1">_xll.IMDP("BND",BV362,CE8,BV3)</f>
        <v>입력오류</v>
      </c>
      <c r="CF362" s="23" t="str">
        <f ca="1">_xll.IMDP("BND",BV362,CF8,BV3)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"/>
      <c r="DC362" s="21" t="str">
        <f ca="1">_xll.IMDP("BND",CT362,DC8,CT3)</f>
        <v>입력오류</v>
      </c>
      <c r="DD362" s="23" t="str">
        <f ca="1">_xll.IMDP("BND",CT362,DD8,CT3)</f>
        <v>입력오류</v>
      </c>
      <c r="DE362" s="2"/>
      <c r="DO362" s="21" t="str">
        <f ca="1">_xll.IMDP("BND",DF362,DO8,DF3)</f>
        <v>입력오류</v>
      </c>
      <c r="DP362" s="23" t="str">
        <f ca="1">_xll.IMDP("BND",DF362,DP8,DF3)</f>
        <v>입력오류</v>
      </c>
      <c r="DQ362" s="2"/>
      <c r="EA362" s="21" t="str">
        <f ca="1">_xll.IMDP("BND",DR362,EA8,DR3)</f>
        <v>입력오류</v>
      </c>
      <c r="EB362" s="23" t="str">
        <f ca="1">_xll.IMDP("BND",DR362,EB8,DR3)</f>
        <v>입력오류</v>
      </c>
    </row>
    <row r="363" spans="1:132" ht="13.5" customHeight="1" x14ac:dyDescent="0.3">
      <c r="A363" s="2">
        <v>46198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22903</v>
      </c>
      <c r="I363" s="3">
        <v>9584.92</v>
      </c>
      <c r="J363" s="3">
        <v>12.1684</v>
      </c>
      <c r="K363" s="21">
        <f ca="1">_xll.IMDP("BND",B363,K8,B3)</f>
        <v>20430910</v>
      </c>
      <c r="L363" s="23">
        <f ca="1">_xll.IMDP("BND",B363,L8,B3)</f>
        <v>4.3109999999999999</v>
      </c>
      <c r="M363" s="2"/>
      <c r="W363" s="21" t="str">
        <f ca="1">_xll.IMDP("BND",N363,W8,N3)</f>
        <v>입력오류</v>
      </c>
      <c r="X363" s="23" t="str">
        <f ca="1">_xll.IMDP("BND",N363,X8,N3)</f>
        <v>입력오류</v>
      </c>
      <c r="Y363" s="2"/>
      <c r="AI363" s="21" t="str">
        <f ca="1">_xll.IMDP("BND",Z363,AI8,Z3)</f>
        <v>입력오류</v>
      </c>
      <c r="AJ363" s="23" t="str">
        <f ca="1">_xll.IMDP("BND",Z363,AJ8,Z3)</f>
        <v>입력오류</v>
      </c>
      <c r="AK363" s="2"/>
      <c r="AU363" s="21" t="str">
        <f ca="1">_xll.IMDP("BND",AL363,AU8,AL3)</f>
        <v>입력오류</v>
      </c>
      <c r="AV363" s="23" t="str">
        <f ca="1">_xll.IMDP("BND",AL363,AV8,AL3)</f>
        <v>입력오류</v>
      </c>
      <c r="AW363" s="2"/>
      <c r="BG363" s="21" t="str">
        <f ca="1">_xll.IMDP("BND",AX363,BG8,AX3)</f>
        <v>입력오류</v>
      </c>
      <c r="BH363" s="23" t="str">
        <f ca="1">_xll.IMDP("BND",AX363,BH8,AX3)</f>
        <v>입력오류</v>
      </c>
      <c r="BI363" s="2"/>
      <c r="BS363" s="21" t="str">
        <f ca="1">_xll.IMDP("BND",BJ363,BS8,BJ3)</f>
        <v>입력오류</v>
      </c>
      <c r="BT363" s="23" t="str">
        <f ca="1">_xll.IMDP("BND",BJ363,BT8,BJ3)</f>
        <v>입력오류</v>
      </c>
      <c r="BU363" s="2"/>
      <c r="CE363" s="21" t="str">
        <f ca="1">_xll.IMDP("BND",BV363,CE8,BV3)</f>
        <v>입력오류</v>
      </c>
      <c r="CF363" s="23" t="str">
        <f ca="1">_xll.IMDP("BND",BV363,CF8,BV3)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"/>
      <c r="DC363" s="21" t="str">
        <f ca="1">_xll.IMDP("BND",CT363,DC8,CT3)</f>
        <v>입력오류</v>
      </c>
      <c r="DD363" s="23" t="str">
        <f ca="1">_xll.IMDP("BND",CT363,DD8,CT3)</f>
        <v>입력오류</v>
      </c>
      <c r="DE363" s="2"/>
      <c r="DO363" s="21" t="str">
        <f ca="1">_xll.IMDP("BND",DF363,DO8,DF3)</f>
        <v>입력오류</v>
      </c>
      <c r="DP363" s="23" t="str">
        <f ca="1">_xll.IMDP("BND",DF363,DP8,DF3)</f>
        <v>입력오류</v>
      </c>
      <c r="DQ363" s="2"/>
      <c r="EA363" s="21" t="str">
        <f ca="1">_xll.IMDP("BND",DR363,EA8,DR3)</f>
        <v>입력오류</v>
      </c>
      <c r="EB363" s="23" t="str">
        <f ca="1">_xll.IMDP("BND",DR363,EB8,DR3)</f>
        <v>입력오류</v>
      </c>
    </row>
    <row r="364" spans="1:132" ht="13.5" customHeight="1" x14ac:dyDescent="0.3">
      <c r="A364" s="2">
        <v>46198</v>
      </c>
      <c r="B364" s="3" t="s">
        <v>2229</v>
      </c>
      <c r="C364" s="3" t="s">
        <v>1564</v>
      </c>
      <c r="D364" s="3" t="s">
        <v>2230</v>
      </c>
      <c r="E364" s="3">
        <v>0</v>
      </c>
      <c r="F364" s="3">
        <v>0.02</v>
      </c>
      <c r="G364" s="3">
        <v>0</v>
      </c>
      <c r="H364" s="3">
        <v>21037</v>
      </c>
      <c r="I364" s="3">
        <v>9904.23</v>
      </c>
      <c r="J364" s="3">
        <v>0.81879999999999997</v>
      </c>
      <c r="K364" s="21">
        <f ca="1">_xll.IMDP("BND",B364,K8,B3)</f>
        <v>20270425</v>
      </c>
      <c r="L364" s="23">
        <f ca="1">_xll.IMDP("BND",B364,L8,B3)</f>
        <v>3.5459999999999998</v>
      </c>
      <c r="M364" s="2"/>
      <c r="W364" s="21" t="str">
        <f ca="1">_xll.IMDP("BND",N364,W8,N3)</f>
        <v>입력오류</v>
      </c>
      <c r="X364" s="23" t="str">
        <f ca="1">_xll.IMDP("BND",N364,X8,N3)</f>
        <v>입력오류</v>
      </c>
      <c r="Y364" s="2"/>
      <c r="AI364" s="21" t="str">
        <f ca="1">_xll.IMDP("BND",Z364,AI8,Z3)</f>
        <v>입력오류</v>
      </c>
      <c r="AJ364" s="23" t="str">
        <f ca="1">_xll.IMDP("BND",Z364,AJ8,Z3)</f>
        <v>입력오류</v>
      </c>
      <c r="AK364" s="2"/>
      <c r="AU364" s="21" t="str">
        <f ca="1">_xll.IMDP("BND",AL364,AU8,AL3)</f>
        <v>입력오류</v>
      </c>
      <c r="AV364" s="23" t="str">
        <f ca="1">_xll.IMDP("BND",AL364,AV8,AL3)</f>
        <v>입력오류</v>
      </c>
      <c r="AW364" s="2"/>
      <c r="BG364" s="21" t="str">
        <f ca="1">_xll.IMDP("BND",AX364,BG8,AX3)</f>
        <v>입력오류</v>
      </c>
      <c r="BH364" s="23" t="str">
        <f ca="1">_xll.IMDP("BND",AX364,BH8,AX3)</f>
        <v>입력오류</v>
      </c>
      <c r="BI364" s="2"/>
      <c r="BS364" s="21" t="str">
        <f ca="1">_xll.IMDP("BND",BJ364,BS8,BJ3)</f>
        <v>입력오류</v>
      </c>
      <c r="BT364" s="23" t="str">
        <f ca="1">_xll.IMDP("BND",BJ364,BT8,BJ3)</f>
        <v>입력오류</v>
      </c>
      <c r="BU364" s="2"/>
      <c r="CE364" s="21" t="str">
        <f ca="1">_xll.IMDP("BND",BV364,CE8,BV3)</f>
        <v>입력오류</v>
      </c>
      <c r="CF364" s="23" t="str">
        <f ca="1">_xll.IMDP("BND",BV364,CF8,BV3)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"/>
      <c r="DC364" s="21" t="str">
        <f ca="1">_xll.IMDP("BND",CT364,DC8,CT3)</f>
        <v>입력오류</v>
      </c>
      <c r="DD364" s="23" t="str">
        <f ca="1">_xll.IMDP("BND",CT364,DD8,CT3)</f>
        <v>입력오류</v>
      </c>
      <c r="DE364" s="2"/>
      <c r="DO364" s="21" t="str">
        <f ca="1">_xll.IMDP("BND",DF364,DO8,DF3)</f>
        <v>입력오류</v>
      </c>
      <c r="DP364" s="23" t="str">
        <f ca="1">_xll.IMDP("BND",DF364,DP8,DF3)</f>
        <v>입력오류</v>
      </c>
      <c r="DQ364" s="2"/>
      <c r="EA364" s="21" t="str">
        <f ca="1">_xll.IMDP("BND",DR364,EA8,DR3)</f>
        <v>입력오류</v>
      </c>
      <c r="EB364" s="23" t="str">
        <f ca="1">_xll.IMDP("BND",DR364,EB8,DR3)</f>
        <v>입력오류</v>
      </c>
    </row>
    <row r="365" spans="1:132" ht="13.5" customHeight="1" x14ac:dyDescent="0.3">
      <c r="A365" s="2">
        <v>46198</v>
      </c>
      <c r="B365" s="3" t="s">
        <v>2231</v>
      </c>
      <c r="C365" s="3" t="s">
        <v>816</v>
      </c>
      <c r="D365" s="3" t="s">
        <v>2232</v>
      </c>
      <c r="E365" s="3">
        <v>0</v>
      </c>
      <c r="F365" s="3">
        <v>0.02</v>
      </c>
      <c r="G365" s="3">
        <v>0</v>
      </c>
      <c r="H365" s="3">
        <v>18708</v>
      </c>
      <c r="I365" s="3">
        <v>7046</v>
      </c>
      <c r="J365" s="3">
        <v>22.038</v>
      </c>
      <c r="K365" s="21">
        <f ca="1">_xll.IMDP("BND",B365,K8,B3)</f>
        <v>20740910</v>
      </c>
      <c r="L365" s="23">
        <f ca="1">_xll.IMDP("BND",B365,L8,B3)</f>
        <v>4.2290000000000001</v>
      </c>
      <c r="M365" s="2"/>
      <c r="W365" s="21" t="str">
        <f ca="1">_xll.IMDP("BND",N365,W8,N3)</f>
        <v>입력오류</v>
      </c>
      <c r="X365" s="23" t="str">
        <f ca="1">_xll.IMDP("BND",N365,X8,N3)</f>
        <v>입력오류</v>
      </c>
      <c r="Y365" s="2"/>
      <c r="AI365" s="21" t="str">
        <f ca="1">_xll.IMDP("BND",Z365,AI8,Z3)</f>
        <v>입력오류</v>
      </c>
      <c r="AJ365" s="23" t="str">
        <f ca="1">_xll.IMDP("BND",Z365,AJ8,Z3)</f>
        <v>입력오류</v>
      </c>
      <c r="AK365" s="2"/>
      <c r="AU365" s="21" t="str">
        <f ca="1">_xll.IMDP("BND",AL365,AU8,AL3)</f>
        <v>입력오류</v>
      </c>
      <c r="AV365" s="23" t="str">
        <f ca="1">_xll.IMDP("BND",AL365,AV8,AL3)</f>
        <v>입력오류</v>
      </c>
      <c r="AW365" s="2"/>
      <c r="BG365" s="21" t="str">
        <f ca="1">_xll.IMDP("BND",AX365,BG8,AX3)</f>
        <v>입력오류</v>
      </c>
      <c r="BH365" s="23" t="str">
        <f ca="1">_xll.IMDP("BND",AX365,BH8,AX3)</f>
        <v>입력오류</v>
      </c>
      <c r="BI365" s="2"/>
      <c r="BS365" s="21" t="str">
        <f ca="1">_xll.IMDP("BND",BJ365,BS8,BJ3)</f>
        <v>입력오류</v>
      </c>
      <c r="BT365" s="23" t="str">
        <f ca="1">_xll.IMDP("BND",BJ365,BT8,BJ3)</f>
        <v>입력오류</v>
      </c>
      <c r="BU365" s="2"/>
      <c r="CE365" s="21" t="str">
        <f ca="1">_xll.IMDP("BND",BV365,CE8,BV3)</f>
        <v>입력오류</v>
      </c>
      <c r="CF365" s="23" t="str">
        <f ca="1">_xll.IMDP("BND",BV365,CF8,BV3)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"/>
      <c r="DC365" s="21" t="str">
        <f ca="1">_xll.IMDP("BND",CT365,DC8,CT3)</f>
        <v>입력오류</v>
      </c>
      <c r="DD365" s="23" t="str">
        <f ca="1">_xll.IMDP("BND",CT365,DD8,CT3)</f>
        <v>입력오류</v>
      </c>
      <c r="DE365" s="2"/>
      <c r="DO365" s="21" t="str">
        <f ca="1">_xll.IMDP("BND",DF365,DO8,DF3)</f>
        <v>입력오류</v>
      </c>
      <c r="DP365" s="23" t="str">
        <f ca="1">_xll.IMDP("BND",DF365,DP8,DF3)</f>
        <v>입력오류</v>
      </c>
      <c r="DQ365" s="2"/>
      <c r="EA365" s="21" t="str">
        <f ca="1">_xll.IMDP("BND",DR365,EA8,DR3)</f>
        <v>입력오류</v>
      </c>
      <c r="EB365" s="23" t="str">
        <f ca="1">_xll.IMDP("BND",DR365,EB8,DR3)</f>
        <v>입력오류</v>
      </c>
    </row>
    <row r="366" spans="1:132" ht="13.5" customHeight="1" x14ac:dyDescent="0.3">
      <c r="A366" s="2">
        <v>46198</v>
      </c>
      <c r="B366" s="3" t="s">
        <v>2233</v>
      </c>
      <c r="C366" s="3" t="s">
        <v>56</v>
      </c>
      <c r="D366" s="3" t="s">
        <v>2234</v>
      </c>
      <c r="E366" s="3">
        <v>0</v>
      </c>
      <c r="F366" s="3">
        <v>0.01</v>
      </c>
      <c r="G366" s="3">
        <v>0</v>
      </c>
      <c r="H366" s="3">
        <v>15014</v>
      </c>
      <c r="I366" s="3">
        <v>5652.5</v>
      </c>
      <c r="J366" s="3">
        <v>22.787299999999998</v>
      </c>
      <c r="K366" s="21">
        <f ca="1">_xll.IMDP("BND",B366,K8,B3)</f>
        <v>20680910</v>
      </c>
      <c r="L366" s="23">
        <f ca="1">_xll.IMDP("BND",B366,L8,B3)</f>
        <v>4.2560000000000002</v>
      </c>
      <c r="M366" s="2"/>
      <c r="W366" s="21" t="str">
        <f ca="1">_xll.IMDP("BND",N366,W8,N3)</f>
        <v>입력오류</v>
      </c>
      <c r="X366" s="23" t="str">
        <f ca="1">_xll.IMDP("BND",N366,X8,N3)</f>
        <v>입력오류</v>
      </c>
      <c r="Y366" s="2"/>
      <c r="AI366" s="21" t="str">
        <f ca="1">_xll.IMDP("BND",Z366,AI8,Z3)</f>
        <v>입력오류</v>
      </c>
      <c r="AJ366" s="23" t="str">
        <f ca="1">_xll.IMDP("BND",Z366,AJ8,Z3)</f>
        <v>입력오류</v>
      </c>
      <c r="AK366" s="2"/>
      <c r="AU366" s="21" t="str">
        <f ca="1">_xll.IMDP("BND",AL366,AU8,AL3)</f>
        <v>입력오류</v>
      </c>
      <c r="AV366" s="23" t="str">
        <f ca="1">_xll.IMDP("BND",AL366,AV8,AL3)</f>
        <v>입력오류</v>
      </c>
      <c r="AW366" s="2"/>
      <c r="BG366" s="21" t="str">
        <f ca="1">_xll.IMDP("BND",AX366,BG8,AX3)</f>
        <v>입력오류</v>
      </c>
      <c r="BH366" s="23" t="str">
        <f ca="1">_xll.IMDP("BND",AX366,BH8,AX3)</f>
        <v>입력오류</v>
      </c>
      <c r="BI366" s="2"/>
      <c r="BS366" s="21" t="str">
        <f ca="1">_xll.IMDP("BND",BJ366,BS8,BJ3)</f>
        <v>입력오류</v>
      </c>
      <c r="BT366" s="23" t="str">
        <f ca="1">_xll.IMDP("BND",BJ366,BT8,BJ3)</f>
        <v>입력오류</v>
      </c>
      <c r="BU366" s="2"/>
      <c r="CE366" s="21" t="str">
        <f ca="1">_xll.IMDP("BND",BV366,CE8,BV3)</f>
        <v>입력오류</v>
      </c>
      <c r="CF366" s="23" t="str">
        <f ca="1">_xll.IMDP("BND",BV366,CF8,BV3)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"/>
      <c r="DC366" s="21" t="str">
        <f ca="1">_xll.IMDP("BND",CT366,DC8,CT3)</f>
        <v>입력오류</v>
      </c>
      <c r="DD366" s="23" t="str">
        <f ca="1">_xll.IMDP("BND",CT366,DD8,CT3)</f>
        <v>입력오류</v>
      </c>
      <c r="DE366" s="2"/>
      <c r="DO366" s="21" t="str">
        <f ca="1">_xll.IMDP("BND",DF366,DO8,DF3)</f>
        <v>입력오류</v>
      </c>
      <c r="DP366" s="23" t="str">
        <f ca="1">_xll.IMDP("BND",DF366,DP8,DF3)</f>
        <v>입력오류</v>
      </c>
      <c r="DQ366" s="2"/>
      <c r="EA366" s="21" t="str">
        <f ca="1">_xll.IMDP("BND",DR366,EA8,DR3)</f>
        <v>입력오류</v>
      </c>
      <c r="EB366" s="23" t="str">
        <f ca="1">_xll.IMDP("BND",DR366,EB8,DR3)</f>
        <v>입력오류</v>
      </c>
    </row>
    <row r="367" spans="1:132" ht="13.5" customHeight="1" x14ac:dyDescent="0.3">
      <c r="A367" s="2">
        <v>46198</v>
      </c>
      <c r="B367" s="3" t="s">
        <v>2235</v>
      </c>
      <c r="C367" s="3" t="s">
        <v>1825</v>
      </c>
      <c r="D367" s="3" t="s">
        <v>2236</v>
      </c>
      <c r="E367" s="3">
        <v>0</v>
      </c>
      <c r="F367" s="3">
        <v>0.01</v>
      </c>
      <c r="G367" s="3">
        <v>0</v>
      </c>
      <c r="H367" s="3">
        <v>14061</v>
      </c>
      <c r="I367" s="3">
        <v>10590.17</v>
      </c>
      <c r="J367" s="3">
        <v>3.0354000000000001</v>
      </c>
      <c r="K367" s="21">
        <f ca="1">_xll.IMDP("BND",B367,K8,B3)</f>
        <v>20291106</v>
      </c>
      <c r="L367" s="23">
        <f ca="1">_xll.IMDP("BND",B367,L8,B3)</f>
        <v>4.202</v>
      </c>
      <c r="M367" s="2"/>
      <c r="W367" s="21" t="str">
        <f ca="1">_xll.IMDP("BND",N367,W8,N3)</f>
        <v>입력오류</v>
      </c>
      <c r="X367" s="23" t="str">
        <f ca="1">_xll.IMDP("BND",N367,X8,N3)</f>
        <v>입력오류</v>
      </c>
      <c r="Y367" s="2"/>
      <c r="AI367" s="21" t="str">
        <f ca="1">_xll.IMDP("BND",Z367,AI8,Z3)</f>
        <v>입력오류</v>
      </c>
      <c r="AJ367" s="23" t="str">
        <f ca="1">_xll.IMDP("BND",Z367,AJ8,Z3)</f>
        <v>입력오류</v>
      </c>
      <c r="AK367" s="2"/>
      <c r="AU367" s="21" t="str">
        <f ca="1">_xll.IMDP("BND",AL367,AU8,AL3)</f>
        <v>입력오류</v>
      </c>
      <c r="AV367" s="23" t="str">
        <f ca="1">_xll.IMDP("BND",AL367,AV8,AL3)</f>
        <v>입력오류</v>
      </c>
      <c r="AW367" s="2"/>
      <c r="BG367" s="21" t="str">
        <f ca="1">_xll.IMDP("BND",AX367,BG8,AX3)</f>
        <v>입력오류</v>
      </c>
      <c r="BH367" s="23" t="str">
        <f ca="1">_xll.IMDP("BND",AX367,BH8,AX3)</f>
        <v>입력오류</v>
      </c>
      <c r="BI367" s="2"/>
      <c r="BS367" s="21" t="str">
        <f ca="1">_xll.IMDP("BND",BJ367,BS8,BJ3)</f>
        <v>입력오류</v>
      </c>
      <c r="BT367" s="23" t="str">
        <f ca="1">_xll.IMDP("BND",BJ367,BT8,BJ3)</f>
        <v>입력오류</v>
      </c>
      <c r="BU367" s="2"/>
      <c r="CE367" s="21" t="str">
        <f ca="1">_xll.IMDP("BND",BV367,CE8,BV3)</f>
        <v>입력오류</v>
      </c>
      <c r="CF367" s="23" t="str">
        <f ca="1">_xll.IMDP("BND",BV367,CF8,BV3)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"/>
      <c r="DC367" s="21" t="str">
        <f ca="1">_xll.IMDP("BND",CT367,DC8,CT3)</f>
        <v>입력오류</v>
      </c>
      <c r="DD367" s="23" t="str">
        <f ca="1">_xll.IMDP("BND",CT367,DD8,CT3)</f>
        <v>입력오류</v>
      </c>
      <c r="DE367" s="2"/>
      <c r="DO367" s="21" t="str">
        <f ca="1">_xll.IMDP("BND",DF367,DO8,DF3)</f>
        <v>입력오류</v>
      </c>
      <c r="DP367" s="23" t="str">
        <f ca="1">_xll.IMDP("BND",DF367,DP8,DF3)</f>
        <v>입력오류</v>
      </c>
      <c r="DQ367" s="2"/>
      <c r="EA367" s="21" t="str">
        <f ca="1">_xll.IMDP("BND",DR367,EA8,DR3)</f>
        <v>입력오류</v>
      </c>
      <c r="EB367" s="23" t="str">
        <f ca="1">_xll.IMDP("BND",DR367,EB8,DR3)</f>
        <v>입력오류</v>
      </c>
    </row>
    <row r="368" spans="1:132" ht="13.5" customHeight="1" x14ac:dyDescent="0.3">
      <c r="A368" s="2">
        <v>46198</v>
      </c>
      <c r="B368" s="3" t="s">
        <v>2237</v>
      </c>
      <c r="C368" s="3" t="s">
        <v>1600</v>
      </c>
      <c r="D368" s="3" t="s">
        <v>2238</v>
      </c>
      <c r="E368" s="3">
        <v>0</v>
      </c>
      <c r="F368" s="3">
        <v>0.01</v>
      </c>
      <c r="G368" s="3">
        <v>0</v>
      </c>
      <c r="H368" s="3">
        <v>13691</v>
      </c>
      <c r="I368" s="3">
        <v>10312.49</v>
      </c>
      <c r="J368" s="3">
        <v>1.3015000000000001</v>
      </c>
      <c r="K368" s="21">
        <f ca="1">_xll.IMDP("BND",B368,K8,B3)</f>
        <v>20271031</v>
      </c>
      <c r="L368" s="23">
        <f ca="1">_xll.IMDP("BND",B368,L8,B3)</f>
        <v>3.8490000000000002</v>
      </c>
      <c r="M368" s="2"/>
      <c r="W368" s="21" t="str">
        <f ca="1">_xll.IMDP("BND",N368,W8,N3)</f>
        <v>입력오류</v>
      </c>
      <c r="X368" s="23" t="str">
        <f ca="1">_xll.IMDP("BND",N368,X8,N3)</f>
        <v>입력오류</v>
      </c>
      <c r="Y368" s="2"/>
      <c r="AI368" s="21" t="str">
        <f ca="1">_xll.IMDP("BND",Z368,AI8,Z3)</f>
        <v>입력오류</v>
      </c>
      <c r="AJ368" s="23" t="str">
        <f ca="1">_xll.IMDP("BND",Z368,AJ8,Z3)</f>
        <v>입력오류</v>
      </c>
      <c r="AK368" s="2"/>
      <c r="AU368" s="21" t="str">
        <f ca="1">_xll.IMDP("BND",AL368,AU8,AL3)</f>
        <v>입력오류</v>
      </c>
      <c r="AV368" s="23" t="str">
        <f ca="1">_xll.IMDP("BND",AL368,AV8,AL3)</f>
        <v>입력오류</v>
      </c>
      <c r="AW368" s="2"/>
      <c r="BG368" s="21" t="str">
        <f ca="1">_xll.IMDP("BND",AX368,BG8,AX3)</f>
        <v>입력오류</v>
      </c>
      <c r="BH368" s="23" t="str">
        <f ca="1">_xll.IMDP("BND",AX368,BH8,AX3)</f>
        <v>입력오류</v>
      </c>
      <c r="BI368" s="2"/>
      <c r="BS368" s="21" t="str">
        <f ca="1">_xll.IMDP("BND",BJ368,BS8,BJ3)</f>
        <v>입력오류</v>
      </c>
      <c r="BT368" s="23" t="str">
        <f ca="1">_xll.IMDP("BND",BJ368,BT8,BJ3)</f>
        <v>입력오류</v>
      </c>
      <c r="BU368" s="2"/>
      <c r="CE368" s="21" t="str">
        <f ca="1">_xll.IMDP("BND",BV368,CE8,BV3)</f>
        <v>입력오류</v>
      </c>
      <c r="CF368" s="23" t="str">
        <f ca="1">_xll.IMDP("BND",BV368,CF8,BV3)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"/>
      <c r="DC368" s="21" t="str">
        <f ca="1">_xll.IMDP("BND",CT368,DC8,CT3)</f>
        <v>입력오류</v>
      </c>
      <c r="DD368" s="23" t="str">
        <f ca="1">_xll.IMDP("BND",CT368,DD8,CT3)</f>
        <v>입력오류</v>
      </c>
      <c r="DE368" s="2"/>
      <c r="DO368" s="21" t="str">
        <f ca="1">_xll.IMDP("BND",DF368,DO8,DF3)</f>
        <v>입력오류</v>
      </c>
      <c r="DP368" s="23" t="str">
        <f ca="1">_xll.IMDP("BND",DF368,DP8,DF3)</f>
        <v>입력오류</v>
      </c>
      <c r="DQ368" s="2"/>
      <c r="EA368" s="21" t="str">
        <f ca="1">_xll.IMDP("BND",DR368,EA8,DR3)</f>
        <v>입력오류</v>
      </c>
      <c r="EB368" s="23" t="str">
        <f ca="1">_xll.IMDP("BND",DR368,EB8,DR3)</f>
        <v>입력오류</v>
      </c>
    </row>
    <row r="369" spans="1:132" ht="13.5" customHeight="1" x14ac:dyDescent="0.3">
      <c r="A369" s="2">
        <v>46198</v>
      </c>
      <c r="B369" s="3" t="s">
        <v>2239</v>
      </c>
      <c r="C369" s="3" t="s">
        <v>2240</v>
      </c>
      <c r="D369" s="3" t="s">
        <v>2241</v>
      </c>
      <c r="E369" s="3">
        <v>0</v>
      </c>
      <c r="F369" s="3">
        <v>0.01</v>
      </c>
      <c r="G369" s="3">
        <v>0</v>
      </c>
      <c r="H369" s="3">
        <v>13394</v>
      </c>
      <c r="I369" s="3">
        <v>10089.120000000001</v>
      </c>
      <c r="J369" s="3">
        <v>1.2241</v>
      </c>
      <c r="K369" s="21">
        <f ca="1">_xll.IMDP("BND",B369,K8,B3)</f>
        <v>20270930</v>
      </c>
      <c r="L369" s="23">
        <f ca="1">_xll.IMDP("BND",B369,L8,B3)</f>
        <v>3.4740000000000002</v>
      </c>
      <c r="M369" s="2"/>
      <c r="W369" s="21" t="str">
        <f ca="1">_xll.IMDP("BND",N369,W8,N3)</f>
        <v>입력오류</v>
      </c>
      <c r="X369" s="23" t="str">
        <f ca="1">_xll.IMDP("BND",N369,X8,N3)</f>
        <v>입력오류</v>
      </c>
      <c r="Y369" s="2"/>
      <c r="AI369" s="21" t="str">
        <f ca="1">_xll.IMDP("BND",Z369,AI8,Z3)</f>
        <v>입력오류</v>
      </c>
      <c r="AJ369" s="23" t="str">
        <f ca="1">_xll.IMDP("BND",Z369,AJ8,Z3)</f>
        <v>입력오류</v>
      </c>
      <c r="AK369" s="2"/>
      <c r="AU369" s="21" t="str">
        <f ca="1">_xll.IMDP("BND",AL369,AU8,AL3)</f>
        <v>입력오류</v>
      </c>
      <c r="AV369" s="23" t="str">
        <f ca="1">_xll.IMDP("BND",AL369,AV8,AL3)</f>
        <v>입력오류</v>
      </c>
      <c r="AW369" s="2"/>
      <c r="BG369" s="21" t="str">
        <f ca="1">_xll.IMDP("BND",AX369,BG8,AX3)</f>
        <v>입력오류</v>
      </c>
      <c r="BH369" s="23" t="str">
        <f ca="1">_xll.IMDP("BND",AX369,BH8,AX3)</f>
        <v>입력오류</v>
      </c>
      <c r="BI369" s="2"/>
      <c r="BS369" s="21" t="str">
        <f ca="1">_xll.IMDP("BND",BJ369,BS8,BJ3)</f>
        <v>입력오류</v>
      </c>
      <c r="BT369" s="23" t="str">
        <f ca="1">_xll.IMDP("BND",BJ369,BT8,BJ3)</f>
        <v>입력오류</v>
      </c>
      <c r="BU369" s="2"/>
      <c r="CE369" s="21" t="str">
        <f ca="1">_xll.IMDP("BND",BV369,CE8,BV3)</f>
        <v>입력오류</v>
      </c>
      <c r="CF369" s="23" t="str">
        <f ca="1">_xll.IMDP("BND",BV369,CF8,BV3)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"/>
      <c r="DC369" s="21" t="str">
        <f ca="1">_xll.IMDP("BND",CT369,DC8,CT3)</f>
        <v>입력오류</v>
      </c>
      <c r="DD369" s="23" t="str">
        <f ca="1">_xll.IMDP("BND",CT369,DD8,CT3)</f>
        <v>입력오류</v>
      </c>
      <c r="DE369" s="2"/>
      <c r="DO369" s="21" t="str">
        <f ca="1">_xll.IMDP("BND",DF369,DO8,DF3)</f>
        <v>입력오류</v>
      </c>
      <c r="DP369" s="23" t="str">
        <f ca="1">_xll.IMDP("BND",DF369,DP8,DF3)</f>
        <v>입력오류</v>
      </c>
      <c r="DQ369" s="2"/>
      <c r="EA369" s="21" t="str">
        <f ca="1">_xll.IMDP("BND",DR369,EA8,DR3)</f>
        <v>입력오류</v>
      </c>
      <c r="EB369" s="23" t="str">
        <f ca="1">_xll.IMDP("BND",DR369,EB8,DR3)</f>
        <v>입력오류</v>
      </c>
    </row>
    <row r="370" spans="1:132" ht="13.5" customHeight="1" x14ac:dyDescent="0.3">
      <c r="A370" s="2">
        <v>46198</v>
      </c>
      <c r="B370" s="3" t="s">
        <v>2242</v>
      </c>
      <c r="C370" s="3" t="s">
        <v>2243</v>
      </c>
      <c r="D370" s="3" t="s">
        <v>2244</v>
      </c>
      <c r="E370" s="3">
        <v>0</v>
      </c>
      <c r="F370" s="3">
        <v>0.01</v>
      </c>
      <c r="G370" s="3">
        <v>0</v>
      </c>
      <c r="H370" s="3">
        <v>13258</v>
      </c>
      <c r="I370" s="3">
        <v>10950.47</v>
      </c>
      <c r="J370" s="3">
        <v>0.50249999999999995</v>
      </c>
      <c r="K370" s="21">
        <f ca="1">_xll.IMDP("BND",B370,K8,B3)</f>
        <v>20261231</v>
      </c>
      <c r="L370" s="23">
        <f ca="1">_xll.IMDP("BND",B370,L8,B3)</f>
        <v>3.2189999999999999</v>
      </c>
      <c r="M370" s="2"/>
      <c r="W370" s="21" t="str">
        <f ca="1">_xll.IMDP("BND",N370,W8,N3)</f>
        <v>입력오류</v>
      </c>
      <c r="X370" s="23" t="str">
        <f ca="1">_xll.IMDP("BND",N370,X8,N3)</f>
        <v>입력오류</v>
      </c>
      <c r="Y370" s="2"/>
      <c r="AI370" s="21" t="str">
        <f ca="1">_xll.IMDP("BND",Z370,AI8,Z3)</f>
        <v>입력오류</v>
      </c>
      <c r="AJ370" s="23" t="str">
        <f ca="1">_xll.IMDP("BND",Z370,AJ8,Z3)</f>
        <v>입력오류</v>
      </c>
      <c r="AK370" s="2"/>
      <c r="AU370" s="21" t="str">
        <f ca="1">_xll.IMDP("BND",AL370,AU8,AL3)</f>
        <v>입력오류</v>
      </c>
      <c r="AV370" s="23" t="str">
        <f ca="1">_xll.IMDP("BND",AL370,AV8,AL3)</f>
        <v>입력오류</v>
      </c>
      <c r="AW370" s="2"/>
      <c r="BG370" s="21" t="str">
        <f ca="1">_xll.IMDP("BND",AX370,BG8,AX3)</f>
        <v>입력오류</v>
      </c>
      <c r="BH370" s="23" t="str">
        <f ca="1">_xll.IMDP("BND",AX370,BH8,AX3)</f>
        <v>입력오류</v>
      </c>
      <c r="BI370" s="2"/>
      <c r="BS370" s="21" t="str">
        <f ca="1">_xll.IMDP("BND",BJ370,BS8,BJ3)</f>
        <v>입력오류</v>
      </c>
      <c r="BT370" s="23" t="str">
        <f ca="1">_xll.IMDP("BND",BJ370,BT8,BJ3)</f>
        <v>입력오류</v>
      </c>
      <c r="BU370" s="2"/>
      <c r="CE370" s="21" t="str">
        <f ca="1">_xll.IMDP("BND",BV370,CE8,BV3)</f>
        <v>입력오류</v>
      </c>
      <c r="CF370" s="23" t="str">
        <f ca="1">_xll.IMDP("BND",BV370,CF8,BV3)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"/>
      <c r="DC370" s="21" t="str">
        <f ca="1">_xll.IMDP("BND",CT370,DC8,CT3)</f>
        <v>입력오류</v>
      </c>
      <c r="DD370" s="23" t="str">
        <f ca="1">_xll.IMDP("BND",CT370,DD8,CT3)</f>
        <v>입력오류</v>
      </c>
      <c r="DE370" s="2"/>
      <c r="DO370" s="21" t="str">
        <f ca="1">_xll.IMDP("BND",DF370,DO8,DF3)</f>
        <v>입력오류</v>
      </c>
      <c r="DP370" s="23" t="str">
        <f ca="1">_xll.IMDP("BND",DF370,DP8,DF3)</f>
        <v>입력오류</v>
      </c>
      <c r="DQ370" s="2"/>
      <c r="EA370" s="21" t="str">
        <f ca="1">_xll.IMDP("BND",DR370,EA8,DR3)</f>
        <v>입력오류</v>
      </c>
      <c r="EB370" s="23" t="str">
        <f ca="1">_xll.IMDP("BND",DR370,EB8,DR3)</f>
        <v>입력오류</v>
      </c>
    </row>
    <row r="371" spans="1:132" ht="13.5" customHeight="1" x14ac:dyDescent="0.3">
      <c r="A371" s="2">
        <v>46198</v>
      </c>
      <c r="B371" s="3" t="s">
        <v>1602</v>
      </c>
      <c r="C371" s="3" t="s">
        <v>1603</v>
      </c>
      <c r="D371" s="3" t="s">
        <v>1604</v>
      </c>
      <c r="E371" s="3">
        <v>0</v>
      </c>
      <c r="F371" s="3">
        <v>0.01</v>
      </c>
      <c r="G371" s="3">
        <v>0</v>
      </c>
      <c r="H371" s="3">
        <v>13235</v>
      </c>
      <c r="I371" s="3">
        <v>9969.4500000000007</v>
      </c>
      <c r="J371" s="3">
        <v>0.24160000000000001</v>
      </c>
      <c r="K371" s="21">
        <f ca="1">_xll.IMDP("BND",B371,K8,B3)</f>
        <v>20260922</v>
      </c>
      <c r="L371" s="23">
        <f ca="1">_xll.IMDP("BND",B371,L8,B3)</f>
        <v>2.9670000000000001</v>
      </c>
      <c r="M371" s="2"/>
      <c r="W371" s="21" t="str">
        <f ca="1">_xll.IMDP("BND",N371,W8,N3)</f>
        <v>입력오류</v>
      </c>
      <c r="X371" s="23" t="str">
        <f ca="1">_xll.IMDP("BND",N371,X8,N3)</f>
        <v>입력오류</v>
      </c>
      <c r="Y371" s="2"/>
      <c r="AI371" s="21" t="str">
        <f ca="1">_xll.IMDP("BND",Z371,AI8,Z3)</f>
        <v>입력오류</v>
      </c>
      <c r="AJ371" s="23" t="str">
        <f ca="1">_xll.IMDP("BND",Z371,AJ8,Z3)</f>
        <v>입력오류</v>
      </c>
      <c r="AK371" s="2"/>
      <c r="AU371" s="21" t="str">
        <f ca="1">_xll.IMDP("BND",AL371,AU8,AL3)</f>
        <v>입력오류</v>
      </c>
      <c r="AV371" s="23" t="str">
        <f ca="1">_xll.IMDP("BND",AL371,AV8,AL3)</f>
        <v>입력오류</v>
      </c>
      <c r="AW371" s="2"/>
      <c r="BG371" s="21" t="str">
        <f ca="1">_xll.IMDP("BND",AX371,BG8,AX3)</f>
        <v>입력오류</v>
      </c>
      <c r="BH371" s="23" t="str">
        <f ca="1">_xll.IMDP("BND",AX371,BH8,AX3)</f>
        <v>입력오류</v>
      </c>
      <c r="BI371" s="2"/>
      <c r="BS371" s="21" t="str">
        <f ca="1">_xll.IMDP("BND",BJ371,BS8,BJ3)</f>
        <v>입력오류</v>
      </c>
      <c r="BT371" s="23" t="str">
        <f ca="1">_xll.IMDP("BND",BJ371,BT8,BJ3)</f>
        <v>입력오류</v>
      </c>
      <c r="BU371" s="2"/>
      <c r="CE371" s="21" t="str">
        <f ca="1">_xll.IMDP("BND",BV371,CE8,BV3)</f>
        <v>입력오류</v>
      </c>
      <c r="CF371" s="23" t="str">
        <f ca="1">_xll.IMDP("BND",BV371,CF8,BV3)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"/>
      <c r="DC371" s="21" t="str">
        <f ca="1">_xll.IMDP("BND",CT371,DC8,CT3)</f>
        <v>입력오류</v>
      </c>
      <c r="DD371" s="23" t="str">
        <f ca="1">_xll.IMDP("BND",CT371,DD8,CT3)</f>
        <v>입력오류</v>
      </c>
      <c r="DE371" s="2"/>
      <c r="DO371" s="21" t="str">
        <f ca="1">_xll.IMDP("BND",DF371,DO8,DF3)</f>
        <v>입력오류</v>
      </c>
      <c r="DP371" s="23" t="str">
        <f ca="1">_xll.IMDP("BND",DF371,DP8,DF3)</f>
        <v>입력오류</v>
      </c>
      <c r="DQ371" s="2"/>
      <c r="EA371" s="21" t="str">
        <f ca="1">_xll.IMDP("BND",DR371,EA8,DR3)</f>
        <v>입력오류</v>
      </c>
      <c r="EB371" s="23" t="str">
        <f ca="1">_xll.IMDP("BND",DR371,EB8,DR3)</f>
        <v>입력오류</v>
      </c>
    </row>
    <row r="372" spans="1:132" ht="13.5" customHeight="1" x14ac:dyDescent="0.3">
      <c r="A372" s="2">
        <v>46198</v>
      </c>
      <c r="B372" s="3" t="s">
        <v>1691</v>
      </c>
      <c r="C372" s="3" t="s">
        <v>1692</v>
      </c>
      <c r="D372" s="3" t="s">
        <v>1693</v>
      </c>
      <c r="E372" s="3">
        <v>0</v>
      </c>
      <c r="F372" s="3">
        <v>0.01</v>
      </c>
      <c r="G372" s="3">
        <v>0</v>
      </c>
      <c r="H372" s="3">
        <v>12805</v>
      </c>
      <c r="I372" s="3">
        <v>9552.74</v>
      </c>
      <c r="J372" s="3">
        <v>5.4953000000000003</v>
      </c>
      <c r="K372" s="21">
        <f ca="1">_xll.IMDP("BND",B372,K8,B3)</f>
        <v>20320824</v>
      </c>
      <c r="L372" s="23">
        <f ca="1">_xll.IMDP("BND",B372,L8,B3)</f>
        <v>4.2839999999999998</v>
      </c>
      <c r="M372" s="2"/>
      <c r="W372" s="21" t="str">
        <f ca="1">_xll.IMDP("BND",N372,W8,N3)</f>
        <v>입력오류</v>
      </c>
      <c r="X372" s="23" t="str">
        <f ca="1">_xll.IMDP("BND",N372,X8,N3)</f>
        <v>입력오류</v>
      </c>
      <c r="Y372" s="2"/>
      <c r="AI372" s="21" t="str">
        <f ca="1">_xll.IMDP("BND",Z372,AI8,Z3)</f>
        <v>입력오류</v>
      </c>
      <c r="AJ372" s="23" t="str">
        <f ca="1">_xll.IMDP("BND",Z372,AJ8,Z3)</f>
        <v>입력오류</v>
      </c>
      <c r="AK372" s="2"/>
      <c r="AU372" s="21" t="str">
        <f ca="1">_xll.IMDP("BND",AL372,AU8,AL3)</f>
        <v>입력오류</v>
      </c>
      <c r="AV372" s="23" t="str">
        <f ca="1">_xll.IMDP("BND",AL372,AV8,AL3)</f>
        <v>입력오류</v>
      </c>
      <c r="AW372" s="2"/>
      <c r="BG372" s="21" t="str">
        <f ca="1">_xll.IMDP("BND",AX372,BG8,AX3)</f>
        <v>입력오류</v>
      </c>
      <c r="BH372" s="23" t="str">
        <f ca="1">_xll.IMDP("BND",AX372,BH8,AX3)</f>
        <v>입력오류</v>
      </c>
      <c r="BI372" s="2"/>
      <c r="BS372" s="21" t="str">
        <f ca="1">_xll.IMDP("BND",BJ372,BS8,BJ3)</f>
        <v>입력오류</v>
      </c>
      <c r="BT372" s="23" t="str">
        <f ca="1">_xll.IMDP("BND",BJ372,BT8,BJ3)</f>
        <v>입력오류</v>
      </c>
      <c r="BU372" s="2"/>
      <c r="CE372" s="21" t="str">
        <f ca="1">_xll.IMDP("BND",BV372,CE8,BV3)</f>
        <v>입력오류</v>
      </c>
      <c r="CF372" s="23" t="str">
        <f ca="1">_xll.IMDP("BND",BV372,CF8,BV3)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"/>
      <c r="DC372" s="21" t="str">
        <f ca="1">_xll.IMDP("BND",CT372,DC8,CT3)</f>
        <v>입력오류</v>
      </c>
      <c r="DD372" s="23" t="str">
        <f ca="1">_xll.IMDP("BND",CT372,DD8,CT3)</f>
        <v>입력오류</v>
      </c>
      <c r="DE372" s="2"/>
      <c r="DO372" s="21" t="str">
        <f ca="1">_xll.IMDP("BND",DF372,DO8,DF3)</f>
        <v>입력오류</v>
      </c>
      <c r="DP372" s="23" t="str">
        <f ca="1">_xll.IMDP("BND",DF372,DP8,DF3)</f>
        <v>입력오류</v>
      </c>
      <c r="DQ372" s="2"/>
      <c r="EA372" s="21" t="str">
        <f ca="1">_xll.IMDP("BND",DR372,EA8,DR3)</f>
        <v>입력오류</v>
      </c>
      <c r="EB372" s="23" t="str">
        <f ca="1">_xll.IMDP("BND",DR372,EB8,DR3)</f>
        <v>입력오류</v>
      </c>
    </row>
    <row r="373" spans="1:132" ht="13.5" customHeight="1" x14ac:dyDescent="0.3">
      <c r="A373" s="2">
        <v>46198</v>
      </c>
      <c r="B373" s="3" t="s">
        <v>2245</v>
      </c>
      <c r="C373" s="3" t="s">
        <v>29</v>
      </c>
      <c r="D373" s="3" t="s">
        <v>2246</v>
      </c>
      <c r="E373" s="3">
        <v>0</v>
      </c>
      <c r="F373" s="3">
        <v>0.01</v>
      </c>
      <c r="G373" s="3">
        <v>0</v>
      </c>
      <c r="H373" s="3">
        <v>11345</v>
      </c>
      <c r="I373" s="3">
        <v>8901.2000000000007</v>
      </c>
      <c r="J373" s="3">
        <v>7.9305000000000003</v>
      </c>
      <c r="K373" s="21">
        <f ca="1">_xll.IMDP("BND",B373,K8,B3)</f>
        <v>20350910</v>
      </c>
      <c r="L373" s="23">
        <f ca="1">_xll.IMDP("BND",B373,L8,B3)</f>
        <v>4.1740000000000004</v>
      </c>
      <c r="M373" s="2"/>
      <c r="W373" s="21" t="str">
        <f ca="1">_xll.IMDP("BND",N373,W8,N3)</f>
        <v>입력오류</v>
      </c>
      <c r="X373" s="23" t="str">
        <f ca="1">_xll.IMDP("BND",N373,X8,N3)</f>
        <v>입력오류</v>
      </c>
      <c r="Y373" s="2"/>
      <c r="AI373" s="21" t="str">
        <f ca="1">_xll.IMDP("BND",Z373,AI8,Z3)</f>
        <v>입력오류</v>
      </c>
      <c r="AJ373" s="23" t="str">
        <f ca="1">_xll.IMDP("BND",Z373,AJ8,Z3)</f>
        <v>입력오류</v>
      </c>
      <c r="AK373" s="2"/>
      <c r="AU373" s="21" t="str">
        <f ca="1">_xll.IMDP("BND",AL373,AU8,AL3)</f>
        <v>입력오류</v>
      </c>
      <c r="AV373" s="23" t="str">
        <f ca="1">_xll.IMDP("BND",AL373,AV8,AL3)</f>
        <v>입력오류</v>
      </c>
      <c r="AW373" s="2"/>
      <c r="BG373" s="21" t="str">
        <f ca="1">_xll.IMDP("BND",AX373,BG8,AX3)</f>
        <v>입력오류</v>
      </c>
      <c r="BH373" s="23" t="str">
        <f ca="1">_xll.IMDP("BND",AX373,BH8,AX3)</f>
        <v>입력오류</v>
      </c>
      <c r="BI373" s="2"/>
      <c r="BS373" s="21" t="str">
        <f ca="1">_xll.IMDP("BND",BJ373,BS8,BJ3)</f>
        <v>입력오류</v>
      </c>
      <c r="BT373" s="23" t="str">
        <f ca="1">_xll.IMDP("BND",BJ373,BT8,BJ3)</f>
        <v>입력오류</v>
      </c>
      <c r="BU373" s="2"/>
      <c r="CE373" s="21" t="str">
        <f ca="1">_xll.IMDP("BND",BV373,CE8,BV3)</f>
        <v>입력오류</v>
      </c>
      <c r="CF373" s="23" t="str">
        <f ca="1">_xll.IMDP("BND",BV373,CF8,BV3)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"/>
      <c r="DC373" s="21" t="str">
        <f ca="1">_xll.IMDP("BND",CT373,DC8,CT3)</f>
        <v>입력오류</v>
      </c>
      <c r="DD373" s="23" t="str">
        <f ca="1">_xll.IMDP("BND",CT373,DD8,CT3)</f>
        <v>입력오류</v>
      </c>
      <c r="DE373" s="2"/>
      <c r="DO373" s="21" t="str">
        <f ca="1">_xll.IMDP("BND",DF373,DO8,DF3)</f>
        <v>입력오류</v>
      </c>
      <c r="DP373" s="23" t="str">
        <f ca="1">_xll.IMDP("BND",DF373,DP8,DF3)</f>
        <v>입력오류</v>
      </c>
      <c r="DQ373" s="2"/>
      <c r="EA373" s="21" t="str">
        <f ca="1">_xll.IMDP("BND",DR373,EA8,DR3)</f>
        <v>입력오류</v>
      </c>
      <c r="EB373" s="23" t="str">
        <f ca="1">_xll.IMDP("BND",DR373,EB8,DR3)</f>
        <v>입력오류</v>
      </c>
    </row>
    <row r="374" spans="1:132" ht="13.5" customHeight="1" x14ac:dyDescent="0.3">
      <c r="A374" s="2">
        <v>46198</v>
      </c>
      <c r="B374" s="3" t="s">
        <v>2247</v>
      </c>
      <c r="C374" s="3" t="s">
        <v>2248</v>
      </c>
      <c r="D374" s="3" t="s">
        <v>2249</v>
      </c>
      <c r="E374" s="3">
        <v>0</v>
      </c>
      <c r="F374" s="3">
        <v>0.01</v>
      </c>
      <c r="G374" s="3">
        <v>0</v>
      </c>
      <c r="H374" s="3">
        <v>11100</v>
      </c>
      <c r="I374" s="3">
        <v>10451.450000000001</v>
      </c>
      <c r="J374" s="3">
        <v>0.74119999999999997</v>
      </c>
      <c r="K374" s="21">
        <f ca="1">_xll.IMDP("BND",B374,K8,B3)</f>
        <v>20270331</v>
      </c>
      <c r="L374" s="23">
        <f ca="1">_xll.IMDP("BND",B374,L8,B3)</f>
        <v>3.2360000000000002</v>
      </c>
      <c r="M374" s="2"/>
      <c r="W374" s="21" t="str">
        <f ca="1">_xll.IMDP("BND",N374,W8,N3)</f>
        <v>입력오류</v>
      </c>
      <c r="X374" s="23" t="str">
        <f ca="1">_xll.IMDP("BND",N374,X8,N3)</f>
        <v>입력오류</v>
      </c>
      <c r="Y374" s="2"/>
      <c r="AI374" s="21" t="str">
        <f ca="1">_xll.IMDP("BND",Z374,AI8,Z3)</f>
        <v>입력오류</v>
      </c>
      <c r="AJ374" s="23" t="str">
        <f ca="1">_xll.IMDP("BND",Z374,AJ8,Z3)</f>
        <v>입력오류</v>
      </c>
      <c r="AK374" s="2"/>
      <c r="AU374" s="21" t="str">
        <f ca="1">_xll.IMDP("BND",AL374,AU8,AL3)</f>
        <v>입력오류</v>
      </c>
      <c r="AV374" s="23" t="str">
        <f ca="1">_xll.IMDP("BND",AL374,AV8,AL3)</f>
        <v>입력오류</v>
      </c>
      <c r="AW374" s="2"/>
      <c r="BG374" s="21" t="str">
        <f ca="1">_xll.IMDP("BND",AX374,BG8,AX3)</f>
        <v>입력오류</v>
      </c>
      <c r="BH374" s="23" t="str">
        <f ca="1">_xll.IMDP("BND",AX374,BH8,AX3)</f>
        <v>입력오류</v>
      </c>
      <c r="BI374" s="2"/>
      <c r="BS374" s="21" t="str">
        <f ca="1">_xll.IMDP("BND",BJ374,BS8,BJ3)</f>
        <v>입력오류</v>
      </c>
      <c r="BT374" s="23" t="str">
        <f ca="1">_xll.IMDP("BND",BJ374,BT8,BJ3)</f>
        <v>입력오류</v>
      </c>
      <c r="BU374" s="2"/>
      <c r="CE374" s="21" t="str">
        <f ca="1">_xll.IMDP("BND",BV374,CE8,BV3)</f>
        <v>입력오류</v>
      </c>
      <c r="CF374" s="23" t="str">
        <f ca="1">_xll.IMDP("BND",BV374,CF8,BV3)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"/>
      <c r="DC374" s="21" t="str">
        <f ca="1">_xll.IMDP("BND",CT374,DC8,CT3)</f>
        <v>입력오류</v>
      </c>
      <c r="DD374" s="23" t="str">
        <f ca="1">_xll.IMDP("BND",CT374,DD8,CT3)</f>
        <v>입력오류</v>
      </c>
      <c r="DE374" s="2"/>
      <c r="DO374" s="21" t="str">
        <f ca="1">_xll.IMDP("BND",DF374,DO8,DF3)</f>
        <v>입력오류</v>
      </c>
      <c r="DP374" s="23" t="str">
        <f ca="1">_xll.IMDP("BND",DF374,DP8,DF3)</f>
        <v>입력오류</v>
      </c>
      <c r="DQ374" s="2"/>
      <c r="EA374" s="21" t="str">
        <f ca="1">_xll.IMDP("BND",DR374,EA8,DR3)</f>
        <v>입력오류</v>
      </c>
      <c r="EB374" s="23" t="str">
        <f ca="1">_xll.IMDP("BND",DR374,EB8,DR3)</f>
        <v>입력오류</v>
      </c>
    </row>
    <row r="375" spans="1:132" ht="13.5" customHeight="1" x14ac:dyDescent="0.3">
      <c r="A375" s="2">
        <v>46198</v>
      </c>
      <c r="B375" s="3" t="s">
        <v>2250</v>
      </c>
      <c r="C375" s="3" t="s">
        <v>2251</v>
      </c>
      <c r="D375" s="3" t="s">
        <v>2252</v>
      </c>
      <c r="E375" s="3">
        <v>0</v>
      </c>
      <c r="F375" s="3">
        <v>0.01</v>
      </c>
      <c r="G375" s="3">
        <v>0</v>
      </c>
      <c r="H375" s="3">
        <v>10579</v>
      </c>
      <c r="I375" s="3">
        <v>9960.34</v>
      </c>
      <c r="J375" s="3">
        <v>2.4493</v>
      </c>
      <c r="K375" s="21">
        <f ca="1">_xll.IMDP("BND",B375,K8,B3)</f>
        <v>20290131</v>
      </c>
      <c r="L375" s="23">
        <f ca="1">_xll.IMDP("BND",B375,L8,B3)</f>
        <v>4.181</v>
      </c>
      <c r="M375" s="2"/>
      <c r="W375" s="21" t="str">
        <f ca="1">_xll.IMDP("BND",N375,W8,N3)</f>
        <v>입력오류</v>
      </c>
      <c r="X375" s="23" t="str">
        <f ca="1">_xll.IMDP("BND",N375,X8,N3)</f>
        <v>입력오류</v>
      </c>
      <c r="Y375" s="2"/>
      <c r="AI375" s="21" t="str">
        <f ca="1">_xll.IMDP("BND",Z375,AI8,Z3)</f>
        <v>입력오류</v>
      </c>
      <c r="AJ375" s="23" t="str">
        <f ca="1">_xll.IMDP("BND",Z375,AJ8,Z3)</f>
        <v>입력오류</v>
      </c>
      <c r="AK375" s="2"/>
      <c r="AU375" s="21" t="str">
        <f ca="1">_xll.IMDP("BND",AL375,AU8,AL3)</f>
        <v>입력오류</v>
      </c>
      <c r="AV375" s="23" t="str">
        <f ca="1">_xll.IMDP("BND",AL375,AV8,AL3)</f>
        <v>입력오류</v>
      </c>
      <c r="AW375" s="2"/>
      <c r="BG375" s="21" t="str">
        <f ca="1">_xll.IMDP("BND",AX375,BG8,AX3)</f>
        <v>입력오류</v>
      </c>
      <c r="BH375" s="23" t="str">
        <f ca="1">_xll.IMDP("BND",AX375,BH8,AX3)</f>
        <v>입력오류</v>
      </c>
      <c r="BI375" s="2"/>
      <c r="BS375" s="21" t="str">
        <f ca="1">_xll.IMDP("BND",BJ375,BS8,BJ3)</f>
        <v>입력오류</v>
      </c>
      <c r="BT375" s="23" t="str">
        <f ca="1">_xll.IMDP("BND",BJ375,BT8,BJ3)</f>
        <v>입력오류</v>
      </c>
      <c r="BU375" s="2"/>
      <c r="CE375" s="21" t="str">
        <f ca="1">_xll.IMDP("BND",BV375,CE8,BV3)</f>
        <v>입력오류</v>
      </c>
      <c r="CF375" s="23" t="str">
        <f ca="1">_xll.IMDP("BND",BV375,CF8,BV3)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"/>
      <c r="DC375" s="21" t="str">
        <f ca="1">_xll.IMDP("BND",CT375,DC8,CT3)</f>
        <v>입력오류</v>
      </c>
      <c r="DD375" s="23" t="str">
        <f ca="1">_xll.IMDP("BND",CT375,DD8,CT3)</f>
        <v>입력오류</v>
      </c>
      <c r="DE375" s="2"/>
      <c r="DO375" s="21" t="str">
        <f ca="1">_xll.IMDP("BND",DF375,DO8,DF3)</f>
        <v>입력오류</v>
      </c>
      <c r="DP375" s="23" t="str">
        <f ca="1">_xll.IMDP("BND",DF375,DP8,DF3)</f>
        <v>입력오류</v>
      </c>
      <c r="DQ375" s="2"/>
      <c r="EA375" s="21" t="str">
        <f ca="1">_xll.IMDP("BND",DR375,EA8,DR3)</f>
        <v>입력오류</v>
      </c>
      <c r="EB375" s="23" t="str">
        <f ca="1">_xll.IMDP("BND",DR375,EB8,DR3)</f>
        <v>입력오류</v>
      </c>
    </row>
    <row r="376" spans="1:132" ht="13.5" customHeight="1" x14ac:dyDescent="0.3">
      <c r="A376" s="2">
        <v>46198</v>
      </c>
      <c r="B376" s="3" t="s">
        <v>2253</v>
      </c>
      <c r="C376" s="3" t="s">
        <v>151</v>
      </c>
      <c r="D376" s="3" t="s">
        <v>2254</v>
      </c>
      <c r="E376" s="3">
        <v>0</v>
      </c>
      <c r="F376" s="3">
        <v>0.01</v>
      </c>
      <c r="G376" s="3">
        <v>0</v>
      </c>
      <c r="H376" s="3">
        <v>10389</v>
      </c>
      <c r="I376" s="3">
        <v>9783.4</v>
      </c>
      <c r="J376" s="3">
        <v>2.4253999999999998</v>
      </c>
      <c r="K376" s="21">
        <f ca="1">_xll.IMDP("BND",B376,K8,B3)</f>
        <v>20290115</v>
      </c>
      <c r="L376" s="23">
        <f ca="1">_xll.IMDP("BND",B376,L8,B3)</f>
        <v>4.29</v>
      </c>
      <c r="M376" s="2"/>
      <c r="W376" s="21" t="str">
        <f ca="1">_xll.IMDP("BND",N376,W8,N3)</f>
        <v>입력오류</v>
      </c>
      <c r="X376" s="23" t="str">
        <f ca="1">_xll.IMDP("BND",N376,X8,N3)</f>
        <v>입력오류</v>
      </c>
      <c r="Y376" s="2"/>
      <c r="AI376" s="21" t="str">
        <f ca="1">_xll.IMDP("BND",Z376,AI8,Z3)</f>
        <v>입력오류</v>
      </c>
      <c r="AJ376" s="23" t="str">
        <f ca="1">_xll.IMDP("BND",Z376,AJ8,Z3)</f>
        <v>입력오류</v>
      </c>
      <c r="AK376" s="2"/>
      <c r="AU376" s="21" t="str">
        <f ca="1">_xll.IMDP("BND",AL376,AU8,AL3)</f>
        <v>입력오류</v>
      </c>
      <c r="AV376" s="23" t="str">
        <f ca="1">_xll.IMDP("BND",AL376,AV8,AL3)</f>
        <v>입력오류</v>
      </c>
      <c r="AW376" s="2"/>
      <c r="BG376" s="21" t="str">
        <f ca="1">_xll.IMDP("BND",AX376,BG8,AX3)</f>
        <v>입력오류</v>
      </c>
      <c r="BH376" s="23" t="str">
        <f ca="1">_xll.IMDP("BND",AX376,BH8,AX3)</f>
        <v>입력오류</v>
      </c>
      <c r="BI376" s="2"/>
      <c r="BS376" s="21" t="str">
        <f ca="1">_xll.IMDP("BND",BJ376,BS8,BJ3)</f>
        <v>입력오류</v>
      </c>
      <c r="BT376" s="23" t="str">
        <f ca="1">_xll.IMDP("BND",BJ376,BT8,BJ3)</f>
        <v>입력오류</v>
      </c>
      <c r="BU376" s="2"/>
      <c r="CE376" s="21" t="str">
        <f ca="1">_xll.IMDP("BND",BV376,CE8,BV3)</f>
        <v>입력오류</v>
      </c>
      <c r="CF376" s="23" t="str">
        <f ca="1">_xll.IMDP("BND",BV376,CF8,BV3)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"/>
      <c r="DC376" s="21" t="str">
        <f ca="1">_xll.IMDP("BND",CT376,DC8,CT3)</f>
        <v>입력오류</v>
      </c>
      <c r="DD376" s="23" t="str">
        <f ca="1">_xll.IMDP("BND",CT376,DD8,CT3)</f>
        <v>입력오류</v>
      </c>
      <c r="DE376" s="2"/>
      <c r="DO376" s="21" t="str">
        <f ca="1">_xll.IMDP("BND",DF376,DO8,DF3)</f>
        <v>입력오류</v>
      </c>
      <c r="DP376" s="23" t="str">
        <f ca="1">_xll.IMDP("BND",DF376,DP8,DF3)</f>
        <v>입력오류</v>
      </c>
      <c r="DQ376" s="2"/>
      <c r="EA376" s="21" t="str">
        <f ca="1">_xll.IMDP("BND",DR376,EA8,DR3)</f>
        <v>입력오류</v>
      </c>
      <c r="EB376" s="23" t="str">
        <f ca="1">_xll.IMDP("BND",DR376,EB8,DR3)</f>
        <v>입력오류</v>
      </c>
    </row>
    <row r="377" spans="1:132" ht="13.5" customHeight="1" x14ac:dyDescent="0.3">
      <c r="A377" s="2">
        <v>46198</v>
      </c>
      <c r="B377" s="3" t="s">
        <v>2255</v>
      </c>
      <c r="C377" s="3" t="s">
        <v>56</v>
      </c>
      <c r="D377" s="3" t="s">
        <v>2256</v>
      </c>
      <c r="E377" s="3">
        <v>0</v>
      </c>
      <c r="F377" s="3">
        <v>0.01</v>
      </c>
      <c r="G377" s="3">
        <v>0</v>
      </c>
      <c r="H377" s="3">
        <v>9556</v>
      </c>
      <c r="I377" s="3">
        <v>11995.38</v>
      </c>
      <c r="J377" s="3">
        <v>3.8643000000000001</v>
      </c>
      <c r="K377" s="21">
        <f ca="1">_xll.IMDP("BND",B377,K8,B3)</f>
        <v>20300610</v>
      </c>
      <c r="L377" s="23">
        <f ca="1">_xll.IMDP("BND",B377,L8,B3)</f>
        <v>0.99399999999999999</v>
      </c>
      <c r="M377" s="2"/>
      <c r="W377" s="21" t="str">
        <f ca="1">_xll.IMDP("BND",N377,W8,N3)</f>
        <v>입력오류</v>
      </c>
      <c r="X377" s="23" t="str">
        <f ca="1">_xll.IMDP("BND",N377,X8,N3)</f>
        <v>입력오류</v>
      </c>
      <c r="Y377" s="2"/>
      <c r="AI377" s="21" t="str">
        <f ca="1">_xll.IMDP("BND",Z377,AI8,Z3)</f>
        <v>입력오류</v>
      </c>
      <c r="AJ377" s="23" t="str">
        <f ca="1">_xll.IMDP("BND",Z377,AJ8,Z3)</f>
        <v>입력오류</v>
      </c>
      <c r="AK377" s="2"/>
      <c r="AU377" s="21" t="str">
        <f ca="1">_xll.IMDP("BND",AL377,AU8,AL3)</f>
        <v>입력오류</v>
      </c>
      <c r="AV377" s="23" t="str">
        <f ca="1">_xll.IMDP("BND",AL377,AV8,AL3)</f>
        <v>입력오류</v>
      </c>
      <c r="AW377" s="2"/>
      <c r="BG377" s="21" t="str">
        <f ca="1">_xll.IMDP("BND",AX377,BG8,AX3)</f>
        <v>입력오류</v>
      </c>
      <c r="BH377" s="23" t="str">
        <f ca="1">_xll.IMDP("BND",AX377,BH8,AX3)</f>
        <v>입력오류</v>
      </c>
      <c r="BI377" s="2"/>
      <c r="BS377" s="21" t="str">
        <f ca="1">_xll.IMDP("BND",BJ377,BS8,BJ3)</f>
        <v>입력오류</v>
      </c>
      <c r="BT377" s="23" t="str">
        <f ca="1">_xll.IMDP("BND",BJ377,BT8,BJ3)</f>
        <v>입력오류</v>
      </c>
      <c r="BU377" s="2"/>
      <c r="CE377" s="21" t="str">
        <f ca="1">_xll.IMDP("BND",BV377,CE8,BV3)</f>
        <v>입력오류</v>
      </c>
      <c r="CF377" s="23" t="str">
        <f ca="1">_xll.IMDP("BND",BV377,CF8,BV3)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"/>
      <c r="DC377" s="21" t="str">
        <f ca="1">_xll.IMDP("BND",CT377,DC8,CT3)</f>
        <v>입력오류</v>
      </c>
      <c r="DD377" s="23" t="str">
        <f ca="1">_xll.IMDP("BND",CT377,DD8,CT3)</f>
        <v>입력오류</v>
      </c>
      <c r="DE377" s="2"/>
      <c r="DO377" s="21" t="str">
        <f ca="1">_xll.IMDP("BND",DF377,DO8,DF3)</f>
        <v>입력오류</v>
      </c>
      <c r="DP377" s="23" t="str">
        <f ca="1">_xll.IMDP("BND",DF377,DP8,DF3)</f>
        <v>입력오류</v>
      </c>
      <c r="DQ377" s="2"/>
      <c r="EA377" s="21" t="str">
        <f ca="1">_xll.IMDP("BND",DR377,EA8,DR3)</f>
        <v>입력오류</v>
      </c>
      <c r="EB377" s="23" t="str">
        <f ca="1">_xll.IMDP("BND",DR377,EB8,DR3)</f>
        <v>입력오류</v>
      </c>
    </row>
    <row r="378" spans="1:132" ht="13.5" customHeight="1" x14ac:dyDescent="0.3">
      <c r="A378" s="2">
        <v>46198</v>
      </c>
      <c r="B378" s="3" t="s">
        <v>2257</v>
      </c>
      <c r="C378" s="3" t="s">
        <v>1570</v>
      </c>
      <c r="D378" s="3" t="s">
        <v>2258</v>
      </c>
      <c r="E378" s="3">
        <v>0</v>
      </c>
      <c r="F378" s="3">
        <v>0.01</v>
      </c>
      <c r="G378" s="3">
        <v>0</v>
      </c>
      <c r="H378" s="3">
        <v>8662</v>
      </c>
      <c r="I378" s="3">
        <v>10874.87</v>
      </c>
      <c r="J378" s="3">
        <v>1.4200000000000001E-2</v>
      </c>
      <c r="K378" s="21">
        <f ca="1">_xll.IMDP("BND",B378,K8,B3)</f>
        <v>20260630</v>
      </c>
      <c r="L378" s="23">
        <f ca="1">_xll.IMDP("BND",B378,L8,B3)</f>
        <v>2.8969999999999998</v>
      </c>
      <c r="M378" s="2"/>
      <c r="W378" s="21" t="str">
        <f ca="1">_xll.IMDP("BND",N378,W8,N3)</f>
        <v>입력오류</v>
      </c>
      <c r="X378" s="23" t="str">
        <f ca="1">_xll.IMDP("BND",N378,X8,N3)</f>
        <v>입력오류</v>
      </c>
      <c r="Y378" s="2"/>
      <c r="AI378" s="21" t="str">
        <f ca="1">_xll.IMDP("BND",Z378,AI8,Z3)</f>
        <v>입력오류</v>
      </c>
      <c r="AJ378" s="23" t="str">
        <f ca="1">_xll.IMDP("BND",Z378,AJ8,Z3)</f>
        <v>입력오류</v>
      </c>
      <c r="AK378" s="2"/>
      <c r="AU378" s="21" t="str">
        <f ca="1">_xll.IMDP("BND",AL378,AU8,AL3)</f>
        <v>입력오류</v>
      </c>
      <c r="AV378" s="23" t="str">
        <f ca="1">_xll.IMDP("BND",AL378,AV8,AL3)</f>
        <v>입력오류</v>
      </c>
      <c r="AW378" s="2"/>
      <c r="BG378" s="21" t="str">
        <f ca="1">_xll.IMDP("BND",AX378,BG8,AX3)</f>
        <v>입력오류</v>
      </c>
      <c r="BH378" s="23" t="str">
        <f ca="1">_xll.IMDP("BND",AX378,BH8,AX3)</f>
        <v>입력오류</v>
      </c>
      <c r="BI378" s="2"/>
      <c r="BS378" s="21" t="str">
        <f ca="1">_xll.IMDP("BND",BJ378,BS8,BJ3)</f>
        <v>입력오류</v>
      </c>
      <c r="BT378" s="23" t="str">
        <f ca="1">_xll.IMDP("BND",BJ378,BT8,BJ3)</f>
        <v>입력오류</v>
      </c>
      <c r="BU378" s="2"/>
      <c r="CE378" s="21" t="str">
        <f ca="1">_xll.IMDP("BND",BV378,CE8,BV3)</f>
        <v>입력오류</v>
      </c>
      <c r="CF378" s="23" t="str">
        <f ca="1">_xll.IMDP("BND",BV378,CF8,BV3)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"/>
      <c r="DC378" s="21" t="str">
        <f ca="1">_xll.IMDP("BND",CT378,DC8,CT3)</f>
        <v>입력오류</v>
      </c>
      <c r="DD378" s="23" t="str">
        <f ca="1">_xll.IMDP("BND",CT378,DD8,CT3)</f>
        <v>입력오류</v>
      </c>
      <c r="DE378" s="2"/>
      <c r="DO378" s="21" t="str">
        <f ca="1">_xll.IMDP("BND",DF378,DO8,DF3)</f>
        <v>입력오류</v>
      </c>
      <c r="DP378" s="23" t="str">
        <f ca="1">_xll.IMDP("BND",DF378,DP8,DF3)</f>
        <v>입력오류</v>
      </c>
      <c r="DQ378" s="2"/>
      <c r="EA378" s="21" t="str">
        <f ca="1">_xll.IMDP("BND",DR378,EA8,DR3)</f>
        <v>입력오류</v>
      </c>
      <c r="EB378" s="23" t="str">
        <f ca="1">_xll.IMDP("BND",DR378,EB8,DR3)</f>
        <v>입력오류</v>
      </c>
    </row>
    <row r="379" spans="1:132" ht="13.5" customHeight="1" x14ac:dyDescent="0.3">
      <c r="A379" s="2">
        <v>46198</v>
      </c>
      <c r="B379" s="3" t="s">
        <v>2259</v>
      </c>
      <c r="C379" s="3" t="s">
        <v>2260</v>
      </c>
      <c r="D379" s="3" t="s">
        <v>2261</v>
      </c>
      <c r="E379" s="3">
        <v>0</v>
      </c>
      <c r="F379" s="3">
        <v>0.01</v>
      </c>
      <c r="G379" s="3">
        <v>0</v>
      </c>
      <c r="H379" s="3">
        <v>7896</v>
      </c>
      <c r="I379" s="3">
        <v>9913.11</v>
      </c>
      <c r="J379" s="3">
        <v>1.5067999999999999</v>
      </c>
      <c r="K379" s="21">
        <f ca="1">_xll.IMDP("BND",B379,K8,B3)</f>
        <v>20280117</v>
      </c>
      <c r="L379" s="23">
        <f ca="1">_xll.IMDP("BND",B379,L8,B3)</f>
        <v>4.0810000000000004</v>
      </c>
      <c r="M379" s="2"/>
      <c r="W379" s="21" t="str">
        <f ca="1">_xll.IMDP("BND",N379,W8,N3)</f>
        <v>입력오류</v>
      </c>
      <c r="X379" s="23" t="str">
        <f ca="1">_xll.IMDP("BND",N379,X8,N3)</f>
        <v>입력오류</v>
      </c>
      <c r="Y379" s="2"/>
      <c r="AI379" s="21" t="str">
        <f ca="1">_xll.IMDP("BND",Z379,AI8,Z3)</f>
        <v>입력오류</v>
      </c>
      <c r="AJ379" s="23" t="str">
        <f ca="1">_xll.IMDP("BND",Z379,AJ8,Z3)</f>
        <v>입력오류</v>
      </c>
      <c r="AK379" s="2"/>
      <c r="AU379" s="21" t="str">
        <f ca="1">_xll.IMDP("BND",AL379,AU8,AL3)</f>
        <v>입력오류</v>
      </c>
      <c r="AV379" s="23" t="str">
        <f ca="1">_xll.IMDP("BND",AL379,AV8,AL3)</f>
        <v>입력오류</v>
      </c>
      <c r="AW379" s="2"/>
      <c r="BG379" s="21" t="str">
        <f ca="1">_xll.IMDP("BND",AX379,BG8,AX3)</f>
        <v>입력오류</v>
      </c>
      <c r="BH379" s="23" t="str">
        <f ca="1">_xll.IMDP("BND",AX379,BH8,AX3)</f>
        <v>입력오류</v>
      </c>
      <c r="BI379" s="2"/>
      <c r="BS379" s="21" t="str">
        <f ca="1">_xll.IMDP("BND",BJ379,BS8,BJ3)</f>
        <v>입력오류</v>
      </c>
      <c r="BT379" s="23" t="str">
        <f ca="1">_xll.IMDP("BND",BJ379,BT8,BJ3)</f>
        <v>입력오류</v>
      </c>
      <c r="BU379" s="2"/>
      <c r="CE379" s="21" t="str">
        <f ca="1">_xll.IMDP("BND",BV379,CE8,BV3)</f>
        <v>입력오류</v>
      </c>
      <c r="CF379" s="23" t="str">
        <f ca="1">_xll.IMDP("BND",BV379,CF8,BV3)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"/>
      <c r="DC379" s="21" t="str">
        <f ca="1">_xll.IMDP("BND",CT379,DC8,CT3)</f>
        <v>입력오류</v>
      </c>
      <c r="DD379" s="23" t="str">
        <f ca="1">_xll.IMDP("BND",CT379,DD8,CT3)</f>
        <v>입력오류</v>
      </c>
      <c r="DE379" s="2"/>
      <c r="DO379" s="21" t="str">
        <f ca="1">_xll.IMDP("BND",DF379,DO8,DF3)</f>
        <v>입력오류</v>
      </c>
      <c r="DP379" s="23" t="str">
        <f ca="1">_xll.IMDP("BND",DF379,DP8,DF3)</f>
        <v>입력오류</v>
      </c>
      <c r="DQ379" s="2"/>
      <c r="EA379" s="21" t="str">
        <f ca="1">_xll.IMDP("BND",DR379,EA8,DR3)</f>
        <v>입력오류</v>
      </c>
      <c r="EB379" s="23" t="str">
        <f ca="1">_xll.IMDP("BND",DR379,EB8,DR3)</f>
        <v>입력오류</v>
      </c>
    </row>
    <row r="380" spans="1:132" ht="13.5" customHeight="1" x14ac:dyDescent="0.3">
      <c r="A380" s="2">
        <v>46198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6574</v>
      </c>
      <c r="I380" s="3">
        <v>9904.2099999999991</v>
      </c>
      <c r="J380" s="3">
        <v>0.69889999999999997</v>
      </c>
      <c r="K380" s="21">
        <f ca="1">_xll.IMDP("BND",B380,K8,B3)</f>
        <v>20270312</v>
      </c>
      <c r="L380" s="23">
        <f ca="1">_xll.IMDP("BND",B380,L8,B3)</f>
        <v>3.468</v>
      </c>
      <c r="M380" s="2"/>
      <c r="W380" s="21" t="str">
        <f ca="1">_xll.IMDP("BND",N380,W8,N3)</f>
        <v>입력오류</v>
      </c>
      <c r="X380" s="23" t="str">
        <f ca="1">_xll.IMDP("BND",N380,X8,N3)</f>
        <v>입력오류</v>
      </c>
      <c r="Y380" s="2"/>
      <c r="AI380" s="21" t="str">
        <f ca="1">_xll.IMDP("BND",Z380,AI8,Z3)</f>
        <v>입력오류</v>
      </c>
      <c r="AJ380" s="23" t="str">
        <f ca="1">_xll.IMDP("BND",Z380,AJ8,Z3)</f>
        <v>입력오류</v>
      </c>
      <c r="AK380" s="2"/>
      <c r="AU380" s="21" t="str">
        <f ca="1">_xll.IMDP("BND",AL380,AU8,AL3)</f>
        <v>입력오류</v>
      </c>
      <c r="AV380" s="23" t="str">
        <f ca="1">_xll.IMDP("BND",AL380,AV8,AL3)</f>
        <v>입력오류</v>
      </c>
      <c r="AW380" s="2"/>
      <c r="BG380" s="21" t="str">
        <f ca="1">_xll.IMDP("BND",AX380,BG8,AX3)</f>
        <v>입력오류</v>
      </c>
      <c r="BH380" s="23" t="str">
        <f ca="1">_xll.IMDP("BND",AX380,BH8,AX3)</f>
        <v>입력오류</v>
      </c>
      <c r="BI380" s="2"/>
      <c r="BS380" s="21" t="str">
        <f ca="1">_xll.IMDP("BND",BJ380,BS8,BJ3)</f>
        <v>입력오류</v>
      </c>
      <c r="BT380" s="23" t="str">
        <f ca="1">_xll.IMDP("BND",BJ380,BT8,BJ3)</f>
        <v>입력오류</v>
      </c>
      <c r="BU380" s="2"/>
      <c r="CE380" s="21" t="str">
        <f ca="1">_xll.IMDP("BND",BV380,CE8,BV3)</f>
        <v>입력오류</v>
      </c>
      <c r="CF380" s="23" t="str">
        <f ca="1">_xll.IMDP("BND",BV380,CF8,BV3)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"/>
      <c r="DC380" s="21" t="str">
        <f ca="1">_xll.IMDP("BND",CT380,DC8,CT3)</f>
        <v>입력오류</v>
      </c>
      <c r="DD380" s="23" t="str">
        <f ca="1">_xll.IMDP("BND",CT380,DD8,CT3)</f>
        <v>입력오류</v>
      </c>
      <c r="DE380" s="2"/>
      <c r="DO380" s="21" t="str">
        <f ca="1">_xll.IMDP("BND",DF380,DO8,DF3)</f>
        <v>입력오류</v>
      </c>
      <c r="DP380" s="23" t="str">
        <f ca="1">_xll.IMDP("BND",DF380,DP8,DF3)</f>
        <v>입력오류</v>
      </c>
      <c r="DQ380" s="2"/>
      <c r="EA380" s="21" t="str">
        <f ca="1">_xll.IMDP("BND",DR380,EA8,DR3)</f>
        <v>입력오류</v>
      </c>
      <c r="EB380" s="23" t="str">
        <f ca="1">_xll.IMDP("BND",DR380,EB8,DR3)</f>
        <v>입력오류</v>
      </c>
    </row>
    <row r="381" spans="1:132" ht="13.5" customHeight="1" x14ac:dyDescent="0.3">
      <c r="A381" s="2">
        <v>46198</v>
      </c>
      <c r="B381" s="3" t="s">
        <v>2262</v>
      </c>
      <c r="C381" s="3" t="s">
        <v>564</v>
      </c>
      <c r="D381" s="3" t="s">
        <v>2263</v>
      </c>
      <c r="E381" s="3">
        <v>0</v>
      </c>
      <c r="F381" s="3">
        <v>0.01</v>
      </c>
      <c r="G381" s="3">
        <v>0</v>
      </c>
      <c r="H381" s="3">
        <v>5739</v>
      </c>
      <c r="I381" s="3">
        <v>10809.14</v>
      </c>
      <c r="J381" s="3">
        <v>0.25929999999999997</v>
      </c>
      <c r="K381" s="21">
        <f ca="1">_xll.IMDP("BND",B381,K8,B3)</f>
        <v>20260930</v>
      </c>
      <c r="L381" s="23">
        <f ca="1">_xll.IMDP("BND",B381,L8,B3)</f>
        <v>2.8239999999999998</v>
      </c>
      <c r="M381" s="2"/>
      <c r="W381" s="21" t="str">
        <f ca="1">_xll.IMDP("BND",N381,W8,N3)</f>
        <v>입력오류</v>
      </c>
      <c r="X381" s="23" t="str">
        <f ca="1">_xll.IMDP("BND",N381,X8,N3)</f>
        <v>입력오류</v>
      </c>
      <c r="Y381" s="2"/>
      <c r="AI381" s="21" t="str">
        <f ca="1">_xll.IMDP("BND",Z381,AI8,Z3)</f>
        <v>입력오류</v>
      </c>
      <c r="AJ381" s="23" t="str">
        <f ca="1">_xll.IMDP("BND",Z381,AJ8,Z3)</f>
        <v>입력오류</v>
      </c>
      <c r="AK381" s="2"/>
      <c r="AU381" s="21" t="str">
        <f ca="1">_xll.IMDP("BND",AL381,AU8,AL3)</f>
        <v>입력오류</v>
      </c>
      <c r="AV381" s="23" t="str">
        <f ca="1">_xll.IMDP("BND",AL381,AV8,AL3)</f>
        <v>입력오류</v>
      </c>
      <c r="AW381" s="2"/>
      <c r="BG381" s="21" t="str">
        <f ca="1">_xll.IMDP("BND",AX381,BG8,AX3)</f>
        <v>입력오류</v>
      </c>
      <c r="BH381" s="23" t="str">
        <f ca="1">_xll.IMDP("BND",AX381,BH8,AX3)</f>
        <v>입력오류</v>
      </c>
      <c r="BI381" s="2"/>
      <c r="BS381" s="21" t="str">
        <f ca="1">_xll.IMDP("BND",BJ381,BS8,BJ3)</f>
        <v>입력오류</v>
      </c>
      <c r="BT381" s="23" t="str">
        <f ca="1">_xll.IMDP("BND",BJ381,BT8,BJ3)</f>
        <v>입력오류</v>
      </c>
      <c r="BU381" s="2"/>
      <c r="CE381" s="21" t="str">
        <f ca="1">_xll.IMDP("BND",BV381,CE8,BV3)</f>
        <v>입력오류</v>
      </c>
      <c r="CF381" s="23" t="str">
        <f ca="1">_xll.IMDP("BND",BV381,CF8,BV3)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"/>
      <c r="DC381" s="21" t="str">
        <f ca="1">_xll.IMDP("BND",CT381,DC8,CT3)</f>
        <v>입력오류</v>
      </c>
      <c r="DD381" s="23" t="str">
        <f ca="1">_xll.IMDP("BND",CT381,DD8,CT3)</f>
        <v>입력오류</v>
      </c>
      <c r="DE381" s="2"/>
      <c r="DO381" s="21" t="str">
        <f ca="1">_xll.IMDP("BND",DF381,DO8,DF3)</f>
        <v>입력오류</v>
      </c>
      <c r="DP381" s="23" t="str">
        <f ca="1">_xll.IMDP("BND",DF381,DP8,DF3)</f>
        <v>입력오류</v>
      </c>
      <c r="DQ381" s="2"/>
      <c r="EA381" s="21" t="str">
        <f ca="1">_xll.IMDP("BND",DR381,EA8,DR3)</f>
        <v>입력오류</v>
      </c>
      <c r="EB381" s="23" t="str">
        <f ca="1">_xll.IMDP("BND",DR381,EB8,DR3)</f>
        <v>입력오류</v>
      </c>
    </row>
    <row r="382" spans="1:132" ht="13.5" customHeight="1" x14ac:dyDescent="0.3">
      <c r="A382" s="2">
        <v>46198</v>
      </c>
      <c r="B382" s="3" t="s">
        <v>2264</v>
      </c>
      <c r="C382" s="3" t="s">
        <v>2265</v>
      </c>
      <c r="D382" s="3" t="s">
        <v>2266</v>
      </c>
      <c r="E382" s="3">
        <v>0</v>
      </c>
      <c r="F382" s="3">
        <v>0</v>
      </c>
      <c r="G382" s="3">
        <v>0</v>
      </c>
      <c r="H382" s="3">
        <v>5533</v>
      </c>
      <c r="I382" s="3">
        <v>10421.530000000001</v>
      </c>
      <c r="J382" s="3">
        <v>0.8206</v>
      </c>
      <c r="K382" s="21">
        <f ca="1">_xll.IMDP("BND",B382,K8,B3)</f>
        <v>20270430</v>
      </c>
      <c r="L382" s="23">
        <f ca="1">_xll.IMDP("BND",B382,L8,B3)</f>
        <v>3.27</v>
      </c>
      <c r="M382" s="2"/>
      <c r="W382" s="21" t="str">
        <f ca="1">_xll.IMDP("BND",N382,W8,N3)</f>
        <v>입력오류</v>
      </c>
      <c r="X382" s="23" t="str">
        <f ca="1">_xll.IMDP("BND",N382,X8,N3)</f>
        <v>입력오류</v>
      </c>
      <c r="Y382" s="2"/>
      <c r="AI382" s="21" t="str">
        <f ca="1">_xll.IMDP("BND",Z382,AI8,Z3)</f>
        <v>입력오류</v>
      </c>
      <c r="AJ382" s="23" t="str">
        <f ca="1">_xll.IMDP("BND",Z382,AJ8,Z3)</f>
        <v>입력오류</v>
      </c>
      <c r="AK382" s="2"/>
      <c r="AU382" s="21" t="str">
        <f ca="1">_xll.IMDP("BND",AL382,AU8,AL3)</f>
        <v>입력오류</v>
      </c>
      <c r="AV382" s="23" t="str">
        <f ca="1">_xll.IMDP("BND",AL382,AV8,AL3)</f>
        <v>입력오류</v>
      </c>
      <c r="AW382" s="2"/>
      <c r="BG382" s="21" t="str">
        <f ca="1">_xll.IMDP("BND",AX382,BG8,AX3)</f>
        <v>입력오류</v>
      </c>
      <c r="BH382" s="23" t="str">
        <f ca="1">_xll.IMDP("BND",AX382,BH8,AX3)</f>
        <v>입력오류</v>
      </c>
      <c r="BI382" s="2"/>
      <c r="BS382" s="21" t="str">
        <f ca="1">_xll.IMDP("BND",BJ382,BS8,BJ3)</f>
        <v>입력오류</v>
      </c>
      <c r="BT382" s="23" t="str">
        <f ca="1">_xll.IMDP("BND",BJ382,BT8,BJ3)</f>
        <v>입력오류</v>
      </c>
      <c r="BU382" s="2"/>
      <c r="CE382" s="21" t="str">
        <f ca="1">_xll.IMDP("BND",BV382,CE8,BV3)</f>
        <v>입력오류</v>
      </c>
      <c r="CF382" s="23" t="str">
        <f ca="1">_xll.IMDP("BND",BV382,CF8,BV3)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"/>
      <c r="DC382" s="21" t="str">
        <f ca="1">_xll.IMDP("BND",CT382,DC8,CT3)</f>
        <v>입력오류</v>
      </c>
      <c r="DD382" s="23" t="str">
        <f ca="1">_xll.IMDP("BND",CT382,DD8,CT3)</f>
        <v>입력오류</v>
      </c>
      <c r="DE382" s="2"/>
      <c r="DO382" s="21" t="str">
        <f ca="1">_xll.IMDP("BND",DF382,DO8,DF3)</f>
        <v>입력오류</v>
      </c>
      <c r="DP382" s="23" t="str">
        <f ca="1">_xll.IMDP("BND",DF382,DP8,DF3)</f>
        <v>입력오류</v>
      </c>
      <c r="DQ382" s="2"/>
      <c r="EA382" s="21" t="str">
        <f ca="1">_xll.IMDP("BND",DR382,EA8,DR3)</f>
        <v>입력오류</v>
      </c>
      <c r="EB382" s="23" t="str">
        <f ca="1">_xll.IMDP("BND",DR382,EB8,DR3)</f>
        <v>입력오류</v>
      </c>
    </row>
    <row r="383" spans="1:132" ht="13.5" customHeight="1" x14ac:dyDescent="0.3">
      <c r="A383" s="2">
        <v>46198</v>
      </c>
      <c r="B383" s="3" t="s">
        <v>2267</v>
      </c>
      <c r="C383" s="3" t="s">
        <v>29</v>
      </c>
      <c r="D383" s="3" t="s">
        <v>2268</v>
      </c>
      <c r="E383" s="3">
        <v>0</v>
      </c>
      <c r="F383" s="3">
        <v>0</v>
      </c>
      <c r="G383" s="3">
        <v>0</v>
      </c>
      <c r="H383" s="3">
        <v>2615</v>
      </c>
      <c r="I383" s="3">
        <v>9849.94</v>
      </c>
      <c r="J383" s="3">
        <v>1.4177999999999999</v>
      </c>
      <c r="K383" s="21">
        <f ca="1">_xll.IMDP("BND",B383,K8,B3)</f>
        <v>20271210</v>
      </c>
      <c r="L383" s="23">
        <f ca="1">_xll.IMDP("BND",B383,L8,B3)</f>
        <v>3.5059999999999998</v>
      </c>
      <c r="M383" s="2"/>
      <c r="W383" s="21" t="str">
        <f ca="1">_xll.IMDP("BND",N383,W8,N3)</f>
        <v>입력오류</v>
      </c>
      <c r="X383" s="23" t="str">
        <f ca="1">_xll.IMDP("BND",N383,X8,N3)</f>
        <v>입력오류</v>
      </c>
      <c r="Y383" s="2"/>
      <c r="AI383" s="21" t="str">
        <f ca="1">_xll.IMDP("BND",Z383,AI8,Z3)</f>
        <v>입력오류</v>
      </c>
      <c r="AJ383" s="23" t="str">
        <f ca="1">_xll.IMDP("BND",Z383,AJ8,Z3)</f>
        <v>입력오류</v>
      </c>
      <c r="AK383" s="2"/>
      <c r="AU383" s="21" t="str">
        <f ca="1">_xll.IMDP("BND",AL383,AU8,AL3)</f>
        <v>입력오류</v>
      </c>
      <c r="AV383" s="23" t="str">
        <f ca="1">_xll.IMDP("BND",AL383,AV8,AL3)</f>
        <v>입력오류</v>
      </c>
      <c r="AW383" s="2"/>
      <c r="BG383" s="21" t="str">
        <f ca="1">_xll.IMDP("BND",AX383,BG8,AX3)</f>
        <v>입력오류</v>
      </c>
      <c r="BH383" s="23" t="str">
        <f ca="1">_xll.IMDP("BND",AX383,BH8,AX3)</f>
        <v>입력오류</v>
      </c>
      <c r="BI383" s="2"/>
      <c r="BS383" s="21" t="str">
        <f ca="1">_xll.IMDP("BND",BJ383,BS8,BJ3)</f>
        <v>입력오류</v>
      </c>
      <c r="BT383" s="23" t="str">
        <f ca="1">_xll.IMDP("BND",BJ383,BT8,BJ3)</f>
        <v>입력오류</v>
      </c>
      <c r="BU383" s="2"/>
      <c r="CE383" s="21" t="str">
        <f ca="1">_xll.IMDP("BND",BV383,CE8,BV3)</f>
        <v>입력오류</v>
      </c>
      <c r="CF383" s="23" t="str">
        <f ca="1">_xll.IMDP("BND",BV383,CF8,BV3)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"/>
      <c r="DC383" s="21" t="str">
        <f ca="1">_xll.IMDP("BND",CT383,DC8,CT3)</f>
        <v>입력오류</v>
      </c>
      <c r="DD383" s="23" t="str">
        <f ca="1">_xll.IMDP("BND",CT383,DD8,CT3)</f>
        <v>입력오류</v>
      </c>
      <c r="DE383" s="2"/>
      <c r="DO383" s="21" t="str">
        <f ca="1">_xll.IMDP("BND",DF383,DO8,DF3)</f>
        <v>입력오류</v>
      </c>
      <c r="DP383" s="23" t="str">
        <f ca="1">_xll.IMDP("BND",DF383,DP8,DF3)</f>
        <v>입력오류</v>
      </c>
      <c r="DQ383" s="2"/>
      <c r="EA383" s="21" t="str">
        <f ca="1">_xll.IMDP("BND",DR383,EA8,DR3)</f>
        <v>입력오류</v>
      </c>
      <c r="EB383" s="23" t="str">
        <f ca="1">_xll.IMDP("BND",DR383,EB8,DR3)</f>
        <v>입력오류</v>
      </c>
    </row>
    <row r="384" spans="1:132" ht="13.5" customHeight="1" x14ac:dyDescent="0.3">
      <c r="A384" s="2">
        <v>46198</v>
      </c>
      <c r="B384" s="3" t="s">
        <v>1672</v>
      </c>
      <c r="C384" s="3" t="s">
        <v>908</v>
      </c>
      <c r="D384" s="3" t="s">
        <v>1673</v>
      </c>
      <c r="E384" s="3">
        <v>0</v>
      </c>
      <c r="F384" s="3">
        <v>0</v>
      </c>
      <c r="G384" s="3">
        <v>0</v>
      </c>
      <c r="H384" s="3">
        <v>1875</v>
      </c>
      <c r="I384" s="3">
        <v>10095.530000000001</v>
      </c>
      <c r="J384" s="3">
        <v>5.0804</v>
      </c>
      <c r="K384" s="21">
        <f ca="1">_xll.IMDP("BND",B384,K8,B3)</f>
        <v>20320403</v>
      </c>
      <c r="L384" s="23">
        <f ca="1">_xll.IMDP("BND",B384,L8,B3)</f>
        <v>4.2750000000000004</v>
      </c>
      <c r="M384" s="2"/>
      <c r="W384" s="21" t="str">
        <f ca="1">_xll.IMDP("BND",N384,W8,N3)</f>
        <v>입력오류</v>
      </c>
      <c r="X384" s="23" t="str">
        <f ca="1">_xll.IMDP("BND",N384,X8,N3)</f>
        <v>입력오류</v>
      </c>
      <c r="Y384" s="2"/>
      <c r="AI384" s="21" t="str">
        <f ca="1">_xll.IMDP("BND",Z384,AI8,Z3)</f>
        <v>입력오류</v>
      </c>
      <c r="AJ384" s="23" t="str">
        <f ca="1">_xll.IMDP("BND",Z384,AJ8,Z3)</f>
        <v>입력오류</v>
      </c>
      <c r="AK384" s="2"/>
      <c r="AU384" s="21" t="str">
        <f ca="1">_xll.IMDP("BND",AL384,AU8,AL3)</f>
        <v>입력오류</v>
      </c>
      <c r="AV384" s="23" t="str">
        <f ca="1">_xll.IMDP("BND",AL384,AV8,AL3)</f>
        <v>입력오류</v>
      </c>
      <c r="AW384" s="2"/>
      <c r="BG384" s="21" t="str">
        <f ca="1">_xll.IMDP("BND",AX384,BG8,AX3)</f>
        <v>입력오류</v>
      </c>
      <c r="BH384" s="23" t="str">
        <f ca="1">_xll.IMDP("BND",AX384,BH8,AX3)</f>
        <v>입력오류</v>
      </c>
      <c r="BI384" s="2"/>
      <c r="BS384" s="21" t="str">
        <f ca="1">_xll.IMDP("BND",BJ384,BS8,BJ3)</f>
        <v>입력오류</v>
      </c>
      <c r="BT384" s="23" t="str">
        <f ca="1">_xll.IMDP("BND",BJ384,BT8,BJ3)</f>
        <v>입력오류</v>
      </c>
      <c r="BU384" s="2"/>
      <c r="CE384" s="21" t="str">
        <f ca="1">_xll.IMDP("BND",BV384,CE8,BV3)</f>
        <v>입력오류</v>
      </c>
      <c r="CF384" s="23" t="str">
        <f ca="1">_xll.IMDP("BND",BV384,CF8,BV3)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"/>
      <c r="DC384" s="21" t="str">
        <f ca="1">_xll.IMDP("BND",CT384,DC8,CT3)</f>
        <v>입력오류</v>
      </c>
      <c r="DD384" s="23" t="str">
        <f ca="1">_xll.IMDP("BND",CT384,DD8,CT3)</f>
        <v>입력오류</v>
      </c>
      <c r="DE384" s="2"/>
      <c r="DO384" s="21" t="str">
        <f ca="1">_xll.IMDP("BND",DF384,DO8,DF3)</f>
        <v>입력오류</v>
      </c>
      <c r="DP384" s="23" t="str">
        <f ca="1">_xll.IMDP("BND",DF384,DP8,DF3)</f>
        <v>입력오류</v>
      </c>
      <c r="DQ384" s="2"/>
      <c r="EA384" s="21" t="str">
        <f ca="1">_xll.IMDP("BND",DR384,EA8,DR3)</f>
        <v>입력오류</v>
      </c>
      <c r="EB384" s="23" t="str">
        <f ca="1">_xll.IMDP("BND",DR384,EB8,DR3)</f>
        <v>입력오류</v>
      </c>
    </row>
    <row r="385" spans="1:132" ht="13.5" customHeight="1" x14ac:dyDescent="0.3">
      <c r="A385" s="2">
        <v>46198</v>
      </c>
      <c r="B385" s="3" t="s">
        <v>1699</v>
      </c>
      <c r="C385" s="3" t="s">
        <v>1700</v>
      </c>
      <c r="D385" s="3" t="s">
        <v>1701</v>
      </c>
      <c r="E385" s="3">
        <v>0</v>
      </c>
      <c r="F385" s="3">
        <v>0</v>
      </c>
      <c r="G385" s="3">
        <v>0</v>
      </c>
      <c r="H385" s="3">
        <v>765</v>
      </c>
      <c r="I385" s="3">
        <v>9610.7999999999993</v>
      </c>
      <c r="J385" s="3">
        <v>2.0207000000000002</v>
      </c>
      <c r="K385" s="21">
        <f ca="1">_xll.IMDP("BND",B385,K8,B3)</f>
        <v>20280727</v>
      </c>
      <c r="L385" s="23">
        <f ca="1">_xll.IMDP("BND",B385,L8,B3)</f>
        <v>4.3040000000000003</v>
      </c>
      <c r="M385" s="2"/>
      <c r="W385" s="21" t="str">
        <f ca="1">_xll.IMDP("BND",N385,W8,N3)</f>
        <v>입력오류</v>
      </c>
      <c r="X385" s="23" t="str">
        <f ca="1">_xll.IMDP("BND",N385,X8,N3)</f>
        <v>입력오류</v>
      </c>
      <c r="Y385" s="2"/>
      <c r="AI385" s="21" t="str">
        <f ca="1">_xll.IMDP("BND",Z385,AI8,Z3)</f>
        <v>입력오류</v>
      </c>
      <c r="AJ385" s="23" t="str">
        <f ca="1">_xll.IMDP("BND",Z385,AJ8,Z3)</f>
        <v>입력오류</v>
      </c>
      <c r="AK385" s="2"/>
      <c r="AU385" s="21" t="str">
        <f ca="1">_xll.IMDP("BND",AL385,AU8,AL3)</f>
        <v>입력오류</v>
      </c>
      <c r="AV385" s="23" t="str">
        <f ca="1">_xll.IMDP("BND",AL385,AV8,AL3)</f>
        <v>입력오류</v>
      </c>
      <c r="AW385" s="2"/>
      <c r="BG385" s="21" t="str">
        <f ca="1">_xll.IMDP("BND",AX385,BG8,AX3)</f>
        <v>입력오류</v>
      </c>
      <c r="BH385" s="23" t="str">
        <f ca="1">_xll.IMDP("BND",AX385,BH8,AX3)</f>
        <v>입력오류</v>
      </c>
      <c r="BI385" s="2"/>
      <c r="BS385" s="21" t="str">
        <f ca="1">_xll.IMDP("BND",BJ385,BS8,BJ3)</f>
        <v>입력오류</v>
      </c>
      <c r="BT385" s="23" t="str">
        <f ca="1">_xll.IMDP("BND",BJ385,BT8,BJ3)</f>
        <v>입력오류</v>
      </c>
      <c r="BU385" s="2"/>
      <c r="CE385" s="21" t="str">
        <f ca="1">_xll.IMDP("BND",BV385,CE8,BV3)</f>
        <v>입력오류</v>
      </c>
      <c r="CF385" s="23" t="str">
        <f ca="1">_xll.IMDP("BND",BV385,CF8,BV3)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"/>
      <c r="DC385" s="21" t="str">
        <f ca="1">_xll.IMDP("BND",CT385,DC8,CT3)</f>
        <v>입력오류</v>
      </c>
      <c r="DD385" s="23" t="str">
        <f ca="1">_xll.IMDP("BND",CT385,DD8,CT3)</f>
        <v>입력오류</v>
      </c>
      <c r="DE385" s="2"/>
      <c r="DO385" s="21" t="str">
        <f ca="1">_xll.IMDP("BND",DF385,DO8,DF3)</f>
        <v>입력오류</v>
      </c>
      <c r="DP385" s="23" t="str">
        <f ca="1">_xll.IMDP("BND",DF385,DP8,DF3)</f>
        <v>입력오류</v>
      </c>
      <c r="DQ385" s="2"/>
      <c r="EA385" s="21" t="str">
        <f ca="1">_xll.IMDP("BND",DR385,EA8,DR3)</f>
        <v>입력오류</v>
      </c>
      <c r="EB385" s="23" t="str">
        <f ca="1">_xll.IMDP("BND",DR385,EB8,DR3)</f>
        <v>입력오류</v>
      </c>
    </row>
    <row r="386" spans="1:132" ht="13.5" customHeight="1" x14ac:dyDescent="0.3">
      <c r="A386" s="2">
        <v>46198</v>
      </c>
      <c r="B386" s="3" t="s">
        <v>1707</v>
      </c>
      <c r="C386" s="3" t="s">
        <v>29</v>
      </c>
      <c r="D386" s="3" t="s">
        <v>1708</v>
      </c>
      <c r="E386" s="3">
        <v>0</v>
      </c>
      <c r="F386" s="3">
        <v>0</v>
      </c>
      <c r="G386" s="3">
        <v>0</v>
      </c>
      <c r="H386" s="3">
        <v>550</v>
      </c>
      <c r="I386" s="3">
        <v>6910.39</v>
      </c>
      <c r="J386" s="3">
        <v>11.764900000000001</v>
      </c>
      <c r="K386" s="21">
        <f ca="1">_xll.IMDP("BND",B386,K8,B3)</f>
        <v>20390910</v>
      </c>
      <c r="L386" s="23">
        <f ca="1">_xll.IMDP("BND",B386,L8,B3)</f>
        <v>4.2350000000000003</v>
      </c>
      <c r="M386" s="2"/>
      <c r="W386" s="21" t="str">
        <f ca="1">_xll.IMDP("BND",N386,W8,N3)</f>
        <v>입력오류</v>
      </c>
      <c r="X386" s="23" t="str">
        <f ca="1">_xll.IMDP("BND",N386,X8,N3)</f>
        <v>입력오류</v>
      </c>
      <c r="Y386" s="2"/>
      <c r="AI386" s="21" t="str">
        <f ca="1">_xll.IMDP("BND",Z386,AI8,Z3)</f>
        <v>입력오류</v>
      </c>
      <c r="AJ386" s="23" t="str">
        <f ca="1">_xll.IMDP("BND",Z386,AJ8,Z3)</f>
        <v>입력오류</v>
      </c>
      <c r="AK386" s="2"/>
      <c r="AU386" s="21" t="str">
        <f ca="1">_xll.IMDP("BND",AL386,AU8,AL3)</f>
        <v>입력오류</v>
      </c>
      <c r="AV386" s="23" t="str">
        <f ca="1">_xll.IMDP("BND",AL386,AV8,AL3)</f>
        <v>입력오류</v>
      </c>
      <c r="AW386" s="2"/>
      <c r="BG386" s="21" t="str">
        <f ca="1">_xll.IMDP("BND",AX386,BG8,AX3)</f>
        <v>입력오류</v>
      </c>
      <c r="BH386" s="23" t="str">
        <f ca="1">_xll.IMDP("BND",AX386,BH8,AX3)</f>
        <v>입력오류</v>
      </c>
      <c r="BI386" s="2"/>
      <c r="BS386" s="21" t="str">
        <f ca="1">_xll.IMDP("BND",BJ386,BS8,BJ3)</f>
        <v>입력오류</v>
      </c>
      <c r="BT386" s="23" t="str">
        <f ca="1">_xll.IMDP("BND",BJ386,BT8,BJ3)</f>
        <v>입력오류</v>
      </c>
      <c r="BU386" s="2"/>
      <c r="CE386" s="21" t="str">
        <f ca="1">_xll.IMDP("BND",BV386,CE8,BV3)</f>
        <v>입력오류</v>
      </c>
      <c r="CF386" s="23" t="str">
        <f ca="1">_xll.IMDP("BND",BV386,CF8,BV3)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"/>
      <c r="DC386" s="21" t="str">
        <f ca="1">_xll.IMDP("BND",CT386,DC8,CT3)</f>
        <v>입력오류</v>
      </c>
      <c r="DD386" s="23" t="str">
        <f ca="1">_xll.IMDP("BND",CT386,DD8,CT3)</f>
        <v>입력오류</v>
      </c>
      <c r="DE386" s="2"/>
      <c r="DO386" s="21" t="str">
        <f ca="1">_xll.IMDP("BND",DF386,DO8,DF3)</f>
        <v>입력오류</v>
      </c>
      <c r="DP386" s="23" t="str">
        <f ca="1">_xll.IMDP("BND",DF386,DP8,DF3)</f>
        <v>입력오류</v>
      </c>
      <c r="DQ386" s="2"/>
      <c r="EA386" s="21" t="str">
        <f ca="1">_xll.IMDP("BND",DR386,EA8,DR3)</f>
        <v>입력오류</v>
      </c>
      <c r="EB386" s="23" t="str">
        <f ca="1">_xll.IMDP("BND",DR386,EB8,DR3)</f>
        <v>입력오류</v>
      </c>
    </row>
    <row r="387" spans="1:132" ht="13.5" customHeight="1" x14ac:dyDescent="0.3">
      <c r="A387" s="2">
        <v>46198</v>
      </c>
      <c r="B387" s="3" t="s">
        <v>7</v>
      </c>
      <c r="C387" s="3" t="s">
        <v>7</v>
      </c>
      <c r="D387" s="3" t="s">
        <v>46</v>
      </c>
      <c r="F387" s="3">
        <v>4.3499999999999996</v>
      </c>
      <c r="H387" s="3">
        <v>4847591</v>
      </c>
      <c r="K387" s="21" t="str">
        <f ca="1">_xll.IMDP("BND",B387,K8,B3)</f>
        <v/>
      </c>
      <c r="L387" s="23" t="str">
        <f ca="1">_xll.IMDP("BND",B387,L8,B3)</f>
        <v/>
      </c>
      <c r="M387" s="2"/>
      <c r="W387" s="21" t="str">
        <f ca="1">_xll.IMDP("BND",N387,W8,N3)</f>
        <v>입력오류</v>
      </c>
      <c r="X387" s="23" t="str">
        <f ca="1">_xll.IMDP("BND",N387,X8,N3)</f>
        <v>입력오류</v>
      </c>
      <c r="Y387" s="2"/>
      <c r="AI387" s="21" t="str">
        <f ca="1">_xll.IMDP("BND",Z387,AI8,Z3)</f>
        <v>입력오류</v>
      </c>
      <c r="AJ387" s="23" t="str">
        <f ca="1">_xll.IMDP("BND",Z387,AJ8,Z3)</f>
        <v>입력오류</v>
      </c>
      <c r="AK387" s="2"/>
      <c r="AU387" s="21" t="str">
        <f ca="1">_xll.IMDP("BND",AL387,AU8,AL3)</f>
        <v>입력오류</v>
      </c>
      <c r="AV387" s="23" t="str">
        <f ca="1">_xll.IMDP("BND",AL387,AV8,AL3)</f>
        <v>입력오류</v>
      </c>
      <c r="AW387" s="2"/>
      <c r="BG387" s="21" t="str">
        <f ca="1">_xll.IMDP("BND",AX387,BG8,AX3)</f>
        <v>입력오류</v>
      </c>
      <c r="BH387" s="23" t="str">
        <f ca="1">_xll.IMDP("BND",AX387,BH8,AX3)</f>
        <v>입력오류</v>
      </c>
      <c r="BI387" s="2"/>
      <c r="BS387" s="21" t="str">
        <f ca="1">_xll.IMDP("BND",BJ387,BS8,BJ3)</f>
        <v>입력오류</v>
      </c>
      <c r="BT387" s="23" t="str">
        <f ca="1">_xll.IMDP("BND",BJ387,BT8,BJ3)</f>
        <v>입력오류</v>
      </c>
      <c r="BU387" s="2"/>
      <c r="CE387" s="21" t="str">
        <f ca="1">_xll.IMDP("BND",BV387,CE8,BV3)</f>
        <v>입력오류</v>
      </c>
      <c r="CF387" s="23" t="str">
        <f ca="1">_xll.IMDP("BND",BV387,CF8,BV3)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"/>
      <c r="DC387" s="21" t="str">
        <f ca="1">_xll.IMDP("BND",CT387,DC8,CT3)</f>
        <v>입력오류</v>
      </c>
      <c r="DD387" s="23" t="str">
        <f ca="1">_xll.IMDP("BND",CT387,DD8,CT3)</f>
        <v>입력오류</v>
      </c>
      <c r="DE387" s="2"/>
      <c r="DO387" s="21" t="str">
        <f ca="1">_xll.IMDP("BND",DF387,DO8,DF3)</f>
        <v>입력오류</v>
      </c>
      <c r="DP387" s="23" t="str">
        <f ca="1">_xll.IMDP("BND",DF387,DP8,DF3)</f>
        <v>입력오류</v>
      </c>
      <c r="DQ387" s="2"/>
      <c r="EA387" s="21" t="str">
        <f ca="1">_xll.IMDP("BND",DR387,EA8,DR3)</f>
        <v>입력오류</v>
      </c>
      <c r="EB387" s="23" t="str">
        <f ca="1">_xll.IMDP("BND",DR387,EB8,DR3)</f>
        <v>입력오류</v>
      </c>
    </row>
    <row r="388" spans="1:132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"/>
      <c r="W388" s="21" t="str">
        <f ca="1">_xll.IMDP("BND",N388,W8,N3)</f>
        <v>입력오류</v>
      </c>
      <c r="X388" s="23" t="str">
        <f ca="1">_xll.IMDP("BND",N388,X8,N3)</f>
        <v>입력오류</v>
      </c>
      <c r="Y388" s="2"/>
      <c r="AI388" s="21" t="str">
        <f ca="1">_xll.IMDP("BND",Z388,AI8,Z3)</f>
        <v>입력오류</v>
      </c>
      <c r="AJ388" s="23" t="str">
        <f ca="1">_xll.IMDP("BND",Z388,AJ8,Z3)</f>
        <v>입력오류</v>
      </c>
      <c r="AK388" s="2"/>
      <c r="AU388" s="21" t="str">
        <f ca="1">_xll.IMDP("BND",AL388,AU8,AL3)</f>
        <v>입력오류</v>
      </c>
      <c r="AV388" s="23" t="str">
        <f ca="1">_xll.IMDP("BND",AL388,AV8,AL3)</f>
        <v>입력오류</v>
      </c>
      <c r="AW388" s="2"/>
      <c r="BG388" s="21" t="str">
        <f ca="1">_xll.IMDP("BND",AX388,BG8,AX3)</f>
        <v>입력오류</v>
      </c>
      <c r="BH388" s="23" t="str">
        <f ca="1">_xll.IMDP("BND",AX388,BH8,AX3)</f>
        <v>입력오류</v>
      </c>
      <c r="BI388" s="2"/>
      <c r="BS388" s="21" t="str">
        <f ca="1">_xll.IMDP("BND",BJ388,BS8,BJ3)</f>
        <v>입력오류</v>
      </c>
      <c r="BT388" s="23" t="str">
        <f ca="1">_xll.IMDP("BND",BJ388,BT8,BJ3)</f>
        <v>입력오류</v>
      </c>
      <c r="BU388" s="2"/>
      <c r="CE388" s="21" t="str">
        <f ca="1">_xll.IMDP("BND",BV388,CE8,BV3)</f>
        <v>입력오류</v>
      </c>
      <c r="CF388" s="23" t="str">
        <f ca="1">_xll.IMDP("BND",BV388,CF8,BV3)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"/>
      <c r="DC388" s="21" t="str">
        <f ca="1">_xll.IMDP("BND",CT388,DC8,CT3)</f>
        <v>입력오류</v>
      </c>
      <c r="DD388" s="23" t="str">
        <f ca="1">_xll.IMDP("BND",CT388,DD8,CT3)</f>
        <v>입력오류</v>
      </c>
      <c r="DE388" s="2"/>
      <c r="DO388" s="21" t="str">
        <f ca="1">_xll.IMDP("BND",DF388,DO8,DF3)</f>
        <v>입력오류</v>
      </c>
      <c r="DP388" s="23" t="str">
        <f ca="1">_xll.IMDP("BND",DF388,DP8,DF3)</f>
        <v>입력오류</v>
      </c>
      <c r="DQ388" s="2"/>
      <c r="EA388" s="21" t="str">
        <f ca="1">_xll.IMDP("BND",DR388,EA8,DR3)</f>
        <v>입력오류</v>
      </c>
      <c r="EB388" s="23" t="str">
        <f ca="1">_xll.IMDP("BND",DR388,EB8,DR3)</f>
        <v>입력오류</v>
      </c>
    </row>
    <row r="389" spans="1:132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"/>
      <c r="W389" s="21" t="str">
        <f ca="1">_xll.IMDP("BND",N389,W8,N3)</f>
        <v>입력오류</v>
      </c>
      <c r="X389" s="23" t="str">
        <f ca="1">_xll.IMDP("BND",N389,X8,N3)</f>
        <v>입력오류</v>
      </c>
      <c r="Y389" s="2"/>
      <c r="AI389" s="21" t="str">
        <f ca="1">_xll.IMDP("BND",Z389,AI8,Z3)</f>
        <v>입력오류</v>
      </c>
      <c r="AJ389" s="23" t="str">
        <f ca="1">_xll.IMDP("BND",Z389,AJ8,Z3)</f>
        <v>입력오류</v>
      </c>
      <c r="AK389" s="2"/>
      <c r="AU389" s="21" t="str">
        <f ca="1">_xll.IMDP("BND",AL389,AU8,AL3)</f>
        <v>입력오류</v>
      </c>
      <c r="AV389" s="23" t="str">
        <f ca="1">_xll.IMDP("BND",AL389,AV8,AL3)</f>
        <v>입력오류</v>
      </c>
      <c r="AW389" s="2"/>
      <c r="BG389" s="21" t="str">
        <f ca="1">_xll.IMDP("BND",AX389,BG8,AX3)</f>
        <v>입력오류</v>
      </c>
      <c r="BH389" s="23" t="str">
        <f ca="1">_xll.IMDP("BND",AX389,BH8,AX3)</f>
        <v>입력오류</v>
      </c>
      <c r="BI389" s="2"/>
      <c r="BS389" s="21" t="str">
        <f ca="1">_xll.IMDP("BND",BJ389,BS8,BJ3)</f>
        <v>입력오류</v>
      </c>
      <c r="BT389" s="23" t="str">
        <f ca="1">_xll.IMDP("BND",BJ389,BT8,BJ3)</f>
        <v>입력오류</v>
      </c>
      <c r="BU389" s="2"/>
      <c r="CE389" s="21" t="str">
        <f ca="1">_xll.IMDP("BND",BV389,CE8,BV3)</f>
        <v>입력오류</v>
      </c>
      <c r="CF389" s="23" t="str">
        <f ca="1">_xll.IMDP("BND",BV389,CF8,BV3)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"/>
      <c r="DC389" s="21" t="str">
        <f ca="1">_xll.IMDP("BND",CT389,DC8,CT3)</f>
        <v>입력오류</v>
      </c>
      <c r="DD389" s="23" t="str">
        <f ca="1">_xll.IMDP("BND",CT389,DD8,CT3)</f>
        <v>입력오류</v>
      </c>
      <c r="DE389" s="2"/>
      <c r="DO389" s="21" t="str">
        <f ca="1">_xll.IMDP("BND",DF389,DO8,DF3)</f>
        <v>입력오류</v>
      </c>
      <c r="DP389" s="23" t="str">
        <f ca="1">_xll.IMDP("BND",DF389,DP8,DF3)</f>
        <v>입력오류</v>
      </c>
      <c r="DQ389" s="2"/>
      <c r="EA389" s="21" t="str">
        <f ca="1">_xll.IMDP("BND",DR389,EA8,DR3)</f>
        <v>입력오류</v>
      </c>
      <c r="EB389" s="23" t="str">
        <f ca="1">_xll.IMDP("BND",DR389,EB8,DR3)</f>
        <v>입력오류</v>
      </c>
    </row>
    <row r="390" spans="1:132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"/>
      <c r="W390" s="21" t="str">
        <f ca="1">_xll.IMDP("BND",N390,W8,N3)</f>
        <v>입력오류</v>
      </c>
      <c r="X390" s="23" t="str">
        <f ca="1">_xll.IMDP("BND",N390,X8,N3)</f>
        <v>입력오류</v>
      </c>
      <c r="Y390" s="2"/>
      <c r="AI390" s="21" t="str">
        <f ca="1">_xll.IMDP("BND",Z390,AI8,Z3)</f>
        <v>입력오류</v>
      </c>
      <c r="AJ390" s="23" t="str">
        <f ca="1">_xll.IMDP("BND",Z390,AJ8,Z3)</f>
        <v>입력오류</v>
      </c>
      <c r="AK390" s="2"/>
      <c r="AU390" s="21" t="str">
        <f ca="1">_xll.IMDP("BND",AL390,AU8,AL3)</f>
        <v>입력오류</v>
      </c>
      <c r="AV390" s="23" t="str">
        <f ca="1">_xll.IMDP("BND",AL390,AV8,AL3)</f>
        <v>입력오류</v>
      </c>
      <c r="AW390" s="2"/>
      <c r="BG390" s="21" t="str">
        <f ca="1">_xll.IMDP("BND",AX390,BG8,AX3)</f>
        <v>입력오류</v>
      </c>
      <c r="BH390" s="23" t="str">
        <f ca="1">_xll.IMDP("BND",AX390,BH8,AX3)</f>
        <v>입력오류</v>
      </c>
      <c r="BI390" s="2"/>
      <c r="BS390" s="21" t="str">
        <f ca="1">_xll.IMDP("BND",BJ390,BS8,BJ3)</f>
        <v>입력오류</v>
      </c>
      <c r="BT390" s="23" t="str">
        <f ca="1">_xll.IMDP("BND",BJ390,BT8,BJ3)</f>
        <v>입력오류</v>
      </c>
      <c r="BU390" s="2"/>
      <c r="CE390" s="21" t="str">
        <f ca="1">_xll.IMDP("BND",BV390,CE8,BV3)</f>
        <v>입력오류</v>
      </c>
      <c r="CF390" s="23" t="str">
        <f ca="1">_xll.IMDP("BND",BV390,CF8,BV3)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"/>
      <c r="DC390" s="21" t="str">
        <f ca="1">_xll.IMDP("BND",CT390,DC8,CT3)</f>
        <v>입력오류</v>
      </c>
      <c r="DD390" s="23" t="str">
        <f ca="1">_xll.IMDP("BND",CT390,DD8,CT3)</f>
        <v>입력오류</v>
      </c>
      <c r="DE390" s="2"/>
      <c r="DO390" s="21" t="str">
        <f ca="1">_xll.IMDP("BND",DF390,DO8,DF3)</f>
        <v>입력오류</v>
      </c>
      <c r="DP390" s="23" t="str">
        <f ca="1">_xll.IMDP("BND",DF390,DP8,DF3)</f>
        <v>입력오류</v>
      </c>
      <c r="DQ390" s="2"/>
      <c r="EA390" s="21" t="str">
        <f ca="1">_xll.IMDP("BND",DR390,EA8,DR3)</f>
        <v>입력오류</v>
      </c>
      <c r="EB390" s="23" t="str">
        <f ca="1">_xll.IMDP("BND",DR390,EB8,DR3)</f>
        <v>입력오류</v>
      </c>
    </row>
    <row r="391" spans="1:132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"/>
      <c r="W391" s="21" t="str">
        <f ca="1">_xll.IMDP("BND",N391,W8,N3)</f>
        <v>입력오류</v>
      </c>
      <c r="X391" s="23" t="str">
        <f ca="1">_xll.IMDP("BND",N391,X8,N3)</f>
        <v>입력오류</v>
      </c>
      <c r="Y391" s="2"/>
      <c r="AI391" s="21" t="str">
        <f ca="1">_xll.IMDP("BND",Z391,AI8,Z3)</f>
        <v>입력오류</v>
      </c>
      <c r="AJ391" s="23" t="str">
        <f ca="1">_xll.IMDP("BND",Z391,AJ8,Z3)</f>
        <v>입력오류</v>
      </c>
      <c r="AK391" s="2"/>
      <c r="AU391" s="21" t="str">
        <f ca="1">_xll.IMDP("BND",AL391,AU8,AL3)</f>
        <v>입력오류</v>
      </c>
      <c r="AV391" s="23" t="str">
        <f ca="1">_xll.IMDP("BND",AL391,AV8,AL3)</f>
        <v>입력오류</v>
      </c>
      <c r="AW391" s="2"/>
      <c r="BG391" s="21" t="str">
        <f ca="1">_xll.IMDP("BND",AX391,BG8,AX3)</f>
        <v>입력오류</v>
      </c>
      <c r="BH391" s="23" t="str">
        <f ca="1">_xll.IMDP("BND",AX391,BH8,AX3)</f>
        <v>입력오류</v>
      </c>
      <c r="BI391" s="2"/>
      <c r="BS391" s="21" t="str">
        <f ca="1">_xll.IMDP("BND",BJ391,BS8,BJ3)</f>
        <v>입력오류</v>
      </c>
      <c r="BT391" s="23" t="str">
        <f ca="1">_xll.IMDP("BND",BJ391,BT8,BJ3)</f>
        <v>입력오류</v>
      </c>
      <c r="BU391" s="2"/>
      <c r="CE391" s="21" t="str">
        <f ca="1">_xll.IMDP("BND",BV391,CE8,BV3)</f>
        <v>입력오류</v>
      </c>
      <c r="CF391" s="23" t="str">
        <f ca="1">_xll.IMDP("BND",BV391,CF8,BV3)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"/>
      <c r="DC391" s="21" t="str">
        <f ca="1">_xll.IMDP("BND",CT391,DC8,CT3)</f>
        <v>입력오류</v>
      </c>
      <c r="DD391" s="23" t="str">
        <f ca="1">_xll.IMDP("BND",CT391,DD8,CT3)</f>
        <v>입력오류</v>
      </c>
      <c r="DE391" s="2"/>
      <c r="DO391" s="21" t="str">
        <f ca="1">_xll.IMDP("BND",DF391,DO8,DF3)</f>
        <v>입력오류</v>
      </c>
      <c r="DP391" s="23" t="str">
        <f ca="1">_xll.IMDP("BND",DF391,DP8,DF3)</f>
        <v>입력오류</v>
      </c>
      <c r="DQ391" s="2"/>
      <c r="EA391" s="21" t="str">
        <f ca="1">_xll.IMDP("BND",DR391,EA8,DR3)</f>
        <v>입력오류</v>
      </c>
      <c r="EB391" s="23" t="str">
        <f ca="1">_xll.IMDP("BND",DR391,EB8,DR3)</f>
        <v>입력오류</v>
      </c>
    </row>
    <row r="392" spans="1:132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"/>
      <c r="W392" s="21" t="str">
        <f ca="1">_xll.IMDP("BND",N392,W8,N3)</f>
        <v>입력오류</v>
      </c>
      <c r="X392" s="23" t="str">
        <f ca="1">_xll.IMDP("BND",N392,X8,N3)</f>
        <v>입력오류</v>
      </c>
      <c r="Y392" s="2"/>
      <c r="AI392" s="21" t="str">
        <f ca="1">_xll.IMDP("BND",Z392,AI8,Z3)</f>
        <v>입력오류</v>
      </c>
      <c r="AJ392" s="23" t="str">
        <f ca="1">_xll.IMDP("BND",Z392,AJ8,Z3)</f>
        <v>입력오류</v>
      </c>
      <c r="AK392" s="2"/>
      <c r="AU392" s="21" t="str">
        <f ca="1">_xll.IMDP("BND",AL392,AU8,AL3)</f>
        <v>입력오류</v>
      </c>
      <c r="AV392" s="23" t="str">
        <f ca="1">_xll.IMDP("BND",AL392,AV8,AL3)</f>
        <v>입력오류</v>
      </c>
      <c r="AW392" s="2"/>
      <c r="BG392" s="21" t="str">
        <f ca="1">_xll.IMDP("BND",AX392,BG8,AX3)</f>
        <v>입력오류</v>
      </c>
      <c r="BH392" s="23" t="str">
        <f ca="1">_xll.IMDP("BND",AX392,BH8,AX3)</f>
        <v>입력오류</v>
      </c>
      <c r="BI392" s="2"/>
      <c r="BS392" s="21" t="str">
        <f ca="1">_xll.IMDP("BND",BJ392,BS8,BJ3)</f>
        <v>입력오류</v>
      </c>
      <c r="BT392" s="23" t="str">
        <f ca="1">_xll.IMDP("BND",BJ392,BT8,BJ3)</f>
        <v>입력오류</v>
      </c>
      <c r="BU392" s="2"/>
      <c r="CE392" s="21" t="str">
        <f ca="1">_xll.IMDP("BND",BV392,CE8,BV3)</f>
        <v>입력오류</v>
      </c>
      <c r="CF392" s="23" t="str">
        <f ca="1">_xll.IMDP("BND",BV392,CF8,BV3)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"/>
      <c r="DC392" s="21" t="str">
        <f ca="1">_xll.IMDP("BND",CT392,DC8,CT3)</f>
        <v>입력오류</v>
      </c>
      <c r="DD392" s="23" t="str">
        <f ca="1">_xll.IMDP("BND",CT392,DD8,CT3)</f>
        <v>입력오류</v>
      </c>
      <c r="DE392" s="2"/>
      <c r="DO392" s="21" t="str">
        <f ca="1">_xll.IMDP("BND",DF392,DO8,DF3)</f>
        <v>입력오류</v>
      </c>
      <c r="DP392" s="23" t="str">
        <f ca="1">_xll.IMDP("BND",DF392,DP8,DF3)</f>
        <v>입력오류</v>
      </c>
      <c r="DQ392" s="2"/>
      <c r="EA392" s="21" t="str">
        <f ca="1">_xll.IMDP("BND",DR392,EA8,DR3)</f>
        <v>입력오류</v>
      </c>
      <c r="EB392" s="23" t="str">
        <f ca="1">_xll.IMDP("BND",DR392,EB8,DR3)</f>
        <v>입력오류</v>
      </c>
    </row>
    <row r="393" spans="1:132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"/>
      <c r="W393" s="21" t="str">
        <f ca="1">_xll.IMDP("BND",N393,W8,N3)</f>
        <v>입력오류</v>
      </c>
      <c r="X393" s="23" t="str">
        <f ca="1">_xll.IMDP("BND",N393,X8,N3)</f>
        <v>입력오류</v>
      </c>
      <c r="Y393" s="2"/>
      <c r="AI393" s="21" t="str">
        <f ca="1">_xll.IMDP("BND",Z393,AI8,Z3)</f>
        <v>입력오류</v>
      </c>
      <c r="AJ393" s="23" t="str">
        <f ca="1">_xll.IMDP("BND",Z393,AJ8,Z3)</f>
        <v>입력오류</v>
      </c>
      <c r="AK393" s="2"/>
      <c r="AU393" s="21" t="str">
        <f ca="1">_xll.IMDP("BND",AL393,AU8,AL3)</f>
        <v>입력오류</v>
      </c>
      <c r="AV393" s="23" t="str">
        <f ca="1">_xll.IMDP("BND",AL393,AV8,AL3)</f>
        <v>입력오류</v>
      </c>
      <c r="AW393" s="2"/>
      <c r="BG393" s="21" t="str">
        <f ca="1">_xll.IMDP("BND",AX393,BG8,AX3)</f>
        <v>입력오류</v>
      </c>
      <c r="BH393" s="23" t="str">
        <f ca="1">_xll.IMDP("BND",AX393,BH8,AX3)</f>
        <v>입력오류</v>
      </c>
      <c r="BI393" s="2"/>
      <c r="BS393" s="21" t="str">
        <f ca="1">_xll.IMDP("BND",BJ393,BS8,BJ3)</f>
        <v>입력오류</v>
      </c>
      <c r="BT393" s="23" t="str">
        <f ca="1">_xll.IMDP("BND",BJ393,BT8,BJ3)</f>
        <v>입력오류</v>
      </c>
      <c r="BU393" s="2"/>
      <c r="CE393" s="21" t="str">
        <f ca="1">_xll.IMDP("BND",BV393,CE8,BV3)</f>
        <v>입력오류</v>
      </c>
      <c r="CF393" s="23" t="str">
        <f ca="1">_xll.IMDP("BND",BV393,CF8,BV3)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"/>
      <c r="DC393" s="21" t="str">
        <f ca="1">_xll.IMDP("BND",CT393,DC8,CT3)</f>
        <v>입력오류</v>
      </c>
      <c r="DD393" s="23" t="str">
        <f ca="1">_xll.IMDP("BND",CT393,DD8,CT3)</f>
        <v>입력오류</v>
      </c>
      <c r="DE393" s="2"/>
      <c r="DO393" s="21" t="str">
        <f ca="1">_xll.IMDP("BND",DF393,DO8,DF3)</f>
        <v>입력오류</v>
      </c>
      <c r="DP393" s="23" t="str">
        <f ca="1">_xll.IMDP("BND",DF393,DP8,DF3)</f>
        <v>입력오류</v>
      </c>
      <c r="DQ393" s="2"/>
      <c r="EA393" s="21" t="str">
        <f ca="1">_xll.IMDP("BND",DR393,EA8,DR3)</f>
        <v>입력오류</v>
      </c>
      <c r="EB393" s="23" t="str">
        <f ca="1">_xll.IMDP("BND",DR393,EB8,DR3)</f>
        <v>입력오류</v>
      </c>
    </row>
    <row r="394" spans="1:132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"/>
      <c r="W394" s="21" t="str">
        <f ca="1">_xll.IMDP("BND",N394,W8,N3)</f>
        <v>입력오류</v>
      </c>
      <c r="X394" s="23" t="str">
        <f ca="1">_xll.IMDP("BND",N394,X8,N3)</f>
        <v>입력오류</v>
      </c>
      <c r="Y394" s="2"/>
      <c r="AI394" s="21" t="str">
        <f ca="1">_xll.IMDP("BND",Z394,AI8,Z3)</f>
        <v>입력오류</v>
      </c>
      <c r="AJ394" s="23" t="str">
        <f ca="1">_xll.IMDP("BND",Z394,AJ8,Z3)</f>
        <v>입력오류</v>
      </c>
      <c r="AK394" s="2"/>
      <c r="AU394" s="21" t="str">
        <f ca="1">_xll.IMDP("BND",AL394,AU8,AL3)</f>
        <v>입력오류</v>
      </c>
      <c r="AV394" s="23" t="str">
        <f ca="1">_xll.IMDP("BND",AL394,AV8,AL3)</f>
        <v>입력오류</v>
      </c>
      <c r="AW394" s="2"/>
      <c r="BG394" s="21" t="str">
        <f ca="1">_xll.IMDP("BND",AX394,BG8,AX3)</f>
        <v>입력오류</v>
      </c>
      <c r="BH394" s="23" t="str">
        <f ca="1">_xll.IMDP("BND",AX394,BH8,AX3)</f>
        <v>입력오류</v>
      </c>
      <c r="BI394" s="2"/>
      <c r="BS394" s="21" t="str">
        <f ca="1">_xll.IMDP("BND",BJ394,BS8,BJ3)</f>
        <v>입력오류</v>
      </c>
      <c r="BT394" s="23" t="str">
        <f ca="1">_xll.IMDP("BND",BJ394,BT8,BJ3)</f>
        <v>입력오류</v>
      </c>
      <c r="BU394" s="2"/>
      <c r="CE394" s="21" t="str">
        <f ca="1">_xll.IMDP("BND",BV394,CE8,BV3)</f>
        <v>입력오류</v>
      </c>
      <c r="CF394" s="23" t="str">
        <f ca="1">_xll.IMDP("BND",BV394,CF8,BV3)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"/>
      <c r="DC394" s="21" t="str">
        <f ca="1">_xll.IMDP("BND",CT394,DC8,CT3)</f>
        <v>입력오류</v>
      </c>
      <c r="DD394" s="23" t="str">
        <f ca="1">_xll.IMDP("BND",CT394,DD8,CT3)</f>
        <v>입력오류</v>
      </c>
      <c r="DE394" s="2"/>
      <c r="DO394" s="21" t="str">
        <f ca="1">_xll.IMDP("BND",DF394,DO8,DF3)</f>
        <v>입력오류</v>
      </c>
      <c r="DP394" s="23" t="str">
        <f ca="1">_xll.IMDP("BND",DF394,DP8,DF3)</f>
        <v>입력오류</v>
      </c>
      <c r="DQ394" s="2"/>
      <c r="EA394" s="21" t="str">
        <f ca="1">_xll.IMDP("BND",DR394,EA8,DR3)</f>
        <v>입력오류</v>
      </c>
      <c r="EB394" s="23" t="str">
        <f ca="1">_xll.IMDP("BND",DR394,EB8,DR3)</f>
        <v>입력오류</v>
      </c>
    </row>
    <row r="395" spans="1:132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"/>
      <c r="W395" s="21" t="str">
        <f ca="1">_xll.IMDP("BND",N395,W8,N3)</f>
        <v>입력오류</v>
      </c>
      <c r="X395" s="23" t="str">
        <f ca="1">_xll.IMDP("BND",N395,X8,N3)</f>
        <v>입력오류</v>
      </c>
      <c r="Y395" s="2"/>
      <c r="AI395" s="21" t="str">
        <f ca="1">_xll.IMDP("BND",Z395,AI8,Z3)</f>
        <v>입력오류</v>
      </c>
      <c r="AJ395" s="23" t="str">
        <f ca="1">_xll.IMDP("BND",Z395,AJ8,Z3)</f>
        <v>입력오류</v>
      </c>
      <c r="AK395" s="2"/>
      <c r="AU395" s="21" t="str">
        <f ca="1">_xll.IMDP("BND",AL395,AU8,AL3)</f>
        <v>입력오류</v>
      </c>
      <c r="AV395" s="23" t="str">
        <f ca="1">_xll.IMDP("BND",AL395,AV8,AL3)</f>
        <v>입력오류</v>
      </c>
      <c r="AW395" s="2"/>
      <c r="BG395" s="21" t="str">
        <f ca="1">_xll.IMDP("BND",AX395,BG8,AX3)</f>
        <v>입력오류</v>
      </c>
      <c r="BH395" s="23" t="str">
        <f ca="1">_xll.IMDP("BND",AX395,BH8,AX3)</f>
        <v>입력오류</v>
      </c>
      <c r="BI395" s="2"/>
      <c r="BS395" s="21" t="str">
        <f ca="1">_xll.IMDP("BND",BJ395,BS8,BJ3)</f>
        <v>입력오류</v>
      </c>
      <c r="BT395" s="23" t="str">
        <f ca="1">_xll.IMDP("BND",BJ395,BT8,BJ3)</f>
        <v>입력오류</v>
      </c>
      <c r="BU395" s="2"/>
      <c r="CE395" s="21" t="str">
        <f ca="1">_xll.IMDP("BND",BV395,CE8,BV3)</f>
        <v>입력오류</v>
      </c>
      <c r="CF395" s="23" t="str">
        <f ca="1">_xll.IMDP("BND",BV395,CF8,BV3)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"/>
      <c r="DC395" s="21" t="str">
        <f ca="1">_xll.IMDP("BND",CT395,DC8,CT3)</f>
        <v>입력오류</v>
      </c>
      <c r="DD395" s="23" t="str">
        <f ca="1">_xll.IMDP("BND",CT395,DD8,CT3)</f>
        <v>입력오류</v>
      </c>
      <c r="DE395" s="2"/>
      <c r="DO395" s="21" t="str">
        <f ca="1">_xll.IMDP("BND",DF395,DO8,DF3)</f>
        <v>입력오류</v>
      </c>
      <c r="DP395" s="23" t="str">
        <f ca="1">_xll.IMDP("BND",DF395,DP8,DF3)</f>
        <v>입력오류</v>
      </c>
      <c r="DQ395" s="2"/>
      <c r="EA395" s="21" t="str">
        <f ca="1">_xll.IMDP("BND",DR395,EA8,DR3)</f>
        <v>입력오류</v>
      </c>
      <c r="EB395" s="23" t="str">
        <f ca="1">_xll.IMDP("BND",DR395,EB8,DR3)</f>
        <v>입력오류</v>
      </c>
    </row>
    <row r="396" spans="1:132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"/>
      <c r="W396" s="21" t="str">
        <f ca="1">_xll.IMDP("BND",N396,W8,N3)</f>
        <v>입력오류</v>
      </c>
      <c r="X396" s="23" t="str">
        <f ca="1">_xll.IMDP("BND",N396,X8,N3)</f>
        <v>입력오류</v>
      </c>
      <c r="Y396" s="2"/>
      <c r="AI396" s="21" t="str">
        <f ca="1">_xll.IMDP("BND",Z396,AI8,Z3)</f>
        <v>입력오류</v>
      </c>
      <c r="AJ396" s="23" t="str">
        <f ca="1">_xll.IMDP("BND",Z396,AJ8,Z3)</f>
        <v>입력오류</v>
      </c>
      <c r="AK396" s="2"/>
      <c r="AU396" s="21" t="str">
        <f ca="1">_xll.IMDP("BND",AL396,AU8,AL3)</f>
        <v>입력오류</v>
      </c>
      <c r="AV396" s="23" t="str">
        <f ca="1">_xll.IMDP("BND",AL396,AV8,AL3)</f>
        <v>입력오류</v>
      </c>
      <c r="AW396" s="2"/>
      <c r="BG396" s="21" t="str">
        <f ca="1">_xll.IMDP("BND",AX396,BG8,AX3)</f>
        <v>입력오류</v>
      </c>
      <c r="BH396" s="23" t="str">
        <f ca="1">_xll.IMDP("BND",AX396,BH8,AX3)</f>
        <v>입력오류</v>
      </c>
      <c r="BI396" s="2"/>
      <c r="BS396" s="21" t="str">
        <f ca="1">_xll.IMDP("BND",BJ396,BS8,BJ3)</f>
        <v>입력오류</v>
      </c>
      <c r="BT396" s="23" t="str">
        <f ca="1">_xll.IMDP("BND",BJ396,BT8,BJ3)</f>
        <v>입력오류</v>
      </c>
      <c r="BU396" s="2"/>
      <c r="CE396" s="21" t="str">
        <f ca="1">_xll.IMDP("BND",BV396,CE8,BV3)</f>
        <v>입력오류</v>
      </c>
      <c r="CF396" s="23" t="str">
        <f ca="1">_xll.IMDP("BND",BV396,CF8,BV3)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"/>
      <c r="DC396" s="21" t="str">
        <f ca="1">_xll.IMDP("BND",CT396,DC8,CT3)</f>
        <v>입력오류</v>
      </c>
      <c r="DD396" s="23" t="str">
        <f ca="1">_xll.IMDP("BND",CT396,DD8,CT3)</f>
        <v>입력오류</v>
      </c>
      <c r="DE396" s="2"/>
      <c r="DO396" s="21" t="str">
        <f ca="1">_xll.IMDP("BND",DF396,DO8,DF3)</f>
        <v>입력오류</v>
      </c>
      <c r="DP396" s="23" t="str">
        <f ca="1">_xll.IMDP("BND",DF396,DP8,DF3)</f>
        <v>입력오류</v>
      </c>
      <c r="DQ396" s="2"/>
      <c r="EA396" s="21" t="str">
        <f ca="1">_xll.IMDP("BND",DR396,EA8,DR3)</f>
        <v>입력오류</v>
      </c>
      <c r="EB396" s="23" t="str">
        <f ca="1">_xll.IMDP("BND",DR396,EB8,DR3)</f>
        <v>입력오류</v>
      </c>
    </row>
    <row r="397" spans="1:132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"/>
      <c r="W397" s="21" t="str">
        <f ca="1">_xll.IMDP("BND",N397,W8,N3)</f>
        <v>입력오류</v>
      </c>
      <c r="X397" s="23" t="str">
        <f ca="1">_xll.IMDP("BND",N397,X8,N3)</f>
        <v>입력오류</v>
      </c>
      <c r="Y397" s="2"/>
      <c r="AI397" s="21" t="str">
        <f ca="1">_xll.IMDP("BND",Z397,AI8,Z3)</f>
        <v>입력오류</v>
      </c>
      <c r="AJ397" s="23" t="str">
        <f ca="1">_xll.IMDP("BND",Z397,AJ8,Z3)</f>
        <v>입력오류</v>
      </c>
      <c r="AK397" s="2"/>
      <c r="AU397" s="21" t="str">
        <f ca="1">_xll.IMDP("BND",AL397,AU8,AL3)</f>
        <v>입력오류</v>
      </c>
      <c r="AV397" s="23" t="str">
        <f ca="1">_xll.IMDP("BND",AL397,AV8,AL3)</f>
        <v>입력오류</v>
      </c>
      <c r="AW397" s="2"/>
      <c r="BG397" s="21" t="str">
        <f ca="1">_xll.IMDP("BND",AX397,BG8,AX3)</f>
        <v>입력오류</v>
      </c>
      <c r="BH397" s="23" t="str">
        <f ca="1">_xll.IMDP("BND",AX397,BH8,AX3)</f>
        <v>입력오류</v>
      </c>
      <c r="BI397" s="2"/>
      <c r="BS397" s="21" t="str">
        <f ca="1">_xll.IMDP("BND",BJ397,BS8,BJ3)</f>
        <v>입력오류</v>
      </c>
      <c r="BT397" s="23" t="str">
        <f ca="1">_xll.IMDP("BND",BJ397,BT8,BJ3)</f>
        <v>입력오류</v>
      </c>
      <c r="BU397" s="2"/>
      <c r="CE397" s="21" t="str">
        <f ca="1">_xll.IMDP("BND",BV397,CE8,BV3)</f>
        <v>입력오류</v>
      </c>
      <c r="CF397" s="23" t="str">
        <f ca="1">_xll.IMDP("BND",BV397,CF8,BV3)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"/>
      <c r="DC397" s="21" t="str">
        <f ca="1">_xll.IMDP("BND",CT397,DC8,CT3)</f>
        <v>입력오류</v>
      </c>
      <c r="DD397" s="23" t="str">
        <f ca="1">_xll.IMDP("BND",CT397,DD8,CT3)</f>
        <v>입력오류</v>
      </c>
      <c r="DE397" s="2"/>
      <c r="DO397" s="21" t="str">
        <f ca="1">_xll.IMDP("BND",DF397,DO8,DF3)</f>
        <v>입력오류</v>
      </c>
      <c r="DP397" s="23" t="str">
        <f ca="1">_xll.IMDP("BND",DF397,DP8,DF3)</f>
        <v>입력오류</v>
      </c>
      <c r="DQ397" s="2"/>
      <c r="EA397" s="21" t="str">
        <f ca="1">_xll.IMDP("BND",DR397,EA8,DR3)</f>
        <v>입력오류</v>
      </c>
      <c r="EB397" s="23" t="str">
        <f ca="1">_xll.IMDP("BND",DR397,EB8,DR3)</f>
        <v>입력오류</v>
      </c>
    </row>
    <row r="398" spans="1:132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"/>
      <c r="W398" s="21" t="str">
        <f ca="1">_xll.IMDP("BND",N398,W8,N3)</f>
        <v>입력오류</v>
      </c>
      <c r="X398" s="23" t="str">
        <f ca="1">_xll.IMDP("BND",N398,X8,N3)</f>
        <v>입력오류</v>
      </c>
      <c r="Y398" s="2"/>
      <c r="AI398" s="21" t="str">
        <f ca="1">_xll.IMDP("BND",Z398,AI8,Z3)</f>
        <v>입력오류</v>
      </c>
      <c r="AJ398" s="23" t="str">
        <f ca="1">_xll.IMDP("BND",Z398,AJ8,Z3)</f>
        <v>입력오류</v>
      </c>
      <c r="AK398" s="2"/>
      <c r="AU398" s="21" t="str">
        <f ca="1">_xll.IMDP("BND",AL398,AU8,AL3)</f>
        <v>입력오류</v>
      </c>
      <c r="AV398" s="23" t="str">
        <f ca="1">_xll.IMDP("BND",AL398,AV8,AL3)</f>
        <v>입력오류</v>
      </c>
      <c r="AW398" s="2"/>
      <c r="BG398" s="21" t="str">
        <f ca="1">_xll.IMDP("BND",AX398,BG8,AX3)</f>
        <v>입력오류</v>
      </c>
      <c r="BH398" s="23" t="str">
        <f ca="1">_xll.IMDP("BND",AX398,BH8,AX3)</f>
        <v>입력오류</v>
      </c>
      <c r="BI398" s="2"/>
      <c r="BS398" s="21" t="str">
        <f ca="1">_xll.IMDP("BND",BJ398,BS8,BJ3)</f>
        <v>입력오류</v>
      </c>
      <c r="BT398" s="23" t="str">
        <f ca="1">_xll.IMDP("BND",BJ398,BT8,BJ3)</f>
        <v>입력오류</v>
      </c>
      <c r="BU398" s="2"/>
      <c r="CE398" s="21" t="str">
        <f ca="1">_xll.IMDP("BND",BV398,CE8,BV3)</f>
        <v>입력오류</v>
      </c>
      <c r="CF398" s="23" t="str">
        <f ca="1">_xll.IMDP("BND",BV398,CF8,BV3)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"/>
      <c r="DC398" s="21" t="str">
        <f ca="1">_xll.IMDP("BND",CT398,DC8,CT3)</f>
        <v>입력오류</v>
      </c>
      <c r="DD398" s="23" t="str">
        <f ca="1">_xll.IMDP("BND",CT398,DD8,CT3)</f>
        <v>입력오류</v>
      </c>
      <c r="DE398" s="2"/>
      <c r="DO398" s="21" t="str">
        <f ca="1">_xll.IMDP("BND",DF398,DO8,DF3)</f>
        <v>입력오류</v>
      </c>
      <c r="DP398" s="23" t="str">
        <f ca="1">_xll.IMDP("BND",DF398,DP8,DF3)</f>
        <v>입력오류</v>
      </c>
      <c r="DQ398" s="2"/>
      <c r="EA398" s="21" t="str">
        <f ca="1">_xll.IMDP("BND",DR398,EA8,DR3)</f>
        <v>입력오류</v>
      </c>
      <c r="EB398" s="23" t="str">
        <f ca="1">_xll.IMDP("BND",DR398,EB8,DR3)</f>
        <v>입력오류</v>
      </c>
    </row>
    <row r="399" spans="1:132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"/>
      <c r="W399" s="21" t="str">
        <f ca="1">_xll.IMDP("BND",N399,W8,N3)</f>
        <v>입력오류</v>
      </c>
      <c r="X399" s="23" t="str">
        <f ca="1">_xll.IMDP("BND",N399,X8,N3)</f>
        <v>입력오류</v>
      </c>
      <c r="Y399" s="2"/>
      <c r="AI399" s="21" t="str">
        <f ca="1">_xll.IMDP("BND",Z399,AI8,Z3)</f>
        <v>입력오류</v>
      </c>
      <c r="AJ399" s="23" t="str">
        <f ca="1">_xll.IMDP("BND",Z399,AJ8,Z3)</f>
        <v>입력오류</v>
      </c>
      <c r="AK399" s="2"/>
      <c r="AU399" s="21" t="str">
        <f ca="1">_xll.IMDP("BND",AL399,AU8,AL3)</f>
        <v>입력오류</v>
      </c>
      <c r="AV399" s="23" t="str">
        <f ca="1">_xll.IMDP("BND",AL399,AV8,AL3)</f>
        <v>입력오류</v>
      </c>
      <c r="AW399" s="2"/>
      <c r="BG399" s="21" t="str">
        <f ca="1">_xll.IMDP("BND",AX399,BG8,AX3)</f>
        <v>입력오류</v>
      </c>
      <c r="BH399" s="23" t="str">
        <f ca="1">_xll.IMDP("BND",AX399,BH8,AX3)</f>
        <v>입력오류</v>
      </c>
      <c r="BI399" s="2"/>
      <c r="BS399" s="21" t="str">
        <f ca="1">_xll.IMDP("BND",BJ399,BS8,BJ3)</f>
        <v>입력오류</v>
      </c>
      <c r="BT399" s="23" t="str">
        <f ca="1">_xll.IMDP("BND",BJ399,BT8,BJ3)</f>
        <v>입력오류</v>
      </c>
      <c r="BU399" s="2"/>
      <c r="CE399" s="21" t="str">
        <f ca="1">_xll.IMDP("BND",BV399,CE8,BV3)</f>
        <v>입력오류</v>
      </c>
      <c r="CF399" s="23" t="str">
        <f ca="1">_xll.IMDP("BND",BV399,CF8,BV3)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"/>
      <c r="DC399" s="21" t="str">
        <f ca="1">_xll.IMDP("BND",CT399,DC8,CT3)</f>
        <v>입력오류</v>
      </c>
      <c r="DD399" s="23" t="str">
        <f ca="1">_xll.IMDP("BND",CT399,DD8,CT3)</f>
        <v>입력오류</v>
      </c>
      <c r="DE399" s="2"/>
      <c r="DO399" s="21" t="str">
        <f ca="1">_xll.IMDP("BND",DF399,DO8,DF3)</f>
        <v>입력오류</v>
      </c>
      <c r="DP399" s="23" t="str">
        <f ca="1">_xll.IMDP("BND",DF399,DP8,DF3)</f>
        <v>입력오류</v>
      </c>
      <c r="DQ399" s="2"/>
      <c r="EA399" s="21" t="str">
        <f ca="1">_xll.IMDP("BND",DR399,EA8,DR3)</f>
        <v>입력오류</v>
      </c>
      <c r="EB399" s="23" t="str">
        <f ca="1">_xll.IMDP("BND",DR399,EB8,DR3)</f>
        <v>입력오류</v>
      </c>
    </row>
    <row r="400" spans="1:132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"/>
      <c r="W400" s="21" t="str">
        <f ca="1">_xll.IMDP("BND",N400,W8,N3)</f>
        <v>입력오류</v>
      </c>
      <c r="X400" s="23" t="str">
        <f ca="1">_xll.IMDP("BND",N400,X8,N3)</f>
        <v>입력오류</v>
      </c>
      <c r="Y400" s="2"/>
      <c r="AI400" s="21" t="str">
        <f ca="1">_xll.IMDP("BND",Z400,AI8,Z3)</f>
        <v>입력오류</v>
      </c>
      <c r="AJ400" s="23" t="str">
        <f ca="1">_xll.IMDP("BND",Z400,AJ8,Z3)</f>
        <v>입력오류</v>
      </c>
      <c r="AK400" s="2"/>
      <c r="AU400" s="21" t="str">
        <f ca="1">_xll.IMDP("BND",AL400,AU8,AL3)</f>
        <v>입력오류</v>
      </c>
      <c r="AV400" s="23" t="str">
        <f ca="1">_xll.IMDP("BND",AL400,AV8,AL3)</f>
        <v>입력오류</v>
      </c>
      <c r="AW400" s="2"/>
      <c r="BG400" s="21" t="str">
        <f ca="1">_xll.IMDP("BND",AX400,BG8,AX3)</f>
        <v>입력오류</v>
      </c>
      <c r="BH400" s="23" t="str">
        <f ca="1">_xll.IMDP("BND",AX400,BH8,AX3)</f>
        <v>입력오류</v>
      </c>
      <c r="BI400" s="2"/>
      <c r="BS400" s="21" t="str">
        <f ca="1">_xll.IMDP("BND",BJ400,BS8,BJ3)</f>
        <v>입력오류</v>
      </c>
      <c r="BT400" s="23" t="str">
        <f ca="1">_xll.IMDP("BND",BJ400,BT8,BJ3)</f>
        <v>입력오류</v>
      </c>
      <c r="BU400" s="2"/>
      <c r="CE400" s="21" t="str">
        <f ca="1">_xll.IMDP("BND",BV400,CE8,BV3)</f>
        <v>입력오류</v>
      </c>
      <c r="CF400" s="23" t="str">
        <f ca="1">_xll.IMDP("BND",BV400,CF8,BV3)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"/>
      <c r="DC400" s="21" t="str">
        <f ca="1">_xll.IMDP("BND",CT400,DC8,CT3)</f>
        <v>입력오류</v>
      </c>
      <c r="DD400" s="23" t="str">
        <f ca="1">_xll.IMDP("BND",CT400,DD8,CT3)</f>
        <v>입력오류</v>
      </c>
      <c r="DE400" s="2"/>
      <c r="DO400" s="21" t="str">
        <f ca="1">_xll.IMDP("BND",DF400,DO8,DF3)</f>
        <v>입력오류</v>
      </c>
      <c r="DP400" s="23" t="str">
        <f ca="1">_xll.IMDP("BND",DF400,DP8,DF3)</f>
        <v>입력오류</v>
      </c>
      <c r="DQ400" s="2"/>
      <c r="EA400" s="21" t="str">
        <f ca="1">_xll.IMDP("BND",DR400,EA8,DR3)</f>
        <v>입력오류</v>
      </c>
      <c r="EB400" s="23" t="str">
        <f ca="1">_xll.IMDP("BND",DR400,EB8,DR3)</f>
        <v>입력오류</v>
      </c>
    </row>
    <row r="401" spans="1:132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"/>
      <c r="W401" s="21" t="str">
        <f ca="1">_xll.IMDP("BND",N401,W8,N3)</f>
        <v>입력오류</v>
      </c>
      <c r="X401" s="23" t="str">
        <f ca="1">_xll.IMDP("BND",N401,X8,N3)</f>
        <v>입력오류</v>
      </c>
      <c r="Y401" s="2"/>
      <c r="AI401" s="21" t="str">
        <f ca="1">_xll.IMDP("BND",Z401,AI8,Z3)</f>
        <v>입력오류</v>
      </c>
      <c r="AJ401" s="23" t="str">
        <f ca="1">_xll.IMDP("BND",Z401,AJ8,Z3)</f>
        <v>입력오류</v>
      </c>
      <c r="AK401" s="2"/>
      <c r="AU401" s="21" t="str">
        <f ca="1">_xll.IMDP("BND",AL401,AU8,AL3)</f>
        <v>입력오류</v>
      </c>
      <c r="AV401" s="23" t="str">
        <f ca="1">_xll.IMDP("BND",AL401,AV8,AL3)</f>
        <v>입력오류</v>
      </c>
      <c r="AW401" s="2"/>
      <c r="BG401" s="21" t="str">
        <f ca="1">_xll.IMDP("BND",AX401,BG8,AX3)</f>
        <v>입력오류</v>
      </c>
      <c r="BH401" s="23" t="str">
        <f ca="1">_xll.IMDP("BND",AX401,BH8,AX3)</f>
        <v>입력오류</v>
      </c>
      <c r="BI401" s="2"/>
      <c r="BS401" s="21" t="str">
        <f ca="1">_xll.IMDP("BND",BJ401,BS8,BJ3)</f>
        <v>입력오류</v>
      </c>
      <c r="BT401" s="23" t="str">
        <f ca="1">_xll.IMDP("BND",BJ401,BT8,BJ3)</f>
        <v>입력오류</v>
      </c>
      <c r="BU401" s="2"/>
      <c r="CE401" s="21" t="str">
        <f ca="1">_xll.IMDP("BND",BV401,CE8,BV3)</f>
        <v>입력오류</v>
      </c>
      <c r="CF401" s="23" t="str">
        <f ca="1">_xll.IMDP("BND",BV401,CF8,BV3)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"/>
      <c r="DC401" s="21" t="str">
        <f ca="1">_xll.IMDP("BND",CT401,DC8,CT3)</f>
        <v>입력오류</v>
      </c>
      <c r="DD401" s="23" t="str">
        <f ca="1">_xll.IMDP("BND",CT401,DD8,CT3)</f>
        <v>입력오류</v>
      </c>
      <c r="DE401" s="2"/>
      <c r="DO401" s="21" t="str">
        <f ca="1">_xll.IMDP("BND",DF401,DO8,DF3)</f>
        <v>입력오류</v>
      </c>
      <c r="DP401" s="23" t="str">
        <f ca="1">_xll.IMDP("BND",DF401,DP8,DF3)</f>
        <v>입력오류</v>
      </c>
      <c r="DQ401" s="2"/>
      <c r="EA401" s="21" t="str">
        <f ca="1">_xll.IMDP("BND",DR401,EA8,DR3)</f>
        <v>입력오류</v>
      </c>
      <c r="EB401" s="23" t="str">
        <f ca="1">_xll.IMDP("BND",DR401,EB8,DR3)</f>
        <v>입력오류</v>
      </c>
    </row>
    <row r="402" spans="1:132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"/>
      <c r="W402" s="21" t="str">
        <f ca="1">_xll.IMDP("BND",N402,W8,N3)</f>
        <v>입력오류</v>
      </c>
      <c r="X402" s="23" t="str">
        <f ca="1">_xll.IMDP("BND",N402,X8,N3)</f>
        <v>입력오류</v>
      </c>
      <c r="Y402" s="2"/>
      <c r="AI402" s="21" t="str">
        <f ca="1">_xll.IMDP("BND",Z402,AI8,Z3)</f>
        <v>입력오류</v>
      </c>
      <c r="AJ402" s="23" t="str">
        <f ca="1">_xll.IMDP("BND",Z402,AJ8,Z3)</f>
        <v>입력오류</v>
      </c>
      <c r="AK402" s="2"/>
      <c r="AU402" s="21" t="str">
        <f ca="1">_xll.IMDP("BND",AL402,AU8,AL3)</f>
        <v>입력오류</v>
      </c>
      <c r="AV402" s="23" t="str">
        <f ca="1">_xll.IMDP("BND",AL402,AV8,AL3)</f>
        <v>입력오류</v>
      </c>
      <c r="AW402" s="2"/>
      <c r="BG402" s="21" t="str">
        <f ca="1">_xll.IMDP("BND",AX402,BG8,AX3)</f>
        <v>입력오류</v>
      </c>
      <c r="BH402" s="23" t="str">
        <f ca="1">_xll.IMDP("BND",AX402,BH8,AX3)</f>
        <v>입력오류</v>
      </c>
      <c r="BI402" s="2"/>
      <c r="BS402" s="21" t="str">
        <f ca="1">_xll.IMDP("BND",BJ402,BS8,BJ3)</f>
        <v>입력오류</v>
      </c>
      <c r="BT402" s="23" t="str">
        <f ca="1">_xll.IMDP("BND",BJ402,BT8,BJ3)</f>
        <v>입력오류</v>
      </c>
      <c r="BU402" s="2"/>
      <c r="CE402" s="21" t="str">
        <f ca="1">_xll.IMDP("BND",BV402,CE8,BV3)</f>
        <v>입력오류</v>
      </c>
      <c r="CF402" s="23" t="str">
        <f ca="1">_xll.IMDP("BND",BV402,CF8,BV3)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"/>
      <c r="DC402" s="21" t="str">
        <f ca="1">_xll.IMDP("BND",CT402,DC8,CT3)</f>
        <v>입력오류</v>
      </c>
      <c r="DD402" s="23" t="str">
        <f ca="1">_xll.IMDP("BND",CT402,DD8,CT3)</f>
        <v>입력오류</v>
      </c>
      <c r="DE402" s="2"/>
      <c r="DO402" s="21" t="str">
        <f ca="1">_xll.IMDP("BND",DF402,DO8,DF3)</f>
        <v>입력오류</v>
      </c>
      <c r="DP402" s="23" t="str">
        <f ca="1">_xll.IMDP("BND",DF402,DP8,DF3)</f>
        <v>입력오류</v>
      </c>
      <c r="DQ402" s="2"/>
      <c r="EA402" s="21" t="str">
        <f ca="1">_xll.IMDP("BND",DR402,EA8,DR3)</f>
        <v>입력오류</v>
      </c>
      <c r="EB402" s="23" t="str">
        <f ca="1">_xll.IMDP("BND",DR402,EB8,DR3)</f>
        <v>입력오류</v>
      </c>
    </row>
    <row r="403" spans="1:132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"/>
      <c r="W403" s="21" t="str">
        <f ca="1">_xll.IMDP("BND",N403,W8,N3)</f>
        <v>입력오류</v>
      </c>
      <c r="X403" s="23" t="str">
        <f ca="1">_xll.IMDP("BND",N403,X8,N3)</f>
        <v>입력오류</v>
      </c>
      <c r="Y403" s="2"/>
      <c r="AI403" s="21" t="str">
        <f ca="1">_xll.IMDP("BND",Z403,AI8,Z3)</f>
        <v>입력오류</v>
      </c>
      <c r="AJ403" s="23" t="str">
        <f ca="1">_xll.IMDP("BND",Z403,AJ8,Z3)</f>
        <v>입력오류</v>
      </c>
      <c r="AK403" s="2"/>
      <c r="AU403" s="21" t="str">
        <f ca="1">_xll.IMDP("BND",AL403,AU8,AL3)</f>
        <v>입력오류</v>
      </c>
      <c r="AV403" s="23" t="str">
        <f ca="1">_xll.IMDP("BND",AL403,AV8,AL3)</f>
        <v>입력오류</v>
      </c>
      <c r="AW403" s="2"/>
      <c r="BG403" s="21" t="str">
        <f ca="1">_xll.IMDP("BND",AX403,BG8,AX3)</f>
        <v>입력오류</v>
      </c>
      <c r="BH403" s="23" t="str">
        <f ca="1">_xll.IMDP("BND",AX403,BH8,AX3)</f>
        <v>입력오류</v>
      </c>
      <c r="BI403" s="2"/>
      <c r="BS403" s="21" t="str">
        <f ca="1">_xll.IMDP("BND",BJ403,BS8,BJ3)</f>
        <v>입력오류</v>
      </c>
      <c r="BT403" s="23" t="str">
        <f ca="1">_xll.IMDP("BND",BJ403,BT8,BJ3)</f>
        <v>입력오류</v>
      </c>
      <c r="BU403" s="2"/>
      <c r="CE403" s="21" t="str">
        <f ca="1">_xll.IMDP("BND",BV403,CE8,BV3)</f>
        <v>입력오류</v>
      </c>
      <c r="CF403" s="23" t="str">
        <f ca="1">_xll.IMDP("BND",BV403,CF8,BV3)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"/>
      <c r="DC403" s="21" t="str">
        <f ca="1">_xll.IMDP("BND",CT403,DC8,CT3)</f>
        <v>입력오류</v>
      </c>
      <c r="DD403" s="23" t="str">
        <f ca="1">_xll.IMDP("BND",CT403,DD8,CT3)</f>
        <v>입력오류</v>
      </c>
      <c r="DE403" s="2"/>
      <c r="DO403" s="21" t="str">
        <f ca="1">_xll.IMDP("BND",DF403,DO8,DF3)</f>
        <v>입력오류</v>
      </c>
      <c r="DP403" s="23" t="str">
        <f ca="1">_xll.IMDP("BND",DF403,DP8,DF3)</f>
        <v>입력오류</v>
      </c>
      <c r="DQ403" s="2"/>
      <c r="EA403" s="21" t="str">
        <f ca="1">_xll.IMDP("BND",DR403,EA8,DR3)</f>
        <v>입력오류</v>
      </c>
      <c r="EB403" s="23" t="str">
        <f ca="1">_xll.IMDP("BND",DR403,EB8,DR3)</f>
        <v>입력오류</v>
      </c>
    </row>
    <row r="404" spans="1:132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"/>
      <c r="W404" s="21" t="str">
        <f ca="1">_xll.IMDP("BND",N404,W8,N3)</f>
        <v>입력오류</v>
      </c>
      <c r="X404" s="23" t="str">
        <f ca="1">_xll.IMDP("BND",N404,X8,N3)</f>
        <v>입력오류</v>
      </c>
      <c r="Y404" s="2"/>
      <c r="AI404" s="21" t="str">
        <f ca="1">_xll.IMDP("BND",Z404,AI8,Z3)</f>
        <v>입력오류</v>
      </c>
      <c r="AJ404" s="23" t="str">
        <f ca="1">_xll.IMDP("BND",Z404,AJ8,Z3)</f>
        <v>입력오류</v>
      </c>
      <c r="AK404" s="2"/>
      <c r="AU404" s="21" t="str">
        <f ca="1">_xll.IMDP("BND",AL404,AU8,AL3)</f>
        <v>입력오류</v>
      </c>
      <c r="AV404" s="23" t="str">
        <f ca="1">_xll.IMDP("BND",AL404,AV8,AL3)</f>
        <v>입력오류</v>
      </c>
      <c r="AW404" s="2"/>
      <c r="BG404" s="21" t="str">
        <f ca="1">_xll.IMDP("BND",AX404,BG8,AX3)</f>
        <v>입력오류</v>
      </c>
      <c r="BH404" s="23" t="str">
        <f ca="1">_xll.IMDP("BND",AX404,BH8,AX3)</f>
        <v>입력오류</v>
      </c>
      <c r="BI404" s="2"/>
      <c r="BS404" s="21" t="str">
        <f ca="1">_xll.IMDP("BND",BJ404,BS8,BJ3)</f>
        <v>입력오류</v>
      </c>
      <c r="BT404" s="23" t="str">
        <f ca="1">_xll.IMDP("BND",BJ404,BT8,BJ3)</f>
        <v>입력오류</v>
      </c>
      <c r="BU404" s="2"/>
      <c r="CE404" s="21" t="str">
        <f ca="1">_xll.IMDP("BND",BV404,CE8,BV3)</f>
        <v>입력오류</v>
      </c>
      <c r="CF404" s="23" t="str">
        <f ca="1">_xll.IMDP("BND",BV404,CF8,BV3)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"/>
      <c r="DC404" s="21" t="str">
        <f ca="1">_xll.IMDP("BND",CT404,DC8,CT3)</f>
        <v>입력오류</v>
      </c>
      <c r="DD404" s="23" t="str">
        <f ca="1">_xll.IMDP("BND",CT404,DD8,CT3)</f>
        <v>입력오류</v>
      </c>
      <c r="DE404" s="2"/>
      <c r="DO404" s="21" t="str">
        <f ca="1">_xll.IMDP("BND",DF404,DO8,DF3)</f>
        <v>입력오류</v>
      </c>
      <c r="DP404" s="23" t="str">
        <f ca="1">_xll.IMDP("BND",DF404,DP8,DF3)</f>
        <v>입력오류</v>
      </c>
      <c r="DQ404" s="2"/>
      <c r="EA404" s="21" t="str">
        <f ca="1">_xll.IMDP("BND",DR404,EA8,DR3)</f>
        <v>입력오류</v>
      </c>
      <c r="EB404" s="23" t="str">
        <f ca="1">_xll.IMDP("BND",DR404,EB8,DR3)</f>
        <v>입력오류</v>
      </c>
    </row>
    <row r="405" spans="1:132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"/>
      <c r="W405" s="21" t="str">
        <f ca="1">_xll.IMDP("BND",N405,W8,N3)</f>
        <v>입력오류</v>
      </c>
      <c r="X405" s="23" t="str">
        <f ca="1">_xll.IMDP("BND",N405,X8,N3)</f>
        <v>입력오류</v>
      </c>
      <c r="Y405" s="2"/>
      <c r="AI405" s="21" t="str">
        <f ca="1">_xll.IMDP("BND",Z405,AI8,Z3)</f>
        <v>입력오류</v>
      </c>
      <c r="AJ405" s="23" t="str">
        <f ca="1">_xll.IMDP("BND",Z405,AJ8,Z3)</f>
        <v>입력오류</v>
      </c>
      <c r="AK405" s="2"/>
      <c r="AU405" s="21" t="str">
        <f ca="1">_xll.IMDP("BND",AL405,AU8,AL3)</f>
        <v>입력오류</v>
      </c>
      <c r="AV405" s="23" t="str">
        <f ca="1">_xll.IMDP("BND",AL405,AV8,AL3)</f>
        <v>입력오류</v>
      </c>
      <c r="AW405" s="2"/>
      <c r="BG405" s="21" t="str">
        <f ca="1">_xll.IMDP("BND",AX405,BG8,AX3)</f>
        <v>입력오류</v>
      </c>
      <c r="BH405" s="23" t="str">
        <f ca="1">_xll.IMDP("BND",AX405,BH8,AX3)</f>
        <v>입력오류</v>
      </c>
      <c r="BI405" s="2"/>
      <c r="BS405" s="21" t="str">
        <f ca="1">_xll.IMDP("BND",BJ405,BS8,BJ3)</f>
        <v>입력오류</v>
      </c>
      <c r="BT405" s="23" t="str">
        <f ca="1">_xll.IMDP("BND",BJ405,BT8,BJ3)</f>
        <v>입력오류</v>
      </c>
      <c r="BU405" s="2"/>
      <c r="CE405" s="21" t="str">
        <f ca="1">_xll.IMDP("BND",BV405,CE8,BV3)</f>
        <v>입력오류</v>
      </c>
      <c r="CF405" s="23" t="str">
        <f ca="1">_xll.IMDP("BND",BV405,CF8,BV3)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"/>
      <c r="DC405" s="21" t="str">
        <f ca="1">_xll.IMDP("BND",CT405,DC8,CT3)</f>
        <v>입력오류</v>
      </c>
      <c r="DD405" s="23" t="str">
        <f ca="1">_xll.IMDP("BND",CT405,DD8,CT3)</f>
        <v>입력오류</v>
      </c>
      <c r="DE405" s="2"/>
      <c r="DO405" s="21" t="str">
        <f ca="1">_xll.IMDP("BND",DF405,DO8,DF3)</f>
        <v>입력오류</v>
      </c>
      <c r="DP405" s="23" t="str">
        <f ca="1">_xll.IMDP("BND",DF405,DP8,DF3)</f>
        <v>입력오류</v>
      </c>
      <c r="DQ405" s="2"/>
      <c r="EA405" s="21" t="str">
        <f ca="1">_xll.IMDP("BND",DR405,EA8,DR3)</f>
        <v>입력오류</v>
      </c>
      <c r="EB405" s="23" t="str">
        <f ca="1">_xll.IMDP("BND",DR405,EB8,DR3)</f>
        <v>입력오류</v>
      </c>
    </row>
    <row r="406" spans="1:132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"/>
      <c r="W406" s="21" t="str">
        <f ca="1">_xll.IMDP("BND",N406,W8,N3)</f>
        <v>입력오류</v>
      </c>
      <c r="X406" s="23" t="str">
        <f ca="1">_xll.IMDP("BND",N406,X8,N3)</f>
        <v>입력오류</v>
      </c>
      <c r="Y406" s="2"/>
      <c r="AI406" s="21" t="str">
        <f ca="1">_xll.IMDP("BND",Z406,AI8,Z3)</f>
        <v>입력오류</v>
      </c>
      <c r="AJ406" s="23" t="str">
        <f ca="1">_xll.IMDP("BND",Z406,AJ8,Z3)</f>
        <v>입력오류</v>
      </c>
      <c r="AK406" s="2"/>
      <c r="AU406" s="21" t="str">
        <f ca="1">_xll.IMDP("BND",AL406,AU8,AL3)</f>
        <v>입력오류</v>
      </c>
      <c r="AV406" s="23" t="str">
        <f ca="1">_xll.IMDP("BND",AL406,AV8,AL3)</f>
        <v>입력오류</v>
      </c>
      <c r="AW406" s="2"/>
      <c r="BG406" s="21" t="str">
        <f ca="1">_xll.IMDP("BND",AX406,BG8,AX3)</f>
        <v>입력오류</v>
      </c>
      <c r="BH406" s="23" t="str">
        <f ca="1">_xll.IMDP("BND",AX406,BH8,AX3)</f>
        <v>입력오류</v>
      </c>
      <c r="BI406" s="2"/>
      <c r="BS406" s="21" t="str">
        <f ca="1">_xll.IMDP("BND",BJ406,BS8,BJ3)</f>
        <v>입력오류</v>
      </c>
      <c r="BT406" s="23" t="str">
        <f ca="1">_xll.IMDP("BND",BJ406,BT8,BJ3)</f>
        <v>입력오류</v>
      </c>
      <c r="BU406" s="2"/>
      <c r="CE406" s="21" t="str">
        <f ca="1">_xll.IMDP("BND",BV406,CE8,BV3)</f>
        <v>입력오류</v>
      </c>
      <c r="CF406" s="23" t="str">
        <f ca="1">_xll.IMDP("BND",BV406,CF8,BV3)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"/>
      <c r="DC406" s="21" t="str">
        <f ca="1">_xll.IMDP("BND",CT406,DC8,CT3)</f>
        <v>입력오류</v>
      </c>
      <c r="DD406" s="23" t="str">
        <f ca="1">_xll.IMDP("BND",CT406,DD8,CT3)</f>
        <v>입력오류</v>
      </c>
      <c r="DE406" s="2"/>
      <c r="DO406" s="21" t="str">
        <f ca="1">_xll.IMDP("BND",DF406,DO8,DF3)</f>
        <v>입력오류</v>
      </c>
      <c r="DP406" s="23" t="str">
        <f ca="1">_xll.IMDP("BND",DF406,DP8,DF3)</f>
        <v>입력오류</v>
      </c>
      <c r="DQ406" s="2"/>
      <c r="EA406" s="21" t="str">
        <f ca="1">_xll.IMDP("BND",DR406,EA8,DR3)</f>
        <v>입력오류</v>
      </c>
      <c r="EB406" s="23" t="str">
        <f ca="1">_xll.IMDP("BND",DR406,EB8,DR3)</f>
        <v>입력오류</v>
      </c>
    </row>
    <row r="407" spans="1:132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"/>
      <c r="W407" s="21" t="str">
        <f ca="1">_xll.IMDP("BND",N407,W8,N3)</f>
        <v>입력오류</v>
      </c>
      <c r="X407" s="23" t="str">
        <f ca="1">_xll.IMDP("BND",N407,X8,N3)</f>
        <v>입력오류</v>
      </c>
      <c r="Y407" s="2"/>
      <c r="AI407" s="21" t="str">
        <f ca="1">_xll.IMDP("BND",Z407,AI8,Z3)</f>
        <v>입력오류</v>
      </c>
      <c r="AJ407" s="23" t="str">
        <f ca="1">_xll.IMDP("BND",Z407,AJ8,Z3)</f>
        <v>입력오류</v>
      </c>
      <c r="AK407" s="2"/>
      <c r="AU407" s="21" t="str">
        <f ca="1">_xll.IMDP("BND",AL407,AU8,AL3)</f>
        <v>입력오류</v>
      </c>
      <c r="AV407" s="23" t="str">
        <f ca="1">_xll.IMDP("BND",AL407,AV8,AL3)</f>
        <v>입력오류</v>
      </c>
      <c r="AW407" s="2"/>
      <c r="BG407" s="21" t="str">
        <f ca="1">_xll.IMDP("BND",AX407,BG8,AX3)</f>
        <v>입력오류</v>
      </c>
      <c r="BH407" s="23" t="str">
        <f ca="1">_xll.IMDP("BND",AX407,BH8,AX3)</f>
        <v>입력오류</v>
      </c>
      <c r="BI407" s="2"/>
      <c r="BS407" s="21" t="str">
        <f ca="1">_xll.IMDP("BND",BJ407,BS8,BJ3)</f>
        <v>입력오류</v>
      </c>
      <c r="BT407" s="23" t="str">
        <f ca="1">_xll.IMDP("BND",BJ407,BT8,BJ3)</f>
        <v>입력오류</v>
      </c>
      <c r="BU407" s="2"/>
      <c r="CE407" s="21" t="str">
        <f ca="1">_xll.IMDP("BND",BV407,CE8,BV3)</f>
        <v>입력오류</v>
      </c>
      <c r="CF407" s="23" t="str">
        <f ca="1">_xll.IMDP("BND",BV407,CF8,BV3)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"/>
      <c r="DC407" s="21" t="str">
        <f ca="1">_xll.IMDP("BND",CT407,DC8,CT3)</f>
        <v>입력오류</v>
      </c>
      <c r="DD407" s="23" t="str">
        <f ca="1">_xll.IMDP("BND",CT407,DD8,CT3)</f>
        <v>입력오류</v>
      </c>
      <c r="DE407" s="2"/>
      <c r="DO407" s="21" t="str">
        <f ca="1">_xll.IMDP("BND",DF407,DO8,DF3)</f>
        <v>입력오류</v>
      </c>
      <c r="DP407" s="23" t="str">
        <f ca="1">_xll.IMDP("BND",DF407,DP8,DF3)</f>
        <v>입력오류</v>
      </c>
      <c r="DQ407" s="2"/>
      <c r="EA407" s="21" t="str">
        <f ca="1">_xll.IMDP("BND",DR407,EA8,DR3)</f>
        <v>입력오류</v>
      </c>
      <c r="EB407" s="23" t="str">
        <f ca="1">_xll.IMDP("BND",DR407,EB8,DR3)</f>
        <v>입력오류</v>
      </c>
    </row>
    <row r="408" spans="1:132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"/>
      <c r="W408" s="21" t="str">
        <f ca="1">_xll.IMDP("BND",N408,W8,N3)</f>
        <v>입력오류</v>
      </c>
      <c r="X408" s="23" t="str">
        <f ca="1">_xll.IMDP("BND",N408,X8,N3)</f>
        <v>입력오류</v>
      </c>
      <c r="Y408" s="2"/>
      <c r="AI408" s="21" t="str">
        <f ca="1">_xll.IMDP("BND",Z408,AI8,Z3)</f>
        <v>입력오류</v>
      </c>
      <c r="AJ408" s="23" t="str">
        <f ca="1">_xll.IMDP("BND",Z408,AJ8,Z3)</f>
        <v>입력오류</v>
      </c>
      <c r="AK408" s="2"/>
      <c r="AU408" s="21" t="str">
        <f ca="1">_xll.IMDP("BND",AL408,AU8,AL3)</f>
        <v>입력오류</v>
      </c>
      <c r="AV408" s="23" t="str">
        <f ca="1">_xll.IMDP("BND",AL408,AV8,AL3)</f>
        <v>입력오류</v>
      </c>
      <c r="AW408" s="2"/>
      <c r="BG408" s="21" t="str">
        <f ca="1">_xll.IMDP("BND",AX408,BG8,AX3)</f>
        <v>입력오류</v>
      </c>
      <c r="BH408" s="23" t="str">
        <f ca="1">_xll.IMDP("BND",AX408,BH8,AX3)</f>
        <v>입력오류</v>
      </c>
      <c r="BI408" s="2"/>
      <c r="BS408" s="21" t="str">
        <f ca="1">_xll.IMDP("BND",BJ408,BS8,BJ3)</f>
        <v>입력오류</v>
      </c>
      <c r="BT408" s="23" t="str">
        <f ca="1">_xll.IMDP("BND",BJ408,BT8,BJ3)</f>
        <v>입력오류</v>
      </c>
      <c r="BU408" s="2"/>
      <c r="CE408" s="21" t="str">
        <f ca="1">_xll.IMDP("BND",BV408,CE8,BV3)</f>
        <v>입력오류</v>
      </c>
      <c r="CF408" s="23" t="str">
        <f ca="1">_xll.IMDP("BND",BV408,CF8,BV3)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"/>
      <c r="DC408" s="21" t="str">
        <f ca="1">_xll.IMDP("BND",CT408,DC8,CT3)</f>
        <v>입력오류</v>
      </c>
      <c r="DD408" s="23" t="str">
        <f ca="1">_xll.IMDP("BND",CT408,DD8,CT3)</f>
        <v>입력오류</v>
      </c>
      <c r="DE408" s="2"/>
      <c r="DO408" s="21" t="str">
        <f ca="1">_xll.IMDP("BND",DF408,DO8,DF3)</f>
        <v>입력오류</v>
      </c>
      <c r="DP408" s="23" t="str">
        <f ca="1">_xll.IMDP("BND",DF408,DP8,DF3)</f>
        <v>입력오류</v>
      </c>
      <c r="DQ408" s="2"/>
      <c r="EA408" s="21" t="str">
        <f ca="1">_xll.IMDP("BND",DR408,EA8,DR3)</f>
        <v>입력오류</v>
      </c>
      <c r="EB408" s="23" t="str">
        <f ca="1">_xll.IMDP("BND",DR408,EB8,DR3)</f>
        <v>입력오류</v>
      </c>
    </row>
    <row r="409" spans="1:132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"/>
      <c r="W409" s="21" t="str">
        <f ca="1">_xll.IMDP("BND",N409,W8,N3)</f>
        <v>입력오류</v>
      </c>
      <c r="X409" s="23" t="str">
        <f ca="1">_xll.IMDP("BND",N409,X8,N3)</f>
        <v>입력오류</v>
      </c>
      <c r="Y409" s="2"/>
      <c r="AI409" s="21" t="str">
        <f ca="1">_xll.IMDP("BND",Z409,AI8,Z3)</f>
        <v>입력오류</v>
      </c>
      <c r="AJ409" s="23" t="str">
        <f ca="1">_xll.IMDP("BND",Z409,AJ8,Z3)</f>
        <v>입력오류</v>
      </c>
      <c r="AK409" s="2"/>
      <c r="AU409" s="21" t="str">
        <f ca="1">_xll.IMDP("BND",AL409,AU8,AL3)</f>
        <v>입력오류</v>
      </c>
      <c r="AV409" s="23" t="str">
        <f ca="1">_xll.IMDP("BND",AL409,AV8,AL3)</f>
        <v>입력오류</v>
      </c>
      <c r="AW409" s="2"/>
      <c r="BG409" s="21" t="str">
        <f ca="1">_xll.IMDP("BND",AX409,BG8,AX3)</f>
        <v>입력오류</v>
      </c>
      <c r="BH409" s="23" t="str">
        <f ca="1">_xll.IMDP("BND",AX409,BH8,AX3)</f>
        <v>입력오류</v>
      </c>
      <c r="BI409" s="2"/>
      <c r="BS409" s="21" t="str">
        <f ca="1">_xll.IMDP("BND",BJ409,BS8,BJ3)</f>
        <v>입력오류</v>
      </c>
      <c r="BT409" s="23" t="str">
        <f ca="1">_xll.IMDP("BND",BJ409,BT8,BJ3)</f>
        <v>입력오류</v>
      </c>
      <c r="BU409" s="2"/>
      <c r="CE409" s="21" t="str">
        <f ca="1">_xll.IMDP("BND",BV409,CE8,BV3)</f>
        <v>입력오류</v>
      </c>
      <c r="CF409" s="23" t="str">
        <f ca="1">_xll.IMDP("BND",BV409,CF8,BV3)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"/>
      <c r="DC409" s="21" t="str">
        <f ca="1">_xll.IMDP("BND",CT409,DC8,CT3)</f>
        <v>입력오류</v>
      </c>
      <c r="DD409" s="23" t="str">
        <f ca="1">_xll.IMDP("BND",CT409,DD8,CT3)</f>
        <v>입력오류</v>
      </c>
      <c r="DE409" s="2"/>
      <c r="DO409" s="21" t="str">
        <f ca="1">_xll.IMDP("BND",DF409,DO8,DF3)</f>
        <v>입력오류</v>
      </c>
      <c r="DP409" s="23" t="str">
        <f ca="1">_xll.IMDP("BND",DF409,DP8,DF3)</f>
        <v>입력오류</v>
      </c>
      <c r="DQ409" s="2"/>
      <c r="EA409" s="21" t="str">
        <f ca="1">_xll.IMDP("BND",DR409,EA8,DR3)</f>
        <v>입력오류</v>
      </c>
      <c r="EB409" s="23" t="str">
        <f ca="1">_xll.IMDP("BND",DR409,EB8,DR3)</f>
        <v>입력오류</v>
      </c>
    </row>
    <row r="410" spans="1:132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"/>
      <c r="W410" s="21" t="str">
        <f ca="1">_xll.IMDP("BND",N410,W8,N3)</f>
        <v>입력오류</v>
      </c>
      <c r="X410" s="23" t="str">
        <f ca="1">_xll.IMDP("BND",N410,X8,N3)</f>
        <v>입력오류</v>
      </c>
      <c r="Y410" s="2"/>
      <c r="AI410" s="21" t="str">
        <f ca="1">_xll.IMDP("BND",Z410,AI8,Z3)</f>
        <v>입력오류</v>
      </c>
      <c r="AJ410" s="23" t="str">
        <f ca="1">_xll.IMDP("BND",Z410,AJ8,Z3)</f>
        <v>입력오류</v>
      </c>
      <c r="AK410" s="2"/>
      <c r="AU410" s="21" t="str">
        <f ca="1">_xll.IMDP("BND",AL410,AU8,AL3)</f>
        <v>입력오류</v>
      </c>
      <c r="AV410" s="23" t="str">
        <f ca="1">_xll.IMDP("BND",AL410,AV8,AL3)</f>
        <v>입력오류</v>
      </c>
      <c r="AW410" s="2"/>
      <c r="BG410" s="21" t="str">
        <f ca="1">_xll.IMDP("BND",AX410,BG8,AX3)</f>
        <v>입력오류</v>
      </c>
      <c r="BH410" s="23" t="str">
        <f ca="1">_xll.IMDP("BND",AX410,BH8,AX3)</f>
        <v>입력오류</v>
      </c>
      <c r="BI410" s="2"/>
      <c r="BS410" s="21" t="str">
        <f ca="1">_xll.IMDP("BND",BJ410,BS8,BJ3)</f>
        <v>입력오류</v>
      </c>
      <c r="BT410" s="23" t="str">
        <f ca="1">_xll.IMDP("BND",BJ410,BT8,BJ3)</f>
        <v>입력오류</v>
      </c>
      <c r="BU410" s="2"/>
      <c r="CE410" s="21" t="str">
        <f ca="1">_xll.IMDP("BND",BV410,CE8,BV3)</f>
        <v>입력오류</v>
      </c>
      <c r="CF410" s="23" t="str">
        <f ca="1">_xll.IMDP("BND",BV410,CF8,BV3)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"/>
      <c r="DC410" s="21" t="str">
        <f ca="1">_xll.IMDP("BND",CT410,DC8,CT3)</f>
        <v>입력오류</v>
      </c>
      <c r="DD410" s="23" t="str">
        <f ca="1">_xll.IMDP("BND",CT410,DD8,CT3)</f>
        <v>입력오류</v>
      </c>
      <c r="DE410" s="2"/>
      <c r="DO410" s="21" t="str">
        <f ca="1">_xll.IMDP("BND",DF410,DO8,DF3)</f>
        <v>입력오류</v>
      </c>
      <c r="DP410" s="23" t="str">
        <f ca="1">_xll.IMDP("BND",DF410,DP8,DF3)</f>
        <v>입력오류</v>
      </c>
      <c r="DQ410" s="2"/>
      <c r="EA410" s="21" t="str">
        <f ca="1">_xll.IMDP("BND",DR410,EA8,DR3)</f>
        <v>입력오류</v>
      </c>
      <c r="EB410" s="23" t="str">
        <f ca="1">_xll.IMDP("BND",DR410,EB8,DR3)</f>
        <v>입력오류</v>
      </c>
    </row>
    <row r="411" spans="1:132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"/>
      <c r="W411" s="21" t="str">
        <f ca="1">_xll.IMDP("BND",N411,W8,N3)</f>
        <v>입력오류</v>
      </c>
      <c r="X411" s="23" t="str">
        <f ca="1">_xll.IMDP("BND",N411,X8,N3)</f>
        <v>입력오류</v>
      </c>
      <c r="Y411" s="2"/>
      <c r="AI411" s="21" t="str">
        <f ca="1">_xll.IMDP("BND",Z411,AI8,Z3)</f>
        <v>입력오류</v>
      </c>
      <c r="AJ411" s="23" t="str">
        <f ca="1">_xll.IMDP("BND",Z411,AJ8,Z3)</f>
        <v>입력오류</v>
      </c>
      <c r="AK411" s="2"/>
      <c r="AU411" s="21" t="str">
        <f ca="1">_xll.IMDP("BND",AL411,AU8,AL3)</f>
        <v>입력오류</v>
      </c>
      <c r="AV411" s="23" t="str">
        <f ca="1">_xll.IMDP("BND",AL411,AV8,AL3)</f>
        <v>입력오류</v>
      </c>
      <c r="AW411" s="2"/>
      <c r="BG411" s="21" t="str">
        <f ca="1">_xll.IMDP("BND",AX411,BG8,AX3)</f>
        <v>입력오류</v>
      </c>
      <c r="BH411" s="23" t="str">
        <f ca="1">_xll.IMDP("BND",AX411,BH8,AX3)</f>
        <v>입력오류</v>
      </c>
      <c r="BI411" s="2"/>
      <c r="BS411" s="21" t="str">
        <f ca="1">_xll.IMDP("BND",BJ411,BS8,BJ3)</f>
        <v>입력오류</v>
      </c>
      <c r="BT411" s="23" t="str">
        <f ca="1">_xll.IMDP("BND",BJ411,BT8,BJ3)</f>
        <v>입력오류</v>
      </c>
      <c r="BU411" s="2"/>
      <c r="CE411" s="21" t="str">
        <f ca="1">_xll.IMDP("BND",BV411,CE8,BV3)</f>
        <v>입력오류</v>
      </c>
      <c r="CF411" s="23" t="str">
        <f ca="1">_xll.IMDP("BND",BV411,CF8,BV3)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"/>
      <c r="DC411" s="21" t="str">
        <f ca="1">_xll.IMDP("BND",CT411,DC8,CT3)</f>
        <v>입력오류</v>
      </c>
      <c r="DD411" s="23" t="str">
        <f ca="1">_xll.IMDP("BND",CT411,DD8,CT3)</f>
        <v>입력오류</v>
      </c>
      <c r="DE411" s="2"/>
      <c r="DO411" s="21" t="str">
        <f ca="1">_xll.IMDP("BND",DF411,DO8,DF3)</f>
        <v>입력오류</v>
      </c>
      <c r="DP411" s="23" t="str">
        <f ca="1">_xll.IMDP("BND",DF411,DP8,DF3)</f>
        <v>입력오류</v>
      </c>
      <c r="DQ411" s="2"/>
      <c r="EA411" s="21" t="str">
        <f ca="1">_xll.IMDP("BND",DR411,EA8,DR3)</f>
        <v>입력오류</v>
      </c>
      <c r="EB411" s="23" t="str">
        <f ca="1">_xll.IMDP("BND",DR411,EB8,DR3)</f>
        <v>입력오류</v>
      </c>
    </row>
    <row r="412" spans="1:132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"/>
      <c r="W412" s="21" t="str">
        <f ca="1">_xll.IMDP("BND",N412,W8,N3)</f>
        <v>입력오류</v>
      </c>
      <c r="X412" s="23" t="str">
        <f ca="1">_xll.IMDP("BND",N412,X8,N3)</f>
        <v>입력오류</v>
      </c>
      <c r="Y412" s="2"/>
      <c r="AI412" s="21" t="str">
        <f ca="1">_xll.IMDP("BND",Z412,AI8,Z3)</f>
        <v>입력오류</v>
      </c>
      <c r="AJ412" s="23" t="str">
        <f ca="1">_xll.IMDP("BND",Z412,AJ8,Z3)</f>
        <v>입력오류</v>
      </c>
      <c r="AK412" s="2"/>
      <c r="AU412" s="21" t="str">
        <f ca="1">_xll.IMDP("BND",AL412,AU8,AL3)</f>
        <v>입력오류</v>
      </c>
      <c r="AV412" s="23" t="str">
        <f ca="1">_xll.IMDP("BND",AL412,AV8,AL3)</f>
        <v>입력오류</v>
      </c>
      <c r="AW412" s="2"/>
      <c r="BG412" s="21" t="str">
        <f ca="1">_xll.IMDP("BND",AX412,BG8,AX3)</f>
        <v>입력오류</v>
      </c>
      <c r="BH412" s="23" t="str">
        <f ca="1">_xll.IMDP("BND",AX412,BH8,AX3)</f>
        <v>입력오류</v>
      </c>
      <c r="BI412" s="2"/>
      <c r="BS412" s="21" t="str">
        <f ca="1">_xll.IMDP("BND",BJ412,BS8,BJ3)</f>
        <v>입력오류</v>
      </c>
      <c r="BT412" s="23" t="str">
        <f ca="1">_xll.IMDP("BND",BJ412,BT8,BJ3)</f>
        <v>입력오류</v>
      </c>
      <c r="BU412" s="2"/>
      <c r="CE412" s="21" t="str">
        <f ca="1">_xll.IMDP("BND",BV412,CE8,BV3)</f>
        <v>입력오류</v>
      </c>
      <c r="CF412" s="23" t="str">
        <f ca="1">_xll.IMDP("BND",BV412,CF8,BV3)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"/>
      <c r="DC412" s="21" t="str">
        <f ca="1">_xll.IMDP("BND",CT412,DC8,CT3)</f>
        <v>입력오류</v>
      </c>
      <c r="DD412" s="23" t="str">
        <f ca="1">_xll.IMDP("BND",CT412,DD8,CT3)</f>
        <v>입력오류</v>
      </c>
      <c r="DE412" s="2"/>
      <c r="DO412" s="21" t="str">
        <f ca="1">_xll.IMDP("BND",DF412,DO8,DF3)</f>
        <v>입력오류</v>
      </c>
      <c r="DP412" s="23" t="str">
        <f ca="1">_xll.IMDP("BND",DF412,DP8,DF3)</f>
        <v>입력오류</v>
      </c>
      <c r="DQ412" s="2"/>
      <c r="EA412" s="21" t="str">
        <f ca="1">_xll.IMDP("BND",DR412,EA8,DR3)</f>
        <v>입력오류</v>
      </c>
      <c r="EB412" s="23" t="str">
        <f ca="1">_xll.IMDP("BND",DR412,EB8,DR3)</f>
        <v>입력오류</v>
      </c>
    </row>
    <row r="413" spans="1:132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"/>
      <c r="W413" s="21" t="str">
        <f ca="1">_xll.IMDP("BND",N413,W8,N3)</f>
        <v>입력오류</v>
      </c>
      <c r="X413" s="23" t="str">
        <f ca="1">_xll.IMDP("BND",N413,X8,N3)</f>
        <v>입력오류</v>
      </c>
      <c r="Y413" s="2"/>
      <c r="AI413" s="21" t="str">
        <f ca="1">_xll.IMDP("BND",Z413,AI8,Z3)</f>
        <v>입력오류</v>
      </c>
      <c r="AJ413" s="23" t="str">
        <f ca="1">_xll.IMDP("BND",Z413,AJ8,Z3)</f>
        <v>입력오류</v>
      </c>
      <c r="AK413" s="2"/>
      <c r="AU413" s="21" t="str">
        <f ca="1">_xll.IMDP("BND",AL413,AU8,AL3)</f>
        <v>입력오류</v>
      </c>
      <c r="AV413" s="23" t="str">
        <f ca="1">_xll.IMDP("BND",AL413,AV8,AL3)</f>
        <v>입력오류</v>
      </c>
      <c r="AW413" s="2"/>
      <c r="BG413" s="21" t="str">
        <f ca="1">_xll.IMDP("BND",AX413,BG8,AX3)</f>
        <v>입력오류</v>
      </c>
      <c r="BH413" s="23" t="str">
        <f ca="1">_xll.IMDP("BND",AX413,BH8,AX3)</f>
        <v>입력오류</v>
      </c>
      <c r="BI413" s="2"/>
      <c r="BS413" s="21" t="str">
        <f ca="1">_xll.IMDP("BND",BJ413,BS8,BJ3)</f>
        <v>입력오류</v>
      </c>
      <c r="BT413" s="23" t="str">
        <f ca="1">_xll.IMDP("BND",BJ413,BT8,BJ3)</f>
        <v>입력오류</v>
      </c>
      <c r="BU413" s="2"/>
      <c r="CE413" s="21" t="str">
        <f ca="1">_xll.IMDP("BND",BV413,CE8,BV3)</f>
        <v>입력오류</v>
      </c>
      <c r="CF413" s="23" t="str">
        <f ca="1">_xll.IMDP("BND",BV413,CF8,BV3)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"/>
      <c r="DC413" s="21" t="str">
        <f ca="1">_xll.IMDP("BND",CT413,DC8,CT3)</f>
        <v>입력오류</v>
      </c>
      <c r="DD413" s="23" t="str">
        <f ca="1">_xll.IMDP("BND",CT413,DD8,CT3)</f>
        <v>입력오류</v>
      </c>
      <c r="DE413" s="2"/>
      <c r="DO413" s="21" t="str">
        <f ca="1">_xll.IMDP("BND",DF413,DO8,DF3)</f>
        <v>입력오류</v>
      </c>
      <c r="DP413" s="23" t="str">
        <f ca="1">_xll.IMDP("BND",DF413,DP8,DF3)</f>
        <v>입력오류</v>
      </c>
      <c r="DQ413" s="2"/>
      <c r="EA413" s="21" t="str">
        <f ca="1">_xll.IMDP("BND",DR413,EA8,DR3)</f>
        <v>입력오류</v>
      </c>
      <c r="EB413" s="23" t="str">
        <f ca="1">_xll.IMDP("BND",DR413,EB8,DR3)</f>
        <v>입력오류</v>
      </c>
    </row>
    <row r="414" spans="1:132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"/>
      <c r="W414" s="21" t="str">
        <f ca="1">_xll.IMDP("BND",N414,W8,N3)</f>
        <v>입력오류</v>
      </c>
      <c r="X414" s="23" t="str">
        <f ca="1">_xll.IMDP("BND",N414,X8,N3)</f>
        <v>입력오류</v>
      </c>
      <c r="Y414" s="2"/>
      <c r="AI414" s="21" t="str">
        <f ca="1">_xll.IMDP("BND",Z414,AI8,Z3)</f>
        <v>입력오류</v>
      </c>
      <c r="AJ414" s="23" t="str">
        <f ca="1">_xll.IMDP("BND",Z414,AJ8,Z3)</f>
        <v>입력오류</v>
      </c>
      <c r="AK414" s="2"/>
      <c r="AU414" s="21" t="str">
        <f ca="1">_xll.IMDP("BND",AL414,AU8,AL3)</f>
        <v>입력오류</v>
      </c>
      <c r="AV414" s="23" t="str">
        <f ca="1">_xll.IMDP("BND",AL414,AV8,AL3)</f>
        <v>입력오류</v>
      </c>
      <c r="AW414" s="2"/>
      <c r="BG414" s="21" t="str">
        <f ca="1">_xll.IMDP("BND",AX414,BG8,AX3)</f>
        <v>입력오류</v>
      </c>
      <c r="BH414" s="23" t="str">
        <f ca="1">_xll.IMDP("BND",AX414,BH8,AX3)</f>
        <v>입력오류</v>
      </c>
      <c r="BI414" s="2"/>
      <c r="BS414" s="21" t="str">
        <f ca="1">_xll.IMDP("BND",BJ414,BS8,BJ3)</f>
        <v>입력오류</v>
      </c>
      <c r="BT414" s="23" t="str">
        <f ca="1">_xll.IMDP("BND",BJ414,BT8,BJ3)</f>
        <v>입력오류</v>
      </c>
      <c r="BU414" s="2"/>
      <c r="CE414" s="21" t="str">
        <f ca="1">_xll.IMDP("BND",BV414,CE8,BV3)</f>
        <v>입력오류</v>
      </c>
      <c r="CF414" s="23" t="str">
        <f ca="1">_xll.IMDP("BND",BV414,CF8,BV3)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"/>
      <c r="DC414" s="21" t="str">
        <f ca="1">_xll.IMDP("BND",CT414,DC8,CT3)</f>
        <v>입력오류</v>
      </c>
      <c r="DD414" s="23" t="str">
        <f ca="1">_xll.IMDP("BND",CT414,DD8,CT3)</f>
        <v>입력오류</v>
      </c>
      <c r="DE414" s="2"/>
      <c r="DO414" s="21" t="str">
        <f ca="1">_xll.IMDP("BND",DF414,DO8,DF3)</f>
        <v>입력오류</v>
      </c>
      <c r="DP414" s="23" t="str">
        <f ca="1">_xll.IMDP("BND",DF414,DP8,DF3)</f>
        <v>입력오류</v>
      </c>
      <c r="DQ414" s="2"/>
      <c r="EA414" s="21" t="str">
        <f ca="1">_xll.IMDP("BND",DR414,EA8,DR3)</f>
        <v>입력오류</v>
      </c>
      <c r="EB414" s="23" t="str">
        <f ca="1">_xll.IMDP("BND",DR414,EB8,DR3)</f>
        <v>입력오류</v>
      </c>
    </row>
    <row r="415" spans="1:132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"/>
      <c r="W415" s="21" t="str">
        <f ca="1">_xll.IMDP("BND",N415,W8,N3)</f>
        <v>입력오류</v>
      </c>
      <c r="X415" s="23" t="str">
        <f ca="1">_xll.IMDP("BND",N415,X8,N3)</f>
        <v>입력오류</v>
      </c>
      <c r="Y415" s="2"/>
      <c r="AI415" s="21" t="str">
        <f ca="1">_xll.IMDP("BND",Z415,AI8,Z3)</f>
        <v>입력오류</v>
      </c>
      <c r="AJ415" s="23" t="str">
        <f ca="1">_xll.IMDP("BND",Z415,AJ8,Z3)</f>
        <v>입력오류</v>
      </c>
      <c r="AK415" s="2"/>
      <c r="AU415" s="21" t="str">
        <f ca="1">_xll.IMDP("BND",AL415,AU8,AL3)</f>
        <v>입력오류</v>
      </c>
      <c r="AV415" s="23" t="str">
        <f ca="1">_xll.IMDP("BND",AL415,AV8,AL3)</f>
        <v>입력오류</v>
      </c>
      <c r="AW415" s="2"/>
      <c r="BG415" s="21" t="str">
        <f ca="1">_xll.IMDP("BND",AX415,BG8,AX3)</f>
        <v>입력오류</v>
      </c>
      <c r="BH415" s="23" t="str">
        <f ca="1">_xll.IMDP("BND",AX415,BH8,AX3)</f>
        <v>입력오류</v>
      </c>
      <c r="BI415" s="2"/>
      <c r="BS415" s="21" t="str">
        <f ca="1">_xll.IMDP("BND",BJ415,BS8,BJ3)</f>
        <v>입력오류</v>
      </c>
      <c r="BT415" s="23" t="str">
        <f ca="1">_xll.IMDP("BND",BJ415,BT8,BJ3)</f>
        <v>입력오류</v>
      </c>
      <c r="BU415" s="2"/>
      <c r="CE415" s="21" t="str">
        <f ca="1">_xll.IMDP("BND",BV415,CE8,BV3)</f>
        <v>입력오류</v>
      </c>
      <c r="CF415" s="23" t="str">
        <f ca="1">_xll.IMDP("BND",BV415,CF8,BV3)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"/>
      <c r="DC415" s="21" t="str">
        <f ca="1">_xll.IMDP("BND",CT415,DC8,CT3)</f>
        <v>입력오류</v>
      </c>
      <c r="DD415" s="23" t="str">
        <f ca="1">_xll.IMDP("BND",CT415,DD8,CT3)</f>
        <v>입력오류</v>
      </c>
      <c r="DE415" s="2"/>
      <c r="DO415" s="21" t="str">
        <f ca="1">_xll.IMDP("BND",DF415,DO8,DF3)</f>
        <v>입력오류</v>
      </c>
      <c r="DP415" s="23" t="str">
        <f ca="1">_xll.IMDP("BND",DF415,DP8,DF3)</f>
        <v>입력오류</v>
      </c>
      <c r="DQ415" s="2"/>
      <c r="EA415" s="21" t="str">
        <f ca="1">_xll.IMDP("BND",DR415,EA8,DR3)</f>
        <v>입력오류</v>
      </c>
      <c r="EB415" s="23" t="str">
        <f ca="1">_xll.IMDP("BND",DR415,EB8,DR3)</f>
        <v>입력오류</v>
      </c>
    </row>
    <row r="416" spans="1:132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"/>
      <c r="W416" s="21" t="str">
        <f ca="1">_xll.IMDP("BND",N416,W8,N3)</f>
        <v>입력오류</v>
      </c>
      <c r="X416" s="23" t="str">
        <f ca="1">_xll.IMDP("BND",N416,X8,N3)</f>
        <v>입력오류</v>
      </c>
      <c r="Y416" s="2"/>
      <c r="AI416" s="21" t="str">
        <f ca="1">_xll.IMDP("BND",Z416,AI8,Z3)</f>
        <v>입력오류</v>
      </c>
      <c r="AJ416" s="23" t="str">
        <f ca="1">_xll.IMDP("BND",Z416,AJ8,Z3)</f>
        <v>입력오류</v>
      </c>
      <c r="AK416" s="2"/>
      <c r="AU416" s="21" t="str">
        <f ca="1">_xll.IMDP("BND",AL416,AU8,AL3)</f>
        <v>입력오류</v>
      </c>
      <c r="AV416" s="23" t="str">
        <f ca="1">_xll.IMDP("BND",AL416,AV8,AL3)</f>
        <v>입력오류</v>
      </c>
      <c r="AW416" s="2"/>
      <c r="BG416" s="21" t="str">
        <f ca="1">_xll.IMDP("BND",AX416,BG8,AX3)</f>
        <v>입력오류</v>
      </c>
      <c r="BH416" s="23" t="str">
        <f ca="1">_xll.IMDP("BND",AX416,BH8,AX3)</f>
        <v>입력오류</v>
      </c>
      <c r="BI416" s="2"/>
      <c r="BS416" s="21" t="str">
        <f ca="1">_xll.IMDP("BND",BJ416,BS8,BJ3)</f>
        <v>입력오류</v>
      </c>
      <c r="BT416" s="23" t="str">
        <f ca="1">_xll.IMDP("BND",BJ416,BT8,BJ3)</f>
        <v>입력오류</v>
      </c>
      <c r="BU416" s="2"/>
      <c r="CE416" s="21" t="str">
        <f ca="1">_xll.IMDP("BND",BV416,CE8,BV3)</f>
        <v>입력오류</v>
      </c>
      <c r="CF416" s="23" t="str">
        <f ca="1">_xll.IMDP("BND",BV416,CF8,BV3)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"/>
      <c r="DC416" s="21" t="str">
        <f ca="1">_xll.IMDP("BND",CT416,DC8,CT3)</f>
        <v>입력오류</v>
      </c>
      <c r="DD416" s="23" t="str">
        <f ca="1">_xll.IMDP("BND",CT416,DD8,CT3)</f>
        <v>입력오류</v>
      </c>
      <c r="DE416" s="2"/>
      <c r="DO416" s="21" t="str">
        <f ca="1">_xll.IMDP("BND",DF416,DO8,DF3)</f>
        <v>입력오류</v>
      </c>
      <c r="DP416" s="23" t="str">
        <f ca="1">_xll.IMDP("BND",DF416,DP8,DF3)</f>
        <v>입력오류</v>
      </c>
      <c r="DQ416" s="2"/>
      <c r="EA416" s="21" t="str">
        <f ca="1">_xll.IMDP("BND",DR416,EA8,DR3)</f>
        <v>입력오류</v>
      </c>
      <c r="EB416" s="23" t="str">
        <f ca="1">_xll.IMDP("BND",DR416,EB8,DR3)</f>
        <v>입력오류</v>
      </c>
    </row>
    <row r="417" spans="1:132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"/>
      <c r="W417" s="21" t="str">
        <f ca="1">_xll.IMDP("BND",N417,W8,N3)</f>
        <v>입력오류</v>
      </c>
      <c r="X417" s="23" t="str">
        <f ca="1">_xll.IMDP("BND",N417,X8,N3)</f>
        <v>입력오류</v>
      </c>
      <c r="Y417" s="2"/>
      <c r="AI417" s="21" t="str">
        <f ca="1">_xll.IMDP("BND",Z417,AI8,Z3)</f>
        <v>입력오류</v>
      </c>
      <c r="AJ417" s="23" t="str">
        <f ca="1">_xll.IMDP("BND",Z417,AJ8,Z3)</f>
        <v>입력오류</v>
      </c>
      <c r="AK417" s="2"/>
      <c r="AU417" s="21" t="str">
        <f ca="1">_xll.IMDP("BND",AL417,AU8,AL3)</f>
        <v>입력오류</v>
      </c>
      <c r="AV417" s="23" t="str">
        <f ca="1">_xll.IMDP("BND",AL417,AV8,AL3)</f>
        <v>입력오류</v>
      </c>
      <c r="AW417" s="2"/>
      <c r="BG417" s="21" t="str">
        <f ca="1">_xll.IMDP("BND",AX417,BG8,AX3)</f>
        <v>입력오류</v>
      </c>
      <c r="BH417" s="23" t="str">
        <f ca="1">_xll.IMDP("BND",AX417,BH8,AX3)</f>
        <v>입력오류</v>
      </c>
      <c r="BI417" s="2"/>
      <c r="BS417" s="21" t="str">
        <f ca="1">_xll.IMDP("BND",BJ417,BS8,BJ3)</f>
        <v>입력오류</v>
      </c>
      <c r="BT417" s="23" t="str">
        <f ca="1">_xll.IMDP("BND",BJ417,BT8,BJ3)</f>
        <v>입력오류</v>
      </c>
      <c r="BU417" s="2"/>
      <c r="CE417" s="21" t="str">
        <f ca="1">_xll.IMDP("BND",BV417,CE8,BV3)</f>
        <v>입력오류</v>
      </c>
      <c r="CF417" s="23" t="str">
        <f ca="1">_xll.IMDP("BND",BV417,CF8,BV3)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"/>
      <c r="DC417" s="21" t="str">
        <f ca="1">_xll.IMDP("BND",CT417,DC8,CT3)</f>
        <v>입력오류</v>
      </c>
      <c r="DD417" s="23" t="str">
        <f ca="1">_xll.IMDP("BND",CT417,DD8,CT3)</f>
        <v>입력오류</v>
      </c>
      <c r="DE417" s="2"/>
      <c r="DO417" s="21" t="str">
        <f ca="1">_xll.IMDP("BND",DF417,DO8,DF3)</f>
        <v>입력오류</v>
      </c>
      <c r="DP417" s="23" t="str">
        <f ca="1">_xll.IMDP("BND",DF417,DP8,DF3)</f>
        <v>입력오류</v>
      </c>
      <c r="DQ417" s="2"/>
      <c r="EA417" s="21" t="str">
        <f ca="1">_xll.IMDP("BND",DR417,EA8,DR3)</f>
        <v>입력오류</v>
      </c>
      <c r="EB417" s="23" t="str">
        <f ca="1">_xll.IMDP("BND",DR417,EB8,DR3)</f>
        <v>입력오류</v>
      </c>
    </row>
    <row r="418" spans="1:132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"/>
      <c r="W418" s="21" t="str">
        <f ca="1">_xll.IMDP("BND",N418,W8,N3)</f>
        <v>입력오류</v>
      </c>
      <c r="X418" s="23" t="str">
        <f ca="1">_xll.IMDP("BND",N418,X8,N3)</f>
        <v>입력오류</v>
      </c>
      <c r="Y418" s="2"/>
      <c r="AI418" s="21" t="str">
        <f ca="1">_xll.IMDP("BND",Z418,AI8,Z3)</f>
        <v>입력오류</v>
      </c>
      <c r="AJ418" s="23" t="str">
        <f ca="1">_xll.IMDP("BND",Z418,AJ8,Z3)</f>
        <v>입력오류</v>
      </c>
      <c r="AK418" s="2"/>
      <c r="AU418" s="21" t="str">
        <f ca="1">_xll.IMDP("BND",AL418,AU8,AL3)</f>
        <v>입력오류</v>
      </c>
      <c r="AV418" s="23" t="str">
        <f ca="1">_xll.IMDP("BND",AL418,AV8,AL3)</f>
        <v>입력오류</v>
      </c>
      <c r="AW418" s="2"/>
      <c r="BG418" s="21" t="str">
        <f ca="1">_xll.IMDP("BND",AX418,BG8,AX3)</f>
        <v>입력오류</v>
      </c>
      <c r="BH418" s="23" t="str">
        <f ca="1">_xll.IMDP("BND",AX418,BH8,AX3)</f>
        <v>입력오류</v>
      </c>
      <c r="BI418" s="2"/>
      <c r="BS418" s="21" t="str">
        <f ca="1">_xll.IMDP("BND",BJ418,BS8,BJ3)</f>
        <v>입력오류</v>
      </c>
      <c r="BT418" s="23" t="str">
        <f ca="1">_xll.IMDP("BND",BJ418,BT8,BJ3)</f>
        <v>입력오류</v>
      </c>
      <c r="BU418" s="2"/>
      <c r="CE418" s="21" t="str">
        <f ca="1">_xll.IMDP("BND",BV418,CE8,BV3)</f>
        <v>입력오류</v>
      </c>
      <c r="CF418" s="23" t="str">
        <f ca="1">_xll.IMDP("BND",BV418,CF8,BV3)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"/>
      <c r="DC418" s="21" t="str">
        <f ca="1">_xll.IMDP("BND",CT418,DC8,CT3)</f>
        <v>입력오류</v>
      </c>
      <c r="DD418" s="23" t="str">
        <f ca="1">_xll.IMDP("BND",CT418,DD8,CT3)</f>
        <v>입력오류</v>
      </c>
      <c r="DE418" s="2"/>
      <c r="DO418" s="21" t="str">
        <f ca="1">_xll.IMDP("BND",DF418,DO8,DF3)</f>
        <v>입력오류</v>
      </c>
      <c r="DP418" s="23" t="str">
        <f ca="1">_xll.IMDP("BND",DF418,DP8,DF3)</f>
        <v>입력오류</v>
      </c>
      <c r="DQ418" s="2"/>
      <c r="EA418" s="21" t="str">
        <f ca="1">_xll.IMDP("BND",DR418,EA8,DR3)</f>
        <v>입력오류</v>
      </c>
      <c r="EB418" s="23" t="str">
        <f ca="1">_xll.IMDP("BND",DR418,EB8,DR3)</f>
        <v>입력오류</v>
      </c>
    </row>
    <row r="419" spans="1:132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"/>
      <c r="W419" s="21" t="str">
        <f ca="1">_xll.IMDP("BND",N419,W8,N3)</f>
        <v>입력오류</v>
      </c>
      <c r="X419" s="23" t="str">
        <f ca="1">_xll.IMDP("BND",N419,X8,N3)</f>
        <v>입력오류</v>
      </c>
      <c r="Y419" s="2"/>
      <c r="AI419" s="21" t="str">
        <f ca="1">_xll.IMDP("BND",Z419,AI8,Z3)</f>
        <v>입력오류</v>
      </c>
      <c r="AJ419" s="23" t="str">
        <f ca="1">_xll.IMDP("BND",Z419,AJ8,Z3)</f>
        <v>입력오류</v>
      </c>
      <c r="AK419" s="2"/>
      <c r="AU419" s="21" t="str">
        <f ca="1">_xll.IMDP("BND",AL419,AU8,AL3)</f>
        <v>입력오류</v>
      </c>
      <c r="AV419" s="23" t="str">
        <f ca="1">_xll.IMDP("BND",AL419,AV8,AL3)</f>
        <v>입력오류</v>
      </c>
      <c r="AW419" s="2"/>
      <c r="BG419" s="21" t="str">
        <f ca="1">_xll.IMDP("BND",AX419,BG8,AX3)</f>
        <v>입력오류</v>
      </c>
      <c r="BH419" s="23" t="str">
        <f ca="1">_xll.IMDP("BND",AX419,BH8,AX3)</f>
        <v>입력오류</v>
      </c>
      <c r="BI419" s="2"/>
      <c r="BS419" s="21" t="str">
        <f ca="1">_xll.IMDP("BND",BJ419,BS8,BJ3)</f>
        <v>입력오류</v>
      </c>
      <c r="BT419" s="23" t="str">
        <f ca="1">_xll.IMDP("BND",BJ419,BT8,BJ3)</f>
        <v>입력오류</v>
      </c>
      <c r="BU419" s="2"/>
      <c r="CE419" s="21" t="str">
        <f ca="1">_xll.IMDP("BND",BV419,CE8,BV3)</f>
        <v>입력오류</v>
      </c>
      <c r="CF419" s="23" t="str">
        <f ca="1">_xll.IMDP("BND",BV419,CF8,BV3)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"/>
      <c r="DC419" s="21" t="str">
        <f ca="1">_xll.IMDP("BND",CT419,DC8,CT3)</f>
        <v>입력오류</v>
      </c>
      <c r="DD419" s="23" t="str">
        <f ca="1">_xll.IMDP("BND",CT419,DD8,CT3)</f>
        <v>입력오류</v>
      </c>
      <c r="DE419" s="2"/>
      <c r="DO419" s="21" t="str">
        <f ca="1">_xll.IMDP("BND",DF419,DO8,DF3)</f>
        <v>입력오류</v>
      </c>
      <c r="DP419" s="23" t="str">
        <f ca="1">_xll.IMDP("BND",DF419,DP8,DF3)</f>
        <v>입력오류</v>
      </c>
      <c r="DQ419" s="2"/>
      <c r="EA419" s="21" t="str">
        <f ca="1">_xll.IMDP("BND",DR419,EA8,DR3)</f>
        <v>입력오류</v>
      </c>
      <c r="EB419" s="23" t="str">
        <f ca="1">_xll.IMDP("BND",DR419,EB8,DR3)</f>
        <v>입력오류</v>
      </c>
    </row>
    <row r="420" spans="1:132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"/>
      <c r="W420" s="21" t="str">
        <f ca="1">_xll.IMDP("BND",N420,W8,N3)</f>
        <v>입력오류</v>
      </c>
      <c r="X420" s="23" t="str">
        <f ca="1">_xll.IMDP("BND",N420,X8,N3)</f>
        <v>입력오류</v>
      </c>
      <c r="Y420" s="2"/>
      <c r="AI420" s="21" t="str">
        <f ca="1">_xll.IMDP("BND",Z420,AI8,Z3)</f>
        <v>입력오류</v>
      </c>
      <c r="AJ420" s="23" t="str">
        <f ca="1">_xll.IMDP("BND",Z420,AJ8,Z3)</f>
        <v>입력오류</v>
      </c>
      <c r="AK420" s="2"/>
      <c r="AU420" s="21" t="str">
        <f ca="1">_xll.IMDP("BND",AL420,AU8,AL3)</f>
        <v>입력오류</v>
      </c>
      <c r="AV420" s="23" t="str">
        <f ca="1">_xll.IMDP("BND",AL420,AV8,AL3)</f>
        <v>입력오류</v>
      </c>
      <c r="AW420" s="2"/>
      <c r="BG420" s="21" t="str">
        <f ca="1">_xll.IMDP("BND",AX420,BG8,AX3)</f>
        <v>입력오류</v>
      </c>
      <c r="BH420" s="23" t="str">
        <f ca="1">_xll.IMDP("BND",AX420,BH8,AX3)</f>
        <v>입력오류</v>
      </c>
      <c r="BI420" s="2"/>
      <c r="BS420" s="21" t="str">
        <f ca="1">_xll.IMDP("BND",BJ420,BS8,BJ3)</f>
        <v>입력오류</v>
      </c>
      <c r="BT420" s="23" t="str">
        <f ca="1">_xll.IMDP("BND",BJ420,BT8,BJ3)</f>
        <v>입력오류</v>
      </c>
      <c r="BU420" s="2"/>
      <c r="CE420" s="21" t="str">
        <f ca="1">_xll.IMDP("BND",BV420,CE8,BV3)</f>
        <v>입력오류</v>
      </c>
      <c r="CF420" s="23" t="str">
        <f ca="1">_xll.IMDP("BND",BV420,CF8,BV3)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"/>
      <c r="DC420" s="21" t="str">
        <f ca="1">_xll.IMDP("BND",CT420,DC8,CT3)</f>
        <v>입력오류</v>
      </c>
      <c r="DD420" s="23" t="str">
        <f ca="1">_xll.IMDP("BND",CT420,DD8,CT3)</f>
        <v>입력오류</v>
      </c>
      <c r="DE420" s="2"/>
      <c r="DO420" s="21" t="str">
        <f ca="1">_xll.IMDP("BND",DF420,DO8,DF3)</f>
        <v>입력오류</v>
      </c>
      <c r="DP420" s="23" t="str">
        <f ca="1">_xll.IMDP("BND",DF420,DP8,DF3)</f>
        <v>입력오류</v>
      </c>
      <c r="DQ420" s="2"/>
      <c r="EA420" s="21" t="str">
        <f ca="1">_xll.IMDP("BND",DR420,EA8,DR3)</f>
        <v>입력오류</v>
      </c>
      <c r="EB420" s="23" t="str">
        <f ca="1">_xll.IMDP("BND",DR420,EB8,DR3)</f>
        <v>입력오류</v>
      </c>
    </row>
    <row r="421" spans="1:132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"/>
      <c r="W421" s="21" t="str">
        <f ca="1">_xll.IMDP("BND",N421,W8,N3)</f>
        <v>입력오류</v>
      </c>
      <c r="X421" s="23" t="str">
        <f ca="1">_xll.IMDP("BND",N421,X8,N3)</f>
        <v>입력오류</v>
      </c>
      <c r="Y421" s="2"/>
      <c r="AI421" s="21" t="str">
        <f ca="1">_xll.IMDP("BND",Z421,AI8,Z3)</f>
        <v>입력오류</v>
      </c>
      <c r="AJ421" s="23" t="str">
        <f ca="1">_xll.IMDP("BND",Z421,AJ8,Z3)</f>
        <v>입력오류</v>
      </c>
      <c r="AK421" s="2"/>
      <c r="AU421" s="21" t="str">
        <f ca="1">_xll.IMDP("BND",AL421,AU8,AL3)</f>
        <v>입력오류</v>
      </c>
      <c r="AV421" s="23" t="str">
        <f ca="1">_xll.IMDP("BND",AL421,AV8,AL3)</f>
        <v>입력오류</v>
      </c>
      <c r="AW421" s="2"/>
      <c r="BG421" s="21" t="str">
        <f ca="1">_xll.IMDP("BND",AX421,BG8,AX3)</f>
        <v>입력오류</v>
      </c>
      <c r="BH421" s="23" t="str">
        <f ca="1">_xll.IMDP("BND",AX421,BH8,AX3)</f>
        <v>입력오류</v>
      </c>
      <c r="BI421" s="2"/>
      <c r="BS421" s="21" t="str">
        <f ca="1">_xll.IMDP("BND",BJ421,BS8,BJ3)</f>
        <v>입력오류</v>
      </c>
      <c r="BT421" s="23" t="str">
        <f ca="1">_xll.IMDP("BND",BJ421,BT8,BJ3)</f>
        <v>입력오류</v>
      </c>
      <c r="BU421" s="2"/>
      <c r="CE421" s="21" t="str">
        <f ca="1">_xll.IMDP("BND",BV421,CE8,BV3)</f>
        <v>입력오류</v>
      </c>
      <c r="CF421" s="23" t="str">
        <f ca="1">_xll.IMDP("BND",BV421,CF8,BV3)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"/>
      <c r="DC421" s="21" t="str">
        <f ca="1">_xll.IMDP("BND",CT421,DC8,CT3)</f>
        <v>입력오류</v>
      </c>
      <c r="DD421" s="23" t="str">
        <f ca="1">_xll.IMDP("BND",CT421,DD8,CT3)</f>
        <v>입력오류</v>
      </c>
      <c r="DE421" s="2"/>
      <c r="DO421" s="21" t="str">
        <f ca="1">_xll.IMDP("BND",DF421,DO8,DF3)</f>
        <v>입력오류</v>
      </c>
      <c r="DP421" s="23" t="str">
        <f ca="1">_xll.IMDP("BND",DF421,DP8,DF3)</f>
        <v>입력오류</v>
      </c>
      <c r="DQ421" s="2"/>
      <c r="EA421" s="21" t="str">
        <f ca="1">_xll.IMDP("BND",DR421,EA8,DR3)</f>
        <v>입력오류</v>
      </c>
      <c r="EB421" s="23" t="str">
        <f ca="1">_xll.IMDP("BND",DR421,EB8,DR3)</f>
        <v>입력오류</v>
      </c>
    </row>
    <row r="422" spans="1:132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"/>
      <c r="W422" s="21" t="str">
        <f ca="1">_xll.IMDP("BND",N422,W8,N3)</f>
        <v>입력오류</v>
      </c>
      <c r="X422" s="23" t="str">
        <f ca="1">_xll.IMDP("BND",N422,X8,N3)</f>
        <v>입력오류</v>
      </c>
      <c r="Y422" s="2"/>
      <c r="AI422" s="21" t="str">
        <f ca="1">_xll.IMDP("BND",Z422,AI8,Z3)</f>
        <v>입력오류</v>
      </c>
      <c r="AJ422" s="23" t="str">
        <f ca="1">_xll.IMDP("BND",Z422,AJ8,Z3)</f>
        <v>입력오류</v>
      </c>
      <c r="AK422" s="2"/>
      <c r="AU422" s="21" t="str">
        <f ca="1">_xll.IMDP("BND",AL422,AU8,AL3)</f>
        <v>입력오류</v>
      </c>
      <c r="AV422" s="23" t="str">
        <f ca="1">_xll.IMDP("BND",AL422,AV8,AL3)</f>
        <v>입력오류</v>
      </c>
      <c r="AW422" s="2"/>
      <c r="BG422" s="21" t="str">
        <f ca="1">_xll.IMDP("BND",AX422,BG8,AX3)</f>
        <v>입력오류</v>
      </c>
      <c r="BH422" s="23" t="str">
        <f ca="1">_xll.IMDP("BND",AX422,BH8,AX3)</f>
        <v>입력오류</v>
      </c>
      <c r="BI422" s="2"/>
      <c r="BS422" s="21" t="str">
        <f ca="1">_xll.IMDP("BND",BJ422,BS8,BJ3)</f>
        <v>입력오류</v>
      </c>
      <c r="BT422" s="23" t="str">
        <f ca="1">_xll.IMDP("BND",BJ422,BT8,BJ3)</f>
        <v>입력오류</v>
      </c>
      <c r="BU422" s="2"/>
      <c r="CE422" s="21" t="str">
        <f ca="1">_xll.IMDP("BND",BV422,CE8,BV3)</f>
        <v>입력오류</v>
      </c>
      <c r="CF422" s="23" t="str">
        <f ca="1">_xll.IMDP("BND",BV422,CF8,BV3)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"/>
      <c r="DC422" s="21" t="str">
        <f ca="1">_xll.IMDP("BND",CT422,DC8,CT3)</f>
        <v>입력오류</v>
      </c>
      <c r="DD422" s="23" t="str">
        <f ca="1">_xll.IMDP("BND",CT422,DD8,CT3)</f>
        <v>입력오류</v>
      </c>
      <c r="DE422" s="2"/>
      <c r="DO422" s="21" t="str">
        <f ca="1">_xll.IMDP("BND",DF422,DO8,DF3)</f>
        <v>입력오류</v>
      </c>
      <c r="DP422" s="23" t="str">
        <f ca="1">_xll.IMDP("BND",DF422,DP8,DF3)</f>
        <v>입력오류</v>
      </c>
      <c r="DQ422" s="2"/>
      <c r="EA422" s="21" t="str">
        <f ca="1">_xll.IMDP("BND",DR422,EA8,DR3)</f>
        <v>입력오류</v>
      </c>
      <c r="EB422" s="23" t="str">
        <f ca="1">_xll.IMDP("BND",DR422,EB8,DR3)</f>
        <v>입력오류</v>
      </c>
    </row>
    <row r="423" spans="1:132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"/>
      <c r="W423" s="21" t="str">
        <f ca="1">_xll.IMDP("BND",N423,W8,N3)</f>
        <v>입력오류</v>
      </c>
      <c r="X423" s="23" t="str">
        <f ca="1">_xll.IMDP("BND",N423,X8,N3)</f>
        <v>입력오류</v>
      </c>
      <c r="Y423" s="2"/>
      <c r="AI423" s="21" t="str">
        <f ca="1">_xll.IMDP("BND",Z423,AI8,Z3)</f>
        <v>입력오류</v>
      </c>
      <c r="AJ423" s="23" t="str">
        <f ca="1">_xll.IMDP("BND",Z423,AJ8,Z3)</f>
        <v>입력오류</v>
      </c>
      <c r="AK423" s="2"/>
      <c r="AU423" s="21" t="str">
        <f ca="1">_xll.IMDP("BND",AL423,AU8,AL3)</f>
        <v>입력오류</v>
      </c>
      <c r="AV423" s="23" t="str">
        <f ca="1">_xll.IMDP("BND",AL423,AV8,AL3)</f>
        <v>입력오류</v>
      </c>
      <c r="AW423" s="2"/>
      <c r="BG423" s="21" t="str">
        <f ca="1">_xll.IMDP("BND",AX423,BG8,AX3)</f>
        <v>입력오류</v>
      </c>
      <c r="BH423" s="23" t="str">
        <f ca="1">_xll.IMDP("BND",AX423,BH8,AX3)</f>
        <v>입력오류</v>
      </c>
      <c r="BI423" s="2"/>
      <c r="BS423" s="21" t="str">
        <f ca="1">_xll.IMDP("BND",BJ423,BS8,BJ3)</f>
        <v>입력오류</v>
      </c>
      <c r="BT423" s="23" t="str">
        <f ca="1">_xll.IMDP("BND",BJ423,BT8,BJ3)</f>
        <v>입력오류</v>
      </c>
      <c r="BU423" s="2"/>
      <c r="CE423" s="21" t="str">
        <f ca="1">_xll.IMDP("BND",BV423,CE8,BV3)</f>
        <v>입력오류</v>
      </c>
      <c r="CF423" s="23" t="str">
        <f ca="1">_xll.IMDP("BND",BV423,CF8,BV3)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"/>
      <c r="DC423" s="21" t="str">
        <f ca="1">_xll.IMDP("BND",CT423,DC8,CT3)</f>
        <v>입력오류</v>
      </c>
      <c r="DD423" s="23" t="str">
        <f ca="1">_xll.IMDP("BND",CT423,DD8,CT3)</f>
        <v>입력오류</v>
      </c>
      <c r="DE423" s="2"/>
      <c r="DO423" s="21" t="str">
        <f ca="1">_xll.IMDP("BND",DF423,DO8,DF3)</f>
        <v>입력오류</v>
      </c>
      <c r="DP423" s="23" t="str">
        <f ca="1">_xll.IMDP("BND",DF423,DP8,DF3)</f>
        <v>입력오류</v>
      </c>
      <c r="DQ423" s="2"/>
      <c r="EA423" s="21" t="str">
        <f ca="1">_xll.IMDP("BND",DR423,EA8,DR3)</f>
        <v>입력오류</v>
      </c>
      <c r="EB423" s="23" t="str">
        <f ca="1">_xll.IMDP("BND",DR423,EB8,DR3)</f>
        <v>입력오류</v>
      </c>
    </row>
    <row r="424" spans="1:132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"/>
      <c r="W424" s="21" t="str">
        <f ca="1">_xll.IMDP("BND",N424,W8,N3)</f>
        <v>입력오류</v>
      </c>
      <c r="X424" s="23" t="str">
        <f ca="1">_xll.IMDP("BND",N424,X8,N3)</f>
        <v>입력오류</v>
      </c>
      <c r="Y424" s="2"/>
      <c r="AI424" s="21" t="str">
        <f ca="1">_xll.IMDP("BND",Z424,AI8,Z3)</f>
        <v>입력오류</v>
      </c>
      <c r="AJ424" s="23" t="str">
        <f ca="1">_xll.IMDP("BND",Z424,AJ8,Z3)</f>
        <v>입력오류</v>
      </c>
      <c r="AK424" s="2"/>
      <c r="AU424" s="21" t="str">
        <f ca="1">_xll.IMDP("BND",AL424,AU8,AL3)</f>
        <v>입력오류</v>
      </c>
      <c r="AV424" s="23" t="str">
        <f ca="1">_xll.IMDP("BND",AL424,AV8,AL3)</f>
        <v>입력오류</v>
      </c>
      <c r="AW424" s="2"/>
      <c r="BG424" s="21" t="str">
        <f ca="1">_xll.IMDP("BND",AX424,BG8,AX3)</f>
        <v>입력오류</v>
      </c>
      <c r="BH424" s="23" t="str">
        <f ca="1">_xll.IMDP("BND",AX424,BH8,AX3)</f>
        <v>입력오류</v>
      </c>
      <c r="BI424" s="2"/>
      <c r="BS424" s="21" t="str">
        <f ca="1">_xll.IMDP("BND",BJ424,BS8,BJ3)</f>
        <v>입력오류</v>
      </c>
      <c r="BT424" s="23" t="str">
        <f ca="1">_xll.IMDP("BND",BJ424,BT8,BJ3)</f>
        <v>입력오류</v>
      </c>
      <c r="BU424" s="2"/>
      <c r="CE424" s="21" t="str">
        <f ca="1">_xll.IMDP("BND",BV424,CE8,BV3)</f>
        <v>입력오류</v>
      </c>
      <c r="CF424" s="23" t="str">
        <f ca="1">_xll.IMDP("BND",BV424,CF8,BV3)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"/>
      <c r="DC424" s="21" t="str">
        <f ca="1">_xll.IMDP("BND",CT424,DC8,CT3)</f>
        <v>입력오류</v>
      </c>
      <c r="DD424" s="23" t="str">
        <f ca="1">_xll.IMDP("BND",CT424,DD8,CT3)</f>
        <v>입력오류</v>
      </c>
      <c r="DE424" s="2"/>
      <c r="DO424" s="21" t="str">
        <f ca="1">_xll.IMDP("BND",DF424,DO8,DF3)</f>
        <v>입력오류</v>
      </c>
      <c r="DP424" s="23" t="str">
        <f ca="1">_xll.IMDP("BND",DF424,DP8,DF3)</f>
        <v>입력오류</v>
      </c>
      <c r="DQ424" s="2"/>
      <c r="EA424" s="21" t="str">
        <f ca="1">_xll.IMDP("BND",DR424,EA8,DR3)</f>
        <v>입력오류</v>
      </c>
      <c r="EB424" s="23" t="str">
        <f ca="1">_xll.IMDP("BND",DR424,EB8,DR3)</f>
        <v>입력오류</v>
      </c>
    </row>
    <row r="425" spans="1:132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"/>
      <c r="W425" s="21" t="str">
        <f ca="1">_xll.IMDP("BND",N425,W8,N3)</f>
        <v>입력오류</v>
      </c>
      <c r="X425" s="23" t="str">
        <f ca="1">_xll.IMDP("BND",N425,X8,N3)</f>
        <v>입력오류</v>
      </c>
      <c r="Y425" s="2"/>
      <c r="AI425" s="21" t="str">
        <f ca="1">_xll.IMDP("BND",Z425,AI8,Z3)</f>
        <v>입력오류</v>
      </c>
      <c r="AJ425" s="23" t="str">
        <f ca="1">_xll.IMDP("BND",Z425,AJ8,Z3)</f>
        <v>입력오류</v>
      </c>
      <c r="AK425" s="2"/>
      <c r="AU425" s="21" t="str">
        <f ca="1">_xll.IMDP("BND",AL425,AU8,AL3)</f>
        <v>입력오류</v>
      </c>
      <c r="AV425" s="23" t="str">
        <f ca="1">_xll.IMDP("BND",AL425,AV8,AL3)</f>
        <v>입력오류</v>
      </c>
      <c r="AW425" s="2"/>
      <c r="BG425" s="21" t="str">
        <f ca="1">_xll.IMDP("BND",AX425,BG8,AX3)</f>
        <v>입력오류</v>
      </c>
      <c r="BH425" s="23" t="str">
        <f ca="1">_xll.IMDP("BND",AX425,BH8,AX3)</f>
        <v>입력오류</v>
      </c>
      <c r="BI425" s="2"/>
      <c r="BS425" s="21" t="str">
        <f ca="1">_xll.IMDP("BND",BJ425,BS8,BJ3)</f>
        <v>입력오류</v>
      </c>
      <c r="BT425" s="23" t="str">
        <f ca="1">_xll.IMDP("BND",BJ425,BT8,BJ3)</f>
        <v>입력오류</v>
      </c>
      <c r="BU425" s="2"/>
      <c r="CE425" s="21" t="str">
        <f ca="1">_xll.IMDP("BND",BV425,CE8,BV3)</f>
        <v>입력오류</v>
      </c>
      <c r="CF425" s="23" t="str">
        <f ca="1">_xll.IMDP("BND",BV425,CF8,BV3)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"/>
      <c r="DC425" s="21" t="str">
        <f ca="1">_xll.IMDP("BND",CT425,DC8,CT3)</f>
        <v>입력오류</v>
      </c>
      <c r="DD425" s="23" t="str">
        <f ca="1">_xll.IMDP("BND",CT425,DD8,CT3)</f>
        <v>입력오류</v>
      </c>
      <c r="DE425" s="2"/>
      <c r="DO425" s="21" t="str">
        <f ca="1">_xll.IMDP("BND",DF425,DO8,DF3)</f>
        <v>입력오류</v>
      </c>
      <c r="DP425" s="23" t="str">
        <f ca="1">_xll.IMDP("BND",DF425,DP8,DF3)</f>
        <v>입력오류</v>
      </c>
      <c r="DQ425" s="2"/>
      <c r="EA425" s="21" t="str">
        <f ca="1">_xll.IMDP("BND",DR425,EA8,DR3)</f>
        <v>입력오류</v>
      </c>
      <c r="EB425" s="23" t="str">
        <f ca="1">_xll.IMDP("BND",DR425,EB8,DR3)</f>
        <v>입력오류</v>
      </c>
    </row>
    <row r="426" spans="1:132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"/>
      <c r="W426" s="21" t="str">
        <f ca="1">_xll.IMDP("BND",N426,W8,N3)</f>
        <v>입력오류</v>
      </c>
      <c r="X426" s="23" t="str">
        <f ca="1">_xll.IMDP("BND",N426,X8,N3)</f>
        <v>입력오류</v>
      </c>
      <c r="Y426" s="2"/>
      <c r="AI426" s="21" t="str">
        <f ca="1">_xll.IMDP("BND",Z426,AI8,Z3)</f>
        <v>입력오류</v>
      </c>
      <c r="AJ426" s="23" t="str">
        <f ca="1">_xll.IMDP("BND",Z426,AJ8,Z3)</f>
        <v>입력오류</v>
      </c>
      <c r="AK426" s="2"/>
      <c r="AU426" s="21" t="str">
        <f ca="1">_xll.IMDP("BND",AL426,AU8,AL3)</f>
        <v>입력오류</v>
      </c>
      <c r="AV426" s="23" t="str">
        <f ca="1">_xll.IMDP("BND",AL426,AV8,AL3)</f>
        <v>입력오류</v>
      </c>
      <c r="AW426" s="2"/>
      <c r="BG426" s="21" t="str">
        <f ca="1">_xll.IMDP("BND",AX426,BG8,AX3)</f>
        <v>입력오류</v>
      </c>
      <c r="BH426" s="23" t="str">
        <f ca="1">_xll.IMDP("BND",AX426,BH8,AX3)</f>
        <v>입력오류</v>
      </c>
      <c r="BI426" s="2"/>
      <c r="BS426" s="21" t="str">
        <f ca="1">_xll.IMDP("BND",BJ426,BS8,BJ3)</f>
        <v>입력오류</v>
      </c>
      <c r="BT426" s="23" t="str">
        <f ca="1">_xll.IMDP("BND",BJ426,BT8,BJ3)</f>
        <v>입력오류</v>
      </c>
      <c r="BU426" s="2"/>
      <c r="CE426" s="21" t="str">
        <f ca="1">_xll.IMDP("BND",BV426,CE8,BV3)</f>
        <v>입력오류</v>
      </c>
      <c r="CF426" s="23" t="str">
        <f ca="1">_xll.IMDP("BND",BV426,CF8,BV3)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"/>
      <c r="DC426" s="21" t="str">
        <f ca="1">_xll.IMDP("BND",CT426,DC8,CT3)</f>
        <v>입력오류</v>
      </c>
      <c r="DD426" s="23" t="str">
        <f ca="1">_xll.IMDP("BND",CT426,DD8,CT3)</f>
        <v>입력오류</v>
      </c>
      <c r="DE426" s="2"/>
      <c r="DO426" s="21" t="str">
        <f ca="1">_xll.IMDP("BND",DF426,DO8,DF3)</f>
        <v>입력오류</v>
      </c>
      <c r="DP426" s="23" t="str">
        <f ca="1">_xll.IMDP("BND",DF426,DP8,DF3)</f>
        <v>입력오류</v>
      </c>
      <c r="DQ426" s="2"/>
      <c r="EA426" s="21" t="str">
        <f ca="1">_xll.IMDP("BND",DR426,EA8,DR3)</f>
        <v>입력오류</v>
      </c>
      <c r="EB426" s="23" t="str">
        <f ca="1">_xll.IMDP("BND",DR426,EB8,DR3)</f>
        <v>입력오류</v>
      </c>
    </row>
    <row r="427" spans="1:132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"/>
      <c r="W427" s="21" t="str">
        <f ca="1">_xll.IMDP("BND",N427,W8,N3)</f>
        <v>입력오류</v>
      </c>
      <c r="X427" s="23" t="str">
        <f ca="1">_xll.IMDP("BND",N427,X8,N3)</f>
        <v>입력오류</v>
      </c>
      <c r="Y427" s="2"/>
      <c r="AI427" s="21" t="str">
        <f ca="1">_xll.IMDP("BND",Z427,AI8,Z3)</f>
        <v>입력오류</v>
      </c>
      <c r="AJ427" s="23" t="str">
        <f ca="1">_xll.IMDP("BND",Z427,AJ8,Z3)</f>
        <v>입력오류</v>
      </c>
      <c r="AK427" s="2"/>
      <c r="AU427" s="21" t="str">
        <f ca="1">_xll.IMDP("BND",AL427,AU8,AL3)</f>
        <v>입력오류</v>
      </c>
      <c r="AV427" s="23" t="str">
        <f ca="1">_xll.IMDP("BND",AL427,AV8,AL3)</f>
        <v>입력오류</v>
      </c>
      <c r="AW427" s="2"/>
      <c r="BG427" s="21" t="str">
        <f ca="1">_xll.IMDP("BND",AX427,BG8,AX3)</f>
        <v>입력오류</v>
      </c>
      <c r="BH427" s="23" t="str">
        <f ca="1">_xll.IMDP("BND",AX427,BH8,AX3)</f>
        <v>입력오류</v>
      </c>
      <c r="BI427" s="2"/>
      <c r="BS427" s="21" t="str">
        <f ca="1">_xll.IMDP("BND",BJ427,BS8,BJ3)</f>
        <v>입력오류</v>
      </c>
      <c r="BT427" s="23" t="str">
        <f ca="1">_xll.IMDP("BND",BJ427,BT8,BJ3)</f>
        <v>입력오류</v>
      </c>
      <c r="BU427" s="2"/>
      <c r="CE427" s="21" t="str">
        <f ca="1">_xll.IMDP("BND",BV427,CE8,BV3)</f>
        <v>입력오류</v>
      </c>
      <c r="CF427" s="23" t="str">
        <f ca="1">_xll.IMDP("BND",BV427,CF8,BV3)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"/>
      <c r="DC427" s="21" t="str">
        <f ca="1">_xll.IMDP("BND",CT427,DC8,CT3)</f>
        <v>입력오류</v>
      </c>
      <c r="DD427" s="23" t="str">
        <f ca="1">_xll.IMDP("BND",CT427,DD8,CT3)</f>
        <v>입력오류</v>
      </c>
      <c r="DE427" s="2"/>
      <c r="DO427" s="21" t="str">
        <f ca="1">_xll.IMDP("BND",DF427,DO8,DF3)</f>
        <v>입력오류</v>
      </c>
      <c r="DP427" s="23" t="str">
        <f ca="1">_xll.IMDP("BND",DF427,DP8,DF3)</f>
        <v>입력오류</v>
      </c>
      <c r="DQ427" s="2"/>
      <c r="EA427" s="21" t="str">
        <f ca="1">_xll.IMDP("BND",DR427,EA8,DR3)</f>
        <v>입력오류</v>
      </c>
      <c r="EB427" s="23" t="str">
        <f ca="1">_xll.IMDP("BND",DR427,EB8,DR3)</f>
        <v>입력오류</v>
      </c>
    </row>
    <row r="428" spans="1:132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"/>
      <c r="W428" s="21" t="str">
        <f ca="1">_xll.IMDP("BND",N428,W8,N3)</f>
        <v>입력오류</v>
      </c>
      <c r="X428" s="23" t="str">
        <f ca="1">_xll.IMDP("BND",N428,X8,N3)</f>
        <v>입력오류</v>
      </c>
      <c r="Y428" s="2"/>
      <c r="AI428" s="21" t="str">
        <f ca="1">_xll.IMDP("BND",Z428,AI8,Z3)</f>
        <v>입력오류</v>
      </c>
      <c r="AJ428" s="23" t="str">
        <f ca="1">_xll.IMDP("BND",Z428,AJ8,Z3)</f>
        <v>입력오류</v>
      </c>
      <c r="AK428" s="2"/>
      <c r="AU428" s="21" t="str">
        <f ca="1">_xll.IMDP("BND",AL428,AU8,AL3)</f>
        <v>입력오류</v>
      </c>
      <c r="AV428" s="23" t="str">
        <f ca="1">_xll.IMDP("BND",AL428,AV8,AL3)</f>
        <v>입력오류</v>
      </c>
      <c r="AW428" s="2"/>
      <c r="BG428" s="21" t="str">
        <f ca="1">_xll.IMDP("BND",AX428,BG8,AX3)</f>
        <v>입력오류</v>
      </c>
      <c r="BH428" s="23" t="str">
        <f ca="1">_xll.IMDP("BND",AX428,BH8,AX3)</f>
        <v>입력오류</v>
      </c>
      <c r="BI428" s="2"/>
      <c r="BS428" s="21" t="str">
        <f ca="1">_xll.IMDP("BND",BJ428,BS8,BJ3)</f>
        <v>입력오류</v>
      </c>
      <c r="BT428" s="23" t="str">
        <f ca="1">_xll.IMDP("BND",BJ428,BT8,BJ3)</f>
        <v>입력오류</v>
      </c>
      <c r="BU428" s="2"/>
      <c r="CE428" s="21" t="str">
        <f ca="1">_xll.IMDP("BND",BV428,CE8,BV3)</f>
        <v>입력오류</v>
      </c>
      <c r="CF428" s="23" t="str">
        <f ca="1">_xll.IMDP("BND",BV428,CF8,BV3)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"/>
      <c r="DC428" s="21" t="str">
        <f ca="1">_xll.IMDP("BND",CT428,DC8,CT3)</f>
        <v>입력오류</v>
      </c>
      <c r="DD428" s="23" t="str">
        <f ca="1">_xll.IMDP("BND",CT428,DD8,CT3)</f>
        <v>입력오류</v>
      </c>
      <c r="DE428" s="2"/>
      <c r="DO428" s="21" t="str">
        <f ca="1">_xll.IMDP("BND",DF428,DO8,DF3)</f>
        <v>입력오류</v>
      </c>
      <c r="DP428" s="23" t="str">
        <f ca="1">_xll.IMDP("BND",DF428,DP8,DF3)</f>
        <v>입력오류</v>
      </c>
      <c r="DQ428" s="2"/>
      <c r="EA428" s="21" t="str">
        <f ca="1">_xll.IMDP("BND",DR428,EA8,DR3)</f>
        <v>입력오류</v>
      </c>
      <c r="EB428" s="23" t="str">
        <f ca="1">_xll.IMDP("BND",DR428,EB8,DR3)</f>
        <v>입력오류</v>
      </c>
    </row>
    <row r="429" spans="1:132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"/>
      <c r="W429" s="21" t="str">
        <f ca="1">_xll.IMDP("BND",N429,W8,N3)</f>
        <v>입력오류</v>
      </c>
      <c r="X429" s="23" t="str">
        <f ca="1">_xll.IMDP("BND",N429,X8,N3)</f>
        <v>입력오류</v>
      </c>
      <c r="Y429" s="2"/>
      <c r="AI429" s="21" t="str">
        <f ca="1">_xll.IMDP("BND",Z429,AI8,Z3)</f>
        <v>입력오류</v>
      </c>
      <c r="AJ429" s="23" t="str">
        <f ca="1">_xll.IMDP("BND",Z429,AJ8,Z3)</f>
        <v>입력오류</v>
      </c>
      <c r="AK429" s="2"/>
      <c r="AU429" s="21" t="str">
        <f ca="1">_xll.IMDP("BND",AL429,AU8,AL3)</f>
        <v>입력오류</v>
      </c>
      <c r="AV429" s="23" t="str">
        <f ca="1">_xll.IMDP("BND",AL429,AV8,AL3)</f>
        <v>입력오류</v>
      </c>
      <c r="AW429" s="2"/>
      <c r="BG429" s="21" t="str">
        <f ca="1">_xll.IMDP("BND",AX429,BG8,AX3)</f>
        <v>입력오류</v>
      </c>
      <c r="BH429" s="23" t="str">
        <f ca="1">_xll.IMDP("BND",AX429,BH8,AX3)</f>
        <v>입력오류</v>
      </c>
      <c r="BI429" s="2"/>
      <c r="BS429" s="21" t="str">
        <f ca="1">_xll.IMDP("BND",BJ429,BS8,BJ3)</f>
        <v>입력오류</v>
      </c>
      <c r="BT429" s="23" t="str">
        <f ca="1">_xll.IMDP("BND",BJ429,BT8,BJ3)</f>
        <v>입력오류</v>
      </c>
      <c r="BU429" s="2"/>
      <c r="CE429" s="21" t="str">
        <f ca="1">_xll.IMDP("BND",BV429,CE8,BV3)</f>
        <v>입력오류</v>
      </c>
      <c r="CF429" s="23" t="str">
        <f ca="1">_xll.IMDP("BND",BV429,CF8,BV3)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"/>
      <c r="DC429" s="21" t="str">
        <f ca="1">_xll.IMDP("BND",CT429,DC8,CT3)</f>
        <v>입력오류</v>
      </c>
      <c r="DD429" s="23" t="str">
        <f ca="1">_xll.IMDP("BND",CT429,DD8,CT3)</f>
        <v>입력오류</v>
      </c>
      <c r="DE429" s="2"/>
      <c r="DO429" s="21" t="str">
        <f ca="1">_xll.IMDP("BND",DF429,DO8,DF3)</f>
        <v>입력오류</v>
      </c>
      <c r="DP429" s="23" t="str">
        <f ca="1">_xll.IMDP("BND",DF429,DP8,DF3)</f>
        <v>입력오류</v>
      </c>
      <c r="DQ429" s="2"/>
      <c r="EA429" s="21" t="str">
        <f ca="1">_xll.IMDP("BND",DR429,EA8,DR3)</f>
        <v>입력오류</v>
      </c>
      <c r="EB429" s="23" t="str">
        <f ca="1">_xll.IMDP("BND",DR429,EB8,DR3)</f>
        <v>입력오류</v>
      </c>
    </row>
    <row r="430" spans="1:132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"/>
      <c r="W430" s="21" t="str">
        <f ca="1">_xll.IMDP("BND",N430,W8,N3)</f>
        <v>입력오류</v>
      </c>
      <c r="X430" s="23" t="str">
        <f ca="1">_xll.IMDP("BND",N430,X8,N3)</f>
        <v>입력오류</v>
      </c>
      <c r="Y430" s="2"/>
      <c r="AI430" s="21" t="str">
        <f ca="1">_xll.IMDP("BND",Z430,AI8,Z3)</f>
        <v>입력오류</v>
      </c>
      <c r="AJ430" s="23" t="str">
        <f ca="1">_xll.IMDP("BND",Z430,AJ8,Z3)</f>
        <v>입력오류</v>
      </c>
      <c r="AK430" s="2"/>
      <c r="AU430" s="21" t="str">
        <f ca="1">_xll.IMDP("BND",AL430,AU8,AL3)</f>
        <v>입력오류</v>
      </c>
      <c r="AV430" s="23" t="str">
        <f ca="1">_xll.IMDP("BND",AL430,AV8,AL3)</f>
        <v>입력오류</v>
      </c>
      <c r="AW430" s="2"/>
      <c r="BG430" s="21" t="str">
        <f ca="1">_xll.IMDP("BND",AX430,BG8,AX3)</f>
        <v>입력오류</v>
      </c>
      <c r="BH430" s="23" t="str">
        <f ca="1">_xll.IMDP("BND",AX430,BH8,AX3)</f>
        <v>입력오류</v>
      </c>
      <c r="BI430" s="2"/>
      <c r="BS430" s="21" t="str">
        <f ca="1">_xll.IMDP("BND",BJ430,BS8,BJ3)</f>
        <v>입력오류</v>
      </c>
      <c r="BT430" s="23" t="str">
        <f ca="1">_xll.IMDP("BND",BJ430,BT8,BJ3)</f>
        <v>입력오류</v>
      </c>
      <c r="BU430" s="2"/>
      <c r="CE430" s="21" t="str">
        <f ca="1">_xll.IMDP("BND",BV430,CE8,BV3)</f>
        <v>입력오류</v>
      </c>
      <c r="CF430" s="23" t="str">
        <f ca="1">_xll.IMDP("BND",BV430,CF8,BV3)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"/>
      <c r="DC430" s="21" t="str">
        <f ca="1">_xll.IMDP("BND",CT430,DC8,CT3)</f>
        <v>입력오류</v>
      </c>
      <c r="DD430" s="23" t="str">
        <f ca="1">_xll.IMDP("BND",CT430,DD8,CT3)</f>
        <v>입력오류</v>
      </c>
      <c r="DE430" s="2"/>
      <c r="DO430" s="21" t="str">
        <f ca="1">_xll.IMDP("BND",DF430,DO8,DF3)</f>
        <v>입력오류</v>
      </c>
      <c r="DP430" s="23" t="str">
        <f ca="1">_xll.IMDP("BND",DF430,DP8,DF3)</f>
        <v>입력오류</v>
      </c>
      <c r="DQ430" s="2"/>
      <c r="EA430" s="21" t="str">
        <f ca="1">_xll.IMDP("BND",DR430,EA8,DR3)</f>
        <v>입력오류</v>
      </c>
      <c r="EB430" s="23" t="str">
        <f ca="1">_xll.IMDP("BND",DR430,EB8,DR3)</f>
        <v>입력오류</v>
      </c>
    </row>
    <row r="431" spans="1:132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"/>
      <c r="W431" s="21" t="str">
        <f ca="1">_xll.IMDP("BND",N431,W8,N3)</f>
        <v>입력오류</v>
      </c>
      <c r="X431" s="23" t="str">
        <f ca="1">_xll.IMDP("BND",N431,X8,N3)</f>
        <v>입력오류</v>
      </c>
      <c r="Y431" s="2"/>
      <c r="AI431" s="21" t="str">
        <f ca="1">_xll.IMDP("BND",Z431,AI8,Z3)</f>
        <v>입력오류</v>
      </c>
      <c r="AJ431" s="23" t="str">
        <f ca="1">_xll.IMDP("BND",Z431,AJ8,Z3)</f>
        <v>입력오류</v>
      </c>
      <c r="AK431" s="2"/>
      <c r="AU431" s="21" t="str">
        <f ca="1">_xll.IMDP("BND",AL431,AU8,AL3)</f>
        <v>입력오류</v>
      </c>
      <c r="AV431" s="23" t="str">
        <f ca="1">_xll.IMDP("BND",AL431,AV8,AL3)</f>
        <v>입력오류</v>
      </c>
      <c r="AW431" s="2"/>
      <c r="BG431" s="21" t="str">
        <f ca="1">_xll.IMDP("BND",AX431,BG8,AX3)</f>
        <v>입력오류</v>
      </c>
      <c r="BH431" s="23" t="str">
        <f ca="1">_xll.IMDP("BND",AX431,BH8,AX3)</f>
        <v>입력오류</v>
      </c>
      <c r="BI431" s="2"/>
      <c r="BS431" s="21" t="str">
        <f ca="1">_xll.IMDP("BND",BJ431,BS8,BJ3)</f>
        <v>입력오류</v>
      </c>
      <c r="BT431" s="23" t="str">
        <f ca="1">_xll.IMDP("BND",BJ431,BT8,BJ3)</f>
        <v>입력오류</v>
      </c>
      <c r="BU431" s="2"/>
      <c r="CE431" s="21" t="str">
        <f ca="1">_xll.IMDP("BND",BV431,CE8,BV3)</f>
        <v>입력오류</v>
      </c>
      <c r="CF431" s="23" t="str">
        <f ca="1">_xll.IMDP("BND",BV431,CF8,BV3)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"/>
      <c r="DC431" s="21" t="str">
        <f ca="1">_xll.IMDP("BND",CT431,DC8,CT3)</f>
        <v>입력오류</v>
      </c>
      <c r="DD431" s="23" t="str">
        <f ca="1">_xll.IMDP("BND",CT431,DD8,CT3)</f>
        <v>입력오류</v>
      </c>
      <c r="DE431" s="2"/>
      <c r="DO431" s="21" t="str">
        <f ca="1">_xll.IMDP("BND",DF431,DO8,DF3)</f>
        <v>입력오류</v>
      </c>
      <c r="DP431" s="23" t="str">
        <f ca="1">_xll.IMDP("BND",DF431,DP8,DF3)</f>
        <v>입력오류</v>
      </c>
      <c r="DQ431" s="2"/>
      <c r="EA431" s="21" t="str">
        <f ca="1">_xll.IMDP("BND",DR431,EA8,DR3)</f>
        <v>입력오류</v>
      </c>
      <c r="EB431" s="23" t="str">
        <f ca="1">_xll.IMDP("BND",DR431,EB8,DR3)</f>
        <v>입력오류</v>
      </c>
    </row>
    <row r="432" spans="1:132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"/>
      <c r="W432" s="21" t="str">
        <f ca="1">_xll.IMDP("BND",N432,W8,N3)</f>
        <v>입력오류</v>
      </c>
      <c r="X432" s="23" t="str">
        <f ca="1">_xll.IMDP("BND",N432,X8,N3)</f>
        <v>입력오류</v>
      </c>
      <c r="Y432" s="2"/>
      <c r="AI432" s="21" t="str">
        <f ca="1">_xll.IMDP("BND",Z432,AI8,Z3)</f>
        <v>입력오류</v>
      </c>
      <c r="AJ432" s="23" t="str">
        <f ca="1">_xll.IMDP("BND",Z432,AJ8,Z3)</f>
        <v>입력오류</v>
      </c>
      <c r="AK432" s="2"/>
      <c r="AU432" s="21" t="str">
        <f ca="1">_xll.IMDP("BND",AL432,AU8,AL3)</f>
        <v>입력오류</v>
      </c>
      <c r="AV432" s="23" t="str">
        <f ca="1">_xll.IMDP("BND",AL432,AV8,AL3)</f>
        <v>입력오류</v>
      </c>
      <c r="AW432" s="2"/>
      <c r="BG432" s="21" t="str">
        <f ca="1">_xll.IMDP("BND",AX432,BG8,AX3)</f>
        <v>입력오류</v>
      </c>
      <c r="BH432" s="23" t="str">
        <f ca="1">_xll.IMDP("BND",AX432,BH8,AX3)</f>
        <v>입력오류</v>
      </c>
      <c r="BI432" s="2"/>
      <c r="BS432" s="21" t="str">
        <f ca="1">_xll.IMDP("BND",BJ432,BS8,BJ3)</f>
        <v>입력오류</v>
      </c>
      <c r="BT432" s="23" t="str">
        <f ca="1">_xll.IMDP("BND",BJ432,BT8,BJ3)</f>
        <v>입력오류</v>
      </c>
      <c r="BU432" s="2"/>
      <c r="CE432" s="21" t="str">
        <f ca="1">_xll.IMDP("BND",BV432,CE8,BV3)</f>
        <v>입력오류</v>
      </c>
      <c r="CF432" s="23" t="str">
        <f ca="1">_xll.IMDP("BND",BV432,CF8,BV3)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"/>
      <c r="DC432" s="21" t="str">
        <f ca="1">_xll.IMDP("BND",CT432,DC8,CT3)</f>
        <v>입력오류</v>
      </c>
      <c r="DD432" s="23" t="str">
        <f ca="1">_xll.IMDP("BND",CT432,DD8,CT3)</f>
        <v>입력오류</v>
      </c>
      <c r="DE432" s="2"/>
      <c r="DO432" s="21" t="str">
        <f ca="1">_xll.IMDP("BND",DF432,DO8,DF3)</f>
        <v>입력오류</v>
      </c>
      <c r="DP432" s="23" t="str">
        <f ca="1">_xll.IMDP("BND",DF432,DP8,DF3)</f>
        <v>입력오류</v>
      </c>
      <c r="DQ432" s="2"/>
      <c r="EA432" s="21" t="str">
        <f ca="1">_xll.IMDP("BND",DR432,EA8,DR3)</f>
        <v>입력오류</v>
      </c>
      <c r="EB432" s="23" t="str">
        <f ca="1">_xll.IMDP("BND",DR432,EB8,DR3)</f>
        <v>입력오류</v>
      </c>
    </row>
    <row r="433" spans="1:132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"/>
      <c r="W433" s="21" t="str">
        <f ca="1">_xll.IMDP("BND",N433,W8,N3)</f>
        <v>입력오류</v>
      </c>
      <c r="X433" s="23" t="str">
        <f ca="1">_xll.IMDP("BND",N433,X8,N3)</f>
        <v>입력오류</v>
      </c>
      <c r="Y433" s="2"/>
      <c r="AI433" s="21" t="str">
        <f ca="1">_xll.IMDP("BND",Z433,AI8,Z3)</f>
        <v>입력오류</v>
      </c>
      <c r="AJ433" s="23" t="str">
        <f ca="1">_xll.IMDP("BND",Z433,AJ8,Z3)</f>
        <v>입력오류</v>
      </c>
      <c r="AK433" s="2"/>
      <c r="AU433" s="21" t="str">
        <f ca="1">_xll.IMDP("BND",AL433,AU8,AL3)</f>
        <v>입력오류</v>
      </c>
      <c r="AV433" s="23" t="str">
        <f ca="1">_xll.IMDP("BND",AL433,AV8,AL3)</f>
        <v>입력오류</v>
      </c>
      <c r="AW433" s="2"/>
      <c r="BG433" s="21" t="str">
        <f ca="1">_xll.IMDP("BND",AX433,BG8,AX3)</f>
        <v>입력오류</v>
      </c>
      <c r="BH433" s="23" t="str">
        <f ca="1">_xll.IMDP("BND",AX433,BH8,AX3)</f>
        <v>입력오류</v>
      </c>
      <c r="BI433" s="2"/>
      <c r="BS433" s="21" t="str">
        <f ca="1">_xll.IMDP("BND",BJ433,BS8,BJ3)</f>
        <v>입력오류</v>
      </c>
      <c r="BT433" s="23" t="str">
        <f ca="1">_xll.IMDP("BND",BJ433,BT8,BJ3)</f>
        <v>입력오류</v>
      </c>
      <c r="BU433" s="2"/>
      <c r="CE433" s="21" t="str">
        <f ca="1">_xll.IMDP("BND",BV433,CE8,BV3)</f>
        <v>입력오류</v>
      </c>
      <c r="CF433" s="23" t="str">
        <f ca="1">_xll.IMDP("BND",BV433,CF8,BV3)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"/>
      <c r="DC433" s="21" t="str">
        <f ca="1">_xll.IMDP("BND",CT433,DC8,CT3)</f>
        <v>입력오류</v>
      </c>
      <c r="DD433" s="23" t="str">
        <f ca="1">_xll.IMDP("BND",CT433,DD8,CT3)</f>
        <v>입력오류</v>
      </c>
      <c r="DE433" s="2"/>
      <c r="DO433" s="21" t="str">
        <f ca="1">_xll.IMDP("BND",DF433,DO8,DF3)</f>
        <v>입력오류</v>
      </c>
      <c r="DP433" s="23" t="str">
        <f ca="1">_xll.IMDP("BND",DF433,DP8,DF3)</f>
        <v>입력오류</v>
      </c>
      <c r="DQ433" s="2"/>
      <c r="EA433" s="21" t="str">
        <f ca="1">_xll.IMDP("BND",DR433,EA8,DR3)</f>
        <v>입력오류</v>
      </c>
      <c r="EB433" s="23" t="str">
        <f ca="1">_xll.IMDP("BND",DR433,EB8,DR3)</f>
        <v>입력오류</v>
      </c>
    </row>
    <row r="434" spans="1:132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"/>
      <c r="W434" s="21" t="str">
        <f ca="1">_xll.IMDP("BND",N434,W8,N3)</f>
        <v>입력오류</v>
      </c>
      <c r="X434" s="23" t="str">
        <f ca="1">_xll.IMDP("BND",N434,X8,N3)</f>
        <v>입력오류</v>
      </c>
      <c r="Y434" s="2"/>
      <c r="AI434" s="21" t="str">
        <f ca="1">_xll.IMDP("BND",Z434,AI8,Z3)</f>
        <v>입력오류</v>
      </c>
      <c r="AJ434" s="23" t="str">
        <f ca="1">_xll.IMDP("BND",Z434,AJ8,Z3)</f>
        <v>입력오류</v>
      </c>
      <c r="AK434" s="2"/>
      <c r="AU434" s="21" t="str">
        <f ca="1">_xll.IMDP("BND",AL434,AU8,AL3)</f>
        <v>입력오류</v>
      </c>
      <c r="AV434" s="23" t="str">
        <f ca="1">_xll.IMDP("BND",AL434,AV8,AL3)</f>
        <v>입력오류</v>
      </c>
      <c r="AW434" s="2"/>
      <c r="BG434" s="21" t="str">
        <f ca="1">_xll.IMDP("BND",AX434,BG8,AX3)</f>
        <v>입력오류</v>
      </c>
      <c r="BH434" s="23" t="str">
        <f ca="1">_xll.IMDP("BND",AX434,BH8,AX3)</f>
        <v>입력오류</v>
      </c>
      <c r="BI434" s="2"/>
      <c r="BS434" s="21" t="str">
        <f ca="1">_xll.IMDP("BND",BJ434,BS8,BJ3)</f>
        <v>입력오류</v>
      </c>
      <c r="BT434" s="23" t="str">
        <f ca="1">_xll.IMDP("BND",BJ434,BT8,BJ3)</f>
        <v>입력오류</v>
      </c>
      <c r="BU434" s="2"/>
      <c r="CE434" s="21" t="str">
        <f ca="1">_xll.IMDP("BND",BV434,CE8,BV3)</f>
        <v>입력오류</v>
      </c>
      <c r="CF434" s="23" t="str">
        <f ca="1">_xll.IMDP("BND",BV434,CF8,BV3)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"/>
      <c r="DC434" s="21" t="str">
        <f ca="1">_xll.IMDP("BND",CT434,DC8,CT3)</f>
        <v>입력오류</v>
      </c>
      <c r="DD434" s="23" t="str">
        <f ca="1">_xll.IMDP("BND",CT434,DD8,CT3)</f>
        <v>입력오류</v>
      </c>
      <c r="DE434" s="2"/>
      <c r="DO434" s="21" t="str">
        <f ca="1">_xll.IMDP("BND",DF434,DO8,DF3)</f>
        <v>입력오류</v>
      </c>
      <c r="DP434" s="23" t="str">
        <f ca="1">_xll.IMDP("BND",DF434,DP8,DF3)</f>
        <v>입력오류</v>
      </c>
      <c r="DQ434" s="2"/>
      <c r="EA434" s="21" t="str">
        <f ca="1">_xll.IMDP("BND",DR434,EA8,DR3)</f>
        <v>입력오류</v>
      </c>
      <c r="EB434" s="23" t="str">
        <f ca="1">_xll.IMDP("BND",DR434,EB8,DR3)</f>
        <v>입력오류</v>
      </c>
    </row>
    <row r="435" spans="1:132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"/>
      <c r="W435" s="21" t="str">
        <f ca="1">_xll.IMDP("BND",N435,W8,N3)</f>
        <v>입력오류</v>
      </c>
      <c r="X435" s="23" t="str">
        <f ca="1">_xll.IMDP("BND",N435,X8,N3)</f>
        <v>입력오류</v>
      </c>
      <c r="Y435" s="2"/>
      <c r="AI435" s="21" t="str">
        <f ca="1">_xll.IMDP("BND",Z435,AI8,Z3)</f>
        <v>입력오류</v>
      </c>
      <c r="AJ435" s="23" t="str">
        <f ca="1">_xll.IMDP("BND",Z435,AJ8,Z3)</f>
        <v>입력오류</v>
      </c>
      <c r="AK435" s="2"/>
      <c r="AU435" s="21" t="str">
        <f ca="1">_xll.IMDP("BND",AL435,AU8,AL3)</f>
        <v>입력오류</v>
      </c>
      <c r="AV435" s="23" t="str">
        <f ca="1">_xll.IMDP("BND",AL435,AV8,AL3)</f>
        <v>입력오류</v>
      </c>
      <c r="AW435" s="2"/>
      <c r="BG435" s="21" t="str">
        <f ca="1">_xll.IMDP("BND",AX435,BG8,AX3)</f>
        <v>입력오류</v>
      </c>
      <c r="BH435" s="23" t="str">
        <f ca="1">_xll.IMDP("BND",AX435,BH8,AX3)</f>
        <v>입력오류</v>
      </c>
      <c r="BI435" s="2"/>
      <c r="BS435" s="21" t="str">
        <f ca="1">_xll.IMDP("BND",BJ435,BS8,BJ3)</f>
        <v>입력오류</v>
      </c>
      <c r="BT435" s="23" t="str">
        <f ca="1">_xll.IMDP("BND",BJ435,BT8,BJ3)</f>
        <v>입력오류</v>
      </c>
      <c r="BU435" s="2"/>
      <c r="CE435" s="21" t="str">
        <f ca="1">_xll.IMDP("BND",BV435,CE8,BV3)</f>
        <v>입력오류</v>
      </c>
      <c r="CF435" s="23" t="str">
        <f ca="1">_xll.IMDP("BND",BV435,CF8,BV3)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"/>
      <c r="DC435" s="21" t="str">
        <f ca="1">_xll.IMDP("BND",CT435,DC8,CT3)</f>
        <v>입력오류</v>
      </c>
      <c r="DD435" s="23" t="str">
        <f ca="1">_xll.IMDP("BND",CT435,DD8,CT3)</f>
        <v>입력오류</v>
      </c>
      <c r="DE435" s="2"/>
      <c r="DO435" s="21" t="str">
        <f ca="1">_xll.IMDP("BND",DF435,DO8,DF3)</f>
        <v>입력오류</v>
      </c>
      <c r="DP435" s="23" t="str">
        <f ca="1">_xll.IMDP("BND",DF435,DP8,DF3)</f>
        <v>입력오류</v>
      </c>
      <c r="DQ435" s="2"/>
      <c r="EA435" s="21" t="str">
        <f ca="1">_xll.IMDP("BND",DR435,EA8,DR3)</f>
        <v>입력오류</v>
      </c>
      <c r="EB435" s="23" t="str">
        <f ca="1">_xll.IMDP("BND",DR435,EB8,DR3)</f>
        <v>입력오류</v>
      </c>
    </row>
    <row r="436" spans="1:132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"/>
      <c r="W436" s="21" t="str">
        <f ca="1">_xll.IMDP("BND",N436,W8,N3)</f>
        <v>입력오류</v>
      </c>
      <c r="X436" s="23" t="str">
        <f ca="1">_xll.IMDP("BND",N436,X8,N3)</f>
        <v>입력오류</v>
      </c>
      <c r="Y436" s="2"/>
      <c r="AI436" s="21" t="str">
        <f ca="1">_xll.IMDP("BND",Z436,AI8,Z3)</f>
        <v>입력오류</v>
      </c>
      <c r="AJ436" s="23" t="str">
        <f ca="1">_xll.IMDP("BND",Z436,AJ8,Z3)</f>
        <v>입력오류</v>
      </c>
      <c r="AK436" s="2"/>
      <c r="AU436" s="21" t="str">
        <f ca="1">_xll.IMDP("BND",AL436,AU8,AL3)</f>
        <v>입력오류</v>
      </c>
      <c r="AV436" s="23" t="str">
        <f ca="1">_xll.IMDP("BND",AL436,AV8,AL3)</f>
        <v>입력오류</v>
      </c>
      <c r="AW436" s="2"/>
      <c r="BG436" s="21" t="str">
        <f ca="1">_xll.IMDP("BND",AX436,BG8,AX3)</f>
        <v>입력오류</v>
      </c>
      <c r="BH436" s="23" t="str">
        <f ca="1">_xll.IMDP("BND",AX436,BH8,AX3)</f>
        <v>입력오류</v>
      </c>
      <c r="BI436" s="2"/>
      <c r="BS436" s="21" t="str">
        <f ca="1">_xll.IMDP("BND",BJ436,BS8,BJ3)</f>
        <v>입력오류</v>
      </c>
      <c r="BT436" s="23" t="str">
        <f ca="1">_xll.IMDP("BND",BJ436,BT8,BJ3)</f>
        <v>입력오류</v>
      </c>
      <c r="BU436" s="2"/>
      <c r="CE436" s="21" t="str">
        <f ca="1">_xll.IMDP("BND",BV436,CE8,BV3)</f>
        <v>입력오류</v>
      </c>
      <c r="CF436" s="23" t="str">
        <f ca="1">_xll.IMDP("BND",BV436,CF8,BV3)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"/>
      <c r="DC436" s="21" t="str">
        <f ca="1">_xll.IMDP("BND",CT436,DC8,CT3)</f>
        <v>입력오류</v>
      </c>
      <c r="DD436" s="23" t="str">
        <f ca="1">_xll.IMDP("BND",CT436,DD8,CT3)</f>
        <v>입력오류</v>
      </c>
      <c r="DE436" s="2"/>
      <c r="DO436" s="21" t="str">
        <f ca="1">_xll.IMDP("BND",DF436,DO8,DF3)</f>
        <v>입력오류</v>
      </c>
      <c r="DP436" s="23" t="str">
        <f ca="1">_xll.IMDP("BND",DF436,DP8,DF3)</f>
        <v>입력오류</v>
      </c>
      <c r="DQ436" s="2"/>
      <c r="EA436" s="21" t="str">
        <f ca="1">_xll.IMDP("BND",DR436,EA8,DR3)</f>
        <v>입력오류</v>
      </c>
      <c r="EB436" s="23" t="str">
        <f ca="1">_xll.IMDP("BND",DR436,EB8,DR3)</f>
        <v>입력오류</v>
      </c>
    </row>
    <row r="437" spans="1:132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"/>
      <c r="W437" s="21" t="str">
        <f ca="1">_xll.IMDP("BND",N437,W8,N3)</f>
        <v>입력오류</v>
      </c>
      <c r="X437" s="23" t="str">
        <f ca="1">_xll.IMDP("BND",N437,X8,N3)</f>
        <v>입력오류</v>
      </c>
      <c r="Y437" s="2"/>
      <c r="AI437" s="21" t="str">
        <f ca="1">_xll.IMDP("BND",Z437,AI8,Z3)</f>
        <v>입력오류</v>
      </c>
      <c r="AJ437" s="23" t="str">
        <f ca="1">_xll.IMDP("BND",Z437,AJ8,Z3)</f>
        <v>입력오류</v>
      </c>
      <c r="AK437" s="2"/>
      <c r="AU437" s="21" t="str">
        <f ca="1">_xll.IMDP("BND",AL437,AU8,AL3)</f>
        <v>입력오류</v>
      </c>
      <c r="AV437" s="23" t="str">
        <f ca="1">_xll.IMDP("BND",AL437,AV8,AL3)</f>
        <v>입력오류</v>
      </c>
      <c r="AW437" s="2"/>
      <c r="BG437" s="21" t="str">
        <f ca="1">_xll.IMDP("BND",AX437,BG8,AX3)</f>
        <v>입력오류</v>
      </c>
      <c r="BH437" s="23" t="str">
        <f ca="1">_xll.IMDP("BND",AX437,BH8,AX3)</f>
        <v>입력오류</v>
      </c>
      <c r="BI437" s="2"/>
      <c r="BS437" s="21" t="str">
        <f ca="1">_xll.IMDP("BND",BJ437,BS8,BJ3)</f>
        <v>입력오류</v>
      </c>
      <c r="BT437" s="23" t="str">
        <f ca="1">_xll.IMDP("BND",BJ437,BT8,BJ3)</f>
        <v>입력오류</v>
      </c>
      <c r="BU437" s="2"/>
      <c r="CE437" s="21" t="str">
        <f ca="1">_xll.IMDP("BND",BV437,CE8,BV3)</f>
        <v>입력오류</v>
      </c>
      <c r="CF437" s="23" t="str">
        <f ca="1">_xll.IMDP("BND",BV437,CF8,BV3)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"/>
      <c r="DC437" s="21" t="str">
        <f ca="1">_xll.IMDP("BND",CT437,DC8,CT3)</f>
        <v>입력오류</v>
      </c>
      <c r="DD437" s="23" t="str">
        <f ca="1">_xll.IMDP("BND",CT437,DD8,CT3)</f>
        <v>입력오류</v>
      </c>
      <c r="DE437" s="2"/>
      <c r="DO437" s="21" t="str">
        <f ca="1">_xll.IMDP("BND",DF437,DO8,DF3)</f>
        <v>입력오류</v>
      </c>
      <c r="DP437" s="23" t="str">
        <f ca="1">_xll.IMDP("BND",DF437,DP8,DF3)</f>
        <v>입력오류</v>
      </c>
      <c r="DQ437" s="2"/>
      <c r="EA437" s="21" t="str">
        <f ca="1">_xll.IMDP("BND",DR437,EA8,DR3)</f>
        <v>입력오류</v>
      </c>
      <c r="EB437" s="23" t="str">
        <f ca="1">_xll.IMDP("BND",DR437,EB8,DR3)</f>
        <v>입력오류</v>
      </c>
    </row>
    <row r="438" spans="1:132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"/>
      <c r="W438" s="21" t="str">
        <f ca="1">_xll.IMDP("BND",N438,W8,N3)</f>
        <v>입력오류</v>
      </c>
      <c r="X438" s="23" t="str">
        <f ca="1">_xll.IMDP("BND",N438,X8,N3)</f>
        <v>입력오류</v>
      </c>
      <c r="Y438" s="2"/>
      <c r="AI438" s="21" t="str">
        <f ca="1">_xll.IMDP("BND",Z438,AI8,Z3)</f>
        <v>입력오류</v>
      </c>
      <c r="AJ438" s="23" t="str">
        <f ca="1">_xll.IMDP("BND",Z438,AJ8,Z3)</f>
        <v>입력오류</v>
      </c>
      <c r="AK438" s="2"/>
      <c r="AU438" s="21" t="str">
        <f ca="1">_xll.IMDP("BND",AL438,AU8,AL3)</f>
        <v>입력오류</v>
      </c>
      <c r="AV438" s="23" t="str">
        <f ca="1">_xll.IMDP("BND",AL438,AV8,AL3)</f>
        <v>입력오류</v>
      </c>
      <c r="AW438" s="2"/>
      <c r="BG438" s="21" t="str">
        <f ca="1">_xll.IMDP("BND",AX438,BG8,AX3)</f>
        <v>입력오류</v>
      </c>
      <c r="BH438" s="23" t="str">
        <f ca="1">_xll.IMDP("BND",AX438,BH8,AX3)</f>
        <v>입력오류</v>
      </c>
      <c r="BI438" s="2"/>
      <c r="BS438" s="21" t="str">
        <f ca="1">_xll.IMDP("BND",BJ438,BS8,BJ3)</f>
        <v>입력오류</v>
      </c>
      <c r="BT438" s="23" t="str">
        <f ca="1">_xll.IMDP("BND",BJ438,BT8,BJ3)</f>
        <v>입력오류</v>
      </c>
      <c r="BU438" s="2"/>
      <c r="CE438" s="21" t="str">
        <f ca="1">_xll.IMDP("BND",BV438,CE8,BV3)</f>
        <v>입력오류</v>
      </c>
      <c r="CF438" s="23" t="str">
        <f ca="1">_xll.IMDP("BND",BV438,CF8,BV3)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"/>
      <c r="DC438" s="21" t="str">
        <f ca="1">_xll.IMDP("BND",CT438,DC8,CT3)</f>
        <v>입력오류</v>
      </c>
      <c r="DD438" s="23" t="str">
        <f ca="1">_xll.IMDP("BND",CT438,DD8,CT3)</f>
        <v>입력오류</v>
      </c>
      <c r="DE438" s="2"/>
      <c r="DO438" s="21" t="str">
        <f ca="1">_xll.IMDP("BND",DF438,DO8,DF3)</f>
        <v>입력오류</v>
      </c>
      <c r="DP438" s="23" t="str">
        <f ca="1">_xll.IMDP("BND",DF438,DP8,DF3)</f>
        <v>입력오류</v>
      </c>
      <c r="DQ438" s="2"/>
      <c r="EA438" s="21" t="str">
        <f ca="1">_xll.IMDP("BND",DR438,EA8,DR3)</f>
        <v>입력오류</v>
      </c>
      <c r="EB438" s="23" t="str">
        <f ca="1">_xll.IMDP("BND",DR438,EB8,DR3)</f>
        <v>입력오류</v>
      </c>
    </row>
    <row r="439" spans="1:132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"/>
      <c r="W439" s="21" t="str">
        <f ca="1">_xll.IMDP("BND",N439,W8,N3)</f>
        <v>입력오류</v>
      </c>
      <c r="X439" s="23" t="str">
        <f ca="1">_xll.IMDP("BND",N439,X8,N3)</f>
        <v>입력오류</v>
      </c>
      <c r="Y439" s="2"/>
      <c r="AI439" s="21" t="str">
        <f ca="1">_xll.IMDP("BND",Z439,AI8,Z3)</f>
        <v>입력오류</v>
      </c>
      <c r="AJ439" s="23" t="str">
        <f ca="1">_xll.IMDP("BND",Z439,AJ8,Z3)</f>
        <v>입력오류</v>
      </c>
      <c r="AK439" s="2"/>
      <c r="AU439" s="21" t="str">
        <f ca="1">_xll.IMDP("BND",AL439,AU8,AL3)</f>
        <v>입력오류</v>
      </c>
      <c r="AV439" s="23" t="str">
        <f ca="1">_xll.IMDP("BND",AL439,AV8,AL3)</f>
        <v>입력오류</v>
      </c>
      <c r="AW439" s="2"/>
      <c r="BG439" s="21" t="str">
        <f ca="1">_xll.IMDP("BND",AX439,BG8,AX3)</f>
        <v>입력오류</v>
      </c>
      <c r="BH439" s="23" t="str">
        <f ca="1">_xll.IMDP("BND",AX439,BH8,AX3)</f>
        <v>입력오류</v>
      </c>
      <c r="BI439" s="2"/>
      <c r="BS439" s="21" t="str">
        <f ca="1">_xll.IMDP("BND",BJ439,BS8,BJ3)</f>
        <v>입력오류</v>
      </c>
      <c r="BT439" s="23" t="str">
        <f ca="1">_xll.IMDP("BND",BJ439,BT8,BJ3)</f>
        <v>입력오류</v>
      </c>
      <c r="BU439" s="2"/>
      <c r="CE439" s="21" t="str">
        <f ca="1">_xll.IMDP("BND",BV439,CE8,BV3)</f>
        <v>입력오류</v>
      </c>
      <c r="CF439" s="23" t="str">
        <f ca="1">_xll.IMDP("BND",BV439,CF8,BV3)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"/>
      <c r="DC439" s="21" t="str">
        <f ca="1">_xll.IMDP("BND",CT439,DC8,CT3)</f>
        <v>입력오류</v>
      </c>
      <c r="DD439" s="23" t="str">
        <f ca="1">_xll.IMDP("BND",CT439,DD8,CT3)</f>
        <v>입력오류</v>
      </c>
      <c r="DE439" s="2"/>
      <c r="DO439" s="21" t="str">
        <f ca="1">_xll.IMDP("BND",DF439,DO8,DF3)</f>
        <v>입력오류</v>
      </c>
      <c r="DP439" s="23" t="str">
        <f ca="1">_xll.IMDP("BND",DF439,DP8,DF3)</f>
        <v>입력오류</v>
      </c>
      <c r="DQ439" s="2"/>
      <c r="EA439" s="21" t="str">
        <f ca="1">_xll.IMDP("BND",DR439,EA8,DR3)</f>
        <v>입력오류</v>
      </c>
      <c r="EB439" s="23" t="str">
        <f ca="1">_xll.IMDP("BND",DR439,EB8,DR3)</f>
        <v>입력오류</v>
      </c>
    </row>
    <row r="440" spans="1:132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"/>
      <c r="W440" s="21" t="str">
        <f ca="1">_xll.IMDP("BND",N440,W8,N3)</f>
        <v>입력오류</v>
      </c>
      <c r="X440" s="23" t="str">
        <f ca="1">_xll.IMDP("BND",N440,X8,N3)</f>
        <v>입력오류</v>
      </c>
      <c r="Y440" s="2"/>
      <c r="AI440" s="21" t="str">
        <f ca="1">_xll.IMDP("BND",Z440,AI8,Z3)</f>
        <v>입력오류</v>
      </c>
      <c r="AJ440" s="23" t="str">
        <f ca="1">_xll.IMDP("BND",Z440,AJ8,Z3)</f>
        <v>입력오류</v>
      </c>
      <c r="AK440" s="2"/>
      <c r="AU440" s="21" t="str">
        <f ca="1">_xll.IMDP("BND",AL440,AU8,AL3)</f>
        <v>입력오류</v>
      </c>
      <c r="AV440" s="23" t="str">
        <f ca="1">_xll.IMDP("BND",AL440,AV8,AL3)</f>
        <v>입력오류</v>
      </c>
      <c r="AW440" s="2"/>
      <c r="BG440" s="21" t="str">
        <f ca="1">_xll.IMDP("BND",AX440,BG8,AX3)</f>
        <v>입력오류</v>
      </c>
      <c r="BH440" s="23" t="str">
        <f ca="1">_xll.IMDP("BND",AX440,BH8,AX3)</f>
        <v>입력오류</v>
      </c>
      <c r="BI440" s="2"/>
      <c r="BS440" s="21" t="str">
        <f ca="1">_xll.IMDP("BND",BJ440,BS8,BJ3)</f>
        <v>입력오류</v>
      </c>
      <c r="BT440" s="23" t="str">
        <f ca="1">_xll.IMDP("BND",BJ440,BT8,BJ3)</f>
        <v>입력오류</v>
      </c>
      <c r="BU440" s="2"/>
      <c r="CE440" s="21" t="str">
        <f ca="1">_xll.IMDP("BND",BV440,CE8,BV3)</f>
        <v>입력오류</v>
      </c>
      <c r="CF440" s="23" t="str">
        <f ca="1">_xll.IMDP("BND",BV440,CF8,BV3)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"/>
      <c r="DC440" s="21" t="str">
        <f ca="1">_xll.IMDP("BND",CT440,DC8,CT3)</f>
        <v>입력오류</v>
      </c>
      <c r="DD440" s="23" t="str">
        <f ca="1">_xll.IMDP("BND",CT440,DD8,CT3)</f>
        <v>입력오류</v>
      </c>
      <c r="DE440" s="2"/>
      <c r="DO440" s="21" t="str">
        <f ca="1">_xll.IMDP("BND",DF440,DO8,DF3)</f>
        <v>입력오류</v>
      </c>
      <c r="DP440" s="23" t="str">
        <f ca="1">_xll.IMDP("BND",DF440,DP8,DF3)</f>
        <v>입력오류</v>
      </c>
      <c r="DQ440" s="2"/>
      <c r="EA440" s="21" t="str">
        <f ca="1">_xll.IMDP("BND",DR440,EA8,DR3)</f>
        <v>입력오류</v>
      </c>
      <c r="EB440" s="23" t="str">
        <f ca="1">_xll.IMDP("BND",DR440,EB8,DR3)</f>
        <v>입력오류</v>
      </c>
    </row>
    <row r="441" spans="1:132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"/>
      <c r="W441" s="21" t="str">
        <f ca="1">_xll.IMDP("BND",N441,W8,N3)</f>
        <v>입력오류</v>
      </c>
      <c r="X441" s="23" t="str">
        <f ca="1">_xll.IMDP("BND",N441,X8,N3)</f>
        <v>입력오류</v>
      </c>
      <c r="Y441" s="2"/>
      <c r="AI441" s="21" t="str">
        <f ca="1">_xll.IMDP("BND",Z441,AI8,Z3)</f>
        <v>입력오류</v>
      </c>
      <c r="AJ441" s="23" t="str">
        <f ca="1">_xll.IMDP("BND",Z441,AJ8,Z3)</f>
        <v>입력오류</v>
      </c>
      <c r="AK441" s="2"/>
      <c r="AU441" s="21" t="str">
        <f ca="1">_xll.IMDP("BND",AL441,AU8,AL3)</f>
        <v>입력오류</v>
      </c>
      <c r="AV441" s="23" t="str">
        <f ca="1">_xll.IMDP("BND",AL441,AV8,AL3)</f>
        <v>입력오류</v>
      </c>
      <c r="AW441" s="2"/>
      <c r="BG441" s="21" t="str">
        <f ca="1">_xll.IMDP("BND",AX441,BG8,AX3)</f>
        <v>입력오류</v>
      </c>
      <c r="BH441" s="23" t="str">
        <f ca="1">_xll.IMDP("BND",AX441,BH8,AX3)</f>
        <v>입력오류</v>
      </c>
      <c r="BI441" s="2"/>
      <c r="BS441" s="21" t="str">
        <f ca="1">_xll.IMDP("BND",BJ441,BS8,BJ3)</f>
        <v>입력오류</v>
      </c>
      <c r="BT441" s="23" t="str">
        <f ca="1">_xll.IMDP("BND",BJ441,BT8,BJ3)</f>
        <v>입력오류</v>
      </c>
      <c r="BU441" s="2"/>
      <c r="CE441" s="21" t="str">
        <f ca="1">_xll.IMDP("BND",BV441,CE8,BV3)</f>
        <v>입력오류</v>
      </c>
      <c r="CF441" s="23" t="str">
        <f ca="1">_xll.IMDP("BND",BV441,CF8,BV3)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"/>
      <c r="DC441" s="21" t="str">
        <f ca="1">_xll.IMDP("BND",CT441,DC8,CT3)</f>
        <v>입력오류</v>
      </c>
      <c r="DD441" s="23" t="str">
        <f ca="1">_xll.IMDP("BND",CT441,DD8,CT3)</f>
        <v>입력오류</v>
      </c>
      <c r="DE441" s="2"/>
      <c r="DO441" s="21" t="str">
        <f ca="1">_xll.IMDP("BND",DF441,DO8,DF3)</f>
        <v>입력오류</v>
      </c>
      <c r="DP441" s="23" t="str">
        <f ca="1">_xll.IMDP("BND",DF441,DP8,DF3)</f>
        <v>입력오류</v>
      </c>
      <c r="DQ441" s="2"/>
      <c r="EA441" s="21" t="str">
        <f ca="1">_xll.IMDP("BND",DR441,EA8,DR3)</f>
        <v>입력오류</v>
      </c>
      <c r="EB441" s="23" t="str">
        <f ca="1">_xll.IMDP("BND",DR441,EB8,DR3)</f>
        <v>입력오류</v>
      </c>
    </row>
    <row r="442" spans="1:132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"/>
      <c r="W442" s="21" t="str">
        <f ca="1">_xll.IMDP("BND",N442,W8,N3)</f>
        <v>입력오류</v>
      </c>
      <c r="X442" s="23" t="str">
        <f ca="1">_xll.IMDP("BND",N442,X8,N3)</f>
        <v>입력오류</v>
      </c>
      <c r="Y442" s="2"/>
      <c r="AI442" s="21" t="str">
        <f ca="1">_xll.IMDP("BND",Z442,AI8,Z3)</f>
        <v>입력오류</v>
      </c>
      <c r="AJ442" s="23" t="str">
        <f ca="1">_xll.IMDP("BND",Z442,AJ8,Z3)</f>
        <v>입력오류</v>
      </c>
      <c r="AK442" s="2"/>
      <c r="AU442" s="21" t="str">
        <f ca="1">_xll.IMDP("BND",AL442,AU8,AL3)</f>
        <v>입력오류</v>
      </c>
      <c r="AV442" s="23" t="str">
        <f ca="1">_xll.IMDP("BND",AL442,AV8,AL3)</f>
        <v>입력오류</v>
      </c>
      <c r="AW442" s="2"/>
      <c r="BG442" s="21" t="str">
        <f ca="1">_xll.IMDP("BND",AX442,BG8,AX3)</f>
        <v>입력오류</v>
      </c>
      <c r="BH442" s="23" t="str">
        <f ca="1">_xll.IMDP("BND",AX442,BH8,AX3)</f>
        <v>입력오류</v>
      </c>
      <c r="BI442" s="2"/>
      <c r="BS442" s="21" t="str">
        <f ca="1">_xll.IMDP("BND",BJ442,BS8,BJ3)</f>
        <v>입력오류</v>
      </c>
      <c r="BT442" s="23" t="str">
        <f ca="1">_xll.IMDP("BND",BJ442,BT8,BJ3)</f>
        <v>입력오류</v>
      </c>
      <c r="BU442" s="2"/>
      <c r="CE442" s="21" t="str">
        <f ca="1">_xll.IMDP("BND",BV442,CE8,BV3)</f>
        <v>입력오류</v>
      </c>
      <c r="CF442" s="23" t="str">
        <f ca="1">_xll.IMDP("BND",BV442,CF8,BV3)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"/>
      <c r="DC442" s="21" t="str">
        <f ca="1">_xll.IMDP("BND",CT442,DC8,CT3)</f>
        <v>입력오류</v>
      </c>
      <c r="DD442" s="23" t="str">
        <f ca="1">_xll.IMDP("BND",CT442,DD8,CT3)</f>
        <v>입력오류</v>
      </c>
      <c r="DE442" s="2"/>
      <c r="DO442" s="21" t="str">
        <f ca="1">_xll.IMDP("BND",DF442,DO8,DF3)</f>
        <v>입력오류</v>
      </c>
      <c r="DP442" s="23" t="str">
        <f ca="1">_xll.IMDP("BND",DF442,DP8,DF3)</f>
        <v>입력오류</v>
      </c>
      <c r="DQ442" s="2"/>
      <c r="EA442" s="21" t="str">
        <f ca="1">_xll.IMDP("BND",DR442,EA8,DR3)</f>
        <v>입력오류</v>
      </c>
      <c r="EB442" s="23" t="str">
        <f ca="1">_xll.IMDP("BND",DR442,EB8,DR3)</f>
        <v>입력오류</v>
      </c>
    </row>
    <row r="443" spans="1:132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"/>
      <c r="W443" s="21" t="str">
        <f ca="1">_xll.IMDP("BND",N443,W8,N3)</f>
        <v>입력오류</v>
      </c>
      <c r="X443" s="23" t="str">
        <f ca="1">_xll.IMDP("BND",N443,X8,N3)</f>
        <v>입력오류</v>
      </c>
      <c r="Y443" s="2"/>
      <c r="AI443" s="21" t="str">
        <f ca="1">_xll.IMDP("BND",Z443,AI8,Z3)</f>
        <v>입력오류</v>
      </c>
      <c r="AJ443" s="23" t="str">
        <f ca="1">_xll.IMDP("BND",Z443,AJ8,Z3)</f>
        <v>입력오류</v>
      </c>
      <c r="AK443" s="2"/>
      <c r="AU443" s="21" t="str">
        <f ca="1">_xll.IMDP("BND",AL443,AU8,AL3)</f>
        <v>입력오류</v>
      </c>
      <c r="AV443" s="23" t="str">
        <f ca="1">_xll.IMDP("BND",AL443,AV8,AL3)</f>
        <v>입력오류</v>
      </c>
      <c r="AW443" s="2"/>
      <c r="BG443" s="21" t="str">
        <f ca="1">_xll.IMDP("BND",AX443,BG8,AX3)</f>
        <v>입력오류</v>
      </c>
      <c r="BH443" s="23" t="str">
        <f ca="1">_xll.IMDP("BND",AX443,BH8,AX3)</f>
        <v>입력오류</v>
      </c>
      <c r="BI443" s="2"/>
      <c r="BS443" s="21" t="str">
        <f ca="1">_xll.IMDP("BND",BJ443,BS8,BJ3)</f>
        <v>입력오류</v>
      </c>
      <c r="BT443" s="23" t="str">
        <f ca="1">_xll.IMDP("BND",BJ443,BT8,BJ3)</f>
        <v>입력오류</v>
      </c>
      <c r="BU443" s="2"/>
      <c r="CE443" s="21" t="str">
        <f ca="1">_xll.IMDP("BND",BV443,CE8,BV3)</f>
        <v>입력오류</v>
      </c>
      <c r="CF443" s="23" t="str">
        <f ca="1">_xll.IMDP("BND",BV443,CF8,BV3)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"/>
      <c r="DC443" s="21" t="str">
        <f ca="1">_xll.IMDP("BND",CT443,DC8,CT3)</f>
        <v>입력오류</v>
      </c>
      <c r="DD443" s="23" t="str">
        <f ca="1">_xll.IMDP("BND",CT443,DD8,CT3)</f>
        <v>입력오류</v>
      </c>
      <c r="DE443" s="2"/>
      <c r="DO443" s="21" t="str">
        <f ca="1">_xll.IMDP("BND",DF443,DO8,DF3)</f>
        <v>입력오류</v>
      </c>
      <c r="DP443" s="23" t="str">
        <f ca="1">_xll.IMDP("BND",DF443,DP8,DF3)</f>
        <v>입력오류</v>
      </c>
      <c r="DQ443" s="2"/>
      <c r="EA443" s="21" t="str">
        <f ca="1">_xll.IMDP("BND",DR443,EA8,DR3)</f>
        <v>입력오류</v>
      </c>
      <c r="EB443" s="23" t="str">
        <f ca="1">_xll.IMDP("BND",DR443,EB8,DR3)</f>
        <v>입력오류</v>
      </c>
    </row>
    <row r="444" spans="1:132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"/>
      <c r="W444" s="21" t="str">
        <f ca="1">_xll.IMDP("BND",N444,W8,N3)</f>
        <v>입력오류</v>
      </c>
      <c r="X444" s="23" t="str">
        <f ca="1">_xll.IMDP("BND",N444,X8,N3)</f>
        <v>입력오류</v>
      </c>
      <c r="Y444" s="2"/>
      <c r="AI444" s="21" t="str">
        <f ca="1">_xll.IMDP("BND",Z444,AI8,Z3)</f>
        <v>입력오류</v>
      </c>
      <c r="AJ444" s="23" t="str">
        <f ca="1">_xll.IMDP("BND",Z444,AJ8,Z3)</f>
        <v>입력오류</v>
      </c>
      <c r="AK444" s="2"/>
      <c r="AU444" s="21" t="str">
        <f ca="1">_xll.IMDP("BND",AL444,AU8,AL3)</f>
        <v>입력오류</v>
      </c>
      <c r="AV444" s="23" t="str">
        <f ca="1">_xll.IMDP("BND",AL444,AV8,AL3)</f>
        <v>입력오류</v>
      </c>
      <c r="AW444" s="2"/>
      <c r="BG444" s="21" t="str">
        <f ca="1">_xll.IMDP("BND",AX444,BG8,AX3)</f>
        <v>입력오류</v>
      </c>
      <c r="BH444" s="23" t="str">
        <f ca="1">_xll.IMDP("BND",AX444,BH8,AX3)</f>
        <v>입력오류</v>
      </c>
      <c r="BI444" s="2"/>
      <c r="BS444" s="21" t="str">
        <f ca="1">_xll.IMDP("BND",BJ444,BS8,BJ3)</f>
        <v>입력오류</v>
      </c>
      <c r="BT444" s="23" t="str">
        <f ca="1">_xll.IMDP("BND",BJ444,BT8,BJ3)</f>
        <v>입력오류</v>
      </c>
      <c r="BU444" s="2"/>
      <c r="CE444" s="21" t="str">
        <f ca="1">_xll.IMDP("BND",BV444,CE8,BV3)</f>
        <v>입력오류</v>
      </c>
      <c r="CF444" s="23" t="str">
        <f ca="1">_xll.IMDP("BND",BV444,CF8,BV3)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"/>
      <c r="DC444" s="21" t="str">
        <f ca="1">_xll.IMDP("BND",CT444,DC8,CT3)</f>
        <v>입력오류</v>
      </c>
      <c r="DD444" s="23" t="str">
        <f ca="1">_xll.IMDP("BND",CT444,DD8,CT3)</f>
        <v>입력오류</v>
      </c>
      <c r="DE444" s="2"/>
      <c r="DO444" s="21" t="str">
        <f ca="1">_xll.IMDP("BND",DF444,DO8,DF3)</f>
        <v>입력오류</v>
      </c>
      <c r="DP444" s="23" t="str">
        <f ca="1">_xll.IMDP("BND",DF444,DP8,DF3)</f>
        <v>입력오류</v>
      </c>
      <c r="DQ444" s="2"/>
      <c r="EA444" s="21" t="str">
        <f ca="1">_xll.IMDP("BND",DR444,EA8,DR3)</f>
        <v>입력오류</v>
      </c>
      <c r="EB444" s="23" t="str">
        <f ca="1">_xll.IMDP("BND",DR444,EB8,DR3)</f>
        <v>입력오류</v>
      </c>
    </row>
    <row r="445" spans="1:132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"/>
      <c r="W445" s="21" t="str">
        <f ca="1">_xll.IMDP("BND",N445,W8,N3)</f>
        <v>입력오류</v>
      </c>
      <c r="X445" s="23" t="str">
        <f ca="1">_xll.IMDP("BND",N445,X8,N3)</f>
        <v>입력오류</v>
      </c>
      <c r="Y445" s="2"/>
      <c r="AI445" s="21" t="str">
        <f ca="1">_xll.IMDP("BND",Z445,AI8,Z3)</f>
        <v>입력오류</v>
      </c>
      <c r="AJ445" s="23" t="str">
        <f ca="1">_xll.IMDP("BND",Z445,AJ8,Z3)</f>
        <v>입력오류</v>
      </c>
      <c r="AK445" s="2"/>
      <c r="AU445" s="21" t="str">
        <f ca="1">_xll.IMDP("BND",AL445,AU8,AL3)</f>
        <v>입력오류</v>
      </c>
      <c r="AV445" s="23" t="str">
        <f ca="1">_xll.IMDP("BND",AL445,AV8,AL3)</f>
        <v>입력오류</v>
      </c>
      <c r="AW445" s="2"/>
      <c r="BG445" s="21" t="str">
        <f ca="1">_xll.IMDP("BND",AX445,BG8,AX3)</f>
        <v>입력오류</v>
      </c>
      <c r="BH445" s="23" t="str">
        <f ca="1">_xll.IMDP("BND",AX445,BH8,AX3)</f>
        <v>입력오류</v>
      </c>
      <c r="BI445" s="2"/>
      <c r="BS445" s="21" t="str">
        <f ca="1">_xll.IMDP("BND",BJ445,BS8,BJ3)</f>
        <v>입력오류</v>
      </c>
      <c r="BT445" s="23" t="str">
        <f ca="1">_xll.IMDP("BND",BJ445,BT8,BJ3)</f>
        <v>입력오류</v>
      </c>
      <c r="BU445" s="2"/>
      <c r="CE445" s="21" t="str">
        <f ca="1">_xll.IMDP("BND",BV445,CE8,BV3)</f>
        <v>입력오류</v>
      </c>
      <c r="CF445" s="23" t="str">
        <f ca="1">_xll.IMDP("BND",BV445,CF8,BV3)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"/>
      <c r="DC445" s="21" t="str">
        <f ca="1">_xll.IMDP("BND",CT445,DC8,CT3)</f>
        <v>입력오류</v>
      </c>
      <c r="DD445" s="23" t="str">
        <f ca="1">_xll.IMDP("BND",CT445,DD8,CT3)</f>
        <v>입력오류</v>
      </c>
      <c r="DE445" s="2"/>
      <c r="DO445" s="21" t="str">
        <f ca="1">_xll.IMDP("BND",DF445,DO8,DF3)</f>
        <v>입력오류</v>
      </c>
      <c r="DP445" s="23" t="str">
        <f ca="1">_xll.IMDP("BND",DF445,DP8,DF3)</f>
        <v>입력오류</v>
      </c>
      <c r="DQ445" s="2"/>
      <c r="EA445" s="21" t="str">
        <f ca="1">_xll.IMDP("BND",DR445,EA8,DR3)</f>
        <v>입력오류</v>
      </c>
      <c r="EB445" s="23" t="str">
        <f ca="1">_xll.IMDP("BND",DR445,EB8,DR3)</f>
        <v>입력오류</v>
      </c>
    </row>
    <row r="446" spans="1:132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"/>
      <c r="W446" s="21" t="str">
        <f ca="1">_xll.IMDP("BND",N446,W8,N3)</f>
        <v>입력오류</v>
      </c>
      <c r="X446" s="23" t="str">
        <f ca="1">_xll.IMDP("BND",N446,X8,N3)</f>
        <v>입력오류</v>
      </c>
      <c r="Y446" s="2"/>
      <c r="AI446" s="21" t="str">
        <f ca="1">_xll.IMDP("BND",Z446,AI8,Z3)</f>
        <v>입력오류</v>
      </c>
      <c r="AJ446" s="23" t="str">
        <f ca="1">_xll.IMDP("BND",Z446,AJ8,Z3)</f>
        <v>입력오류</v>
      </c>
      <c r="AK446" s="2"/>
      <c r="AU446" s="21" t="str">
        <f ca="1">_xll.IMDP("BND",AL446,AU8,AL3)</f>
        <v>입력오류</v>
      </c>
      <c r="AV446" s="23" t="str">
        <f ca="1">_xll.IMDP("BND",AL446,AV8,AL3)</f>
        <v>입력오류</v>
      </c>
      <c r="AW446" s="2"/>
      <c r="BG446" s="21" t="str">
        <f ca="1">_xll.IMDP("BND",AX446,BG8,AX3)</f>
        <v>입력오류</v>
      </c>
      <c r="BH446" s="23" t="str">
        <f ca="1">_xll.IMDP("BND",AX446,BH8,AX3)</f>
        <v>입력오류</v>
      </c>
      <c r="BI446" s="2"/>
      <c r="BS446" s="21" t="str">
        <f ca="1">_xll.IMDP("BND",BJ446,BS8,BJ3)</f>
        <v>입력오류</v>
      </c>
      <c r="BT446" s="23" t="str">
        <f ca="1">_xll.IMDP("BND",BJ446,BT8,BJ3)</f>
        <v>입력오류</v>
      </c>
      <c r="BU446" s="2"/>
      <c r="CE446" s="21" t="str">
        <f ca="1">_xll.IMDP("BND",BV446,CE8,BV3)</f>
        <v>입력오류</v>
      </c>
      <c r="CF446" s="23" t="str">
        <f ca="1">_xll.IMDP("BND",BV446,CF8,BV3)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"/>
      <c r="DC446" s="21" t="str">
        <f ca="1">_xll.IMDP("BND",CT446,DC8,CT3)</f>
        <v>입력오류</v>
      </c>
      <c r="DD446" s="23" t="str">
        <f ca="1">_xll.IMDP("BND",CT446,DD8,CT3)</f>
        <v>입력오류</v>
      </c>
      <c r="DE446" s="2"/>
      <c r="DO446" s="21" t="str">
        <f ca="1">_xll.IMDP("BND",DF446,DO8,DF3)</f>
        <v>입력오류</v>
      </c>
      <c r="DP446" s="23" t="str">
        <f ca="1">_xll.IMDP("BND",DF446,DP8,DF3)</f>
        <v>입력오류</v>
      </c>
      <c r="DQ446" s="2"/>
      <c r="EA446" s="21" t="str">
        <f ca="1">_xll.IMDP("BND",DR446,EA8,DR3)</f>
        <v>입력오류</v>
      </c>
      <c r="EB446" s="23" t="str">
        <f ca="1">_xll.IMDP("BND",DR446,EB8,DR3)</f>
        <v>입력오류</v>
      </c>
    </row>
    <row r="447" spans="1:132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"/>
      <c r="W447" s="21" t="str">
        <f ca="1">_xll.IMDP("BND",N447,W8,N3)</f>
        <v>입력오류</v>
      </c>
      <c r="X447" s="23" t="str">
        <f ca="1">_xll.IMDP("BND",N447,X8,N3)</f>
        <v>입력오류</v>
      </c>
      <c r="Y447" s="2"/>
      <c r="AI447" s="21" t="str">
        <f ca="1">_xll.IMDP("BND",Z447,AI8,Z3)</f>
        <v>입력오류</v>
      </c>
      <c r="AJ447" s="23" t="str">
        <f ca="1">_xll.IMDP("BND",Z447,AJ8,Z3)</f>
        <v>입력오류</v>
      </c>
      <c r="AK447" s="2"/>
      <c r="AU447" s="21" t="str">
        <f ca="1">_xll.IMDP("BND",AL447,AU8,AL3)</f>
        <v>입력오류</v>
      </c>
      <c r="AV447" s="23" t="str">
        <f ca="1">_xll.IMDP("BND",AL447,AV8,AL3)</f>
        <v>입력오류</v>
      </c>
      <c r="AW447" s="2"/>
      <c r="BG447" s="21" t="str">
        <f ca="1">_xll.IMDP("BND",AX447,BG8,AX3)</f>
        <v>입력오류</v>
      </c>
      <c r="BH447" s="23" t="str">
        <f ca="1">_xll.IMDP("BND",AX447,BH8,AX3)</f>
        <v>입력오류</v>
      </c>
      <c r="BI447" s="2"/>
      <c r="BS447" s="21" t="str">
        <f ca="1">_xll.IMDP("BND",BJ447,BS8,BJ3)</f>
        <v>입력오류</v>
      </c>
      <c r="BT447" s="23" t="str">
        <f ca="1">_xll.IMDP("BND",BJ447,BT8,BJ3)</f>
        <v>입력오류</v>
      </c>
      <c r="BU447" s="2"/>
      <c r="CE447" s="21" t="str">
        <f ca="1">_xll.IMDP("BND",BV447,CE8,BV3)</f>
        <v>입력오류</v>
      </c>
      <c r="CF447" s="23" t="str">
        <f ca="1">_xll.IMDP("BND",BV447,CF8,BV3)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"/>
      <c r="DC447" s="21" t="str">
        <f ca="1">_xll.IMDP("BND",CT447,DC8,CT3)</f>
        <v>입력오류</v>
      </c>
      <c r="DD447" s="23" t="str">
        <f ca="1">_xll.IMDP("BND",CT447,DD8,CT3)</f>
        <v>입력오류</v>
      </c>
      <c r="DE447" s="2"/>
      <c r="DO447" s="21" t="str">
        <f ca="1">_xll.IMDP("BND",DF447,DO8,DF3)</f>
        <v>입력오류</v>
      </c>
      <c r="DP447" s="23" t="str">
        <f ca="1">_xll.IMDP("BND",DF447,DP8,DF3)</f>
        <v>입력오류</v>
      </c>
      <c r="DQ447" s="2"/>
      <c r="EA447" s="21" t="str">
        <f ca="1">_xll.IMDP("BND",DR447,EA8,DR3)</f>
        <v>입력오류</v>
      </c>
      <c r="EB447" s="23" t="str">
        <f ca="1">_xll.IMDP("BND",DR447,EB8,DR3)</f>
        <v>입력오류</v>
      </c>
    </row>
    <row r="448" spans="1:132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"/>
      <c r="W448" s="21" t="str">
        <f ca="1">_xll.IMDP("BND",N448,W8,N3)</f>
        <v>입력오류</v>
      </c>
      <c r="X448" s="23" t="str">
        <f ca="1">_xll.IMDP("BND",N448,X8,N3)</f>
        <v>입력오류</v>
      </c>
      <c r="Y448" s="2"/>
      <c r="AI448" s="21" t="str">
        <f ca="1">_xll.IMDP("BND",Z448,AI8,Z3)</f>
        <v>입력오류</v>
      </c>
      <c r="AJ448" s="23" t="str">
        <f ca="1">_xll.IMDP("BND",Z448,AJ8,Z3)</f>
        <v>입력오류</v>
      </c>
      <c r="AK448" s="2"/>
      <c r="AU448" s="21" t="str">
        <f ca="1">_xll.IMDP("BND",AL448,AU8,AL3)</f>
        <v>입력오류</v>
      </c>
      <c r="AV448" s="23" t="str">
        <f ca="1">_xll.IMDP("BND",AL448,AV8,AL3)</f>
        <v>입력오류</v>
      </c>
      <c r="AW448" s="2"/>
      <c r="BG448" s="21" t="str">
        <f ca="1">_xll.IMDP("BND",AX448,BG8,AX3)</f>
        <v>입력오류</v>
      </c>
      <c r="BH448" s="23" t="str">
        <f ca="1">_xll.IMDP("BND",AX448,BH8,AX3)</f>
        <v>입력오류</v>
      </c>
      <c r="BI448" s="2"/>
      <c r="BS448" s="21" t="str">
        <f ca="1">_xll.IMDP("BND",BJ448,BS8,BJ3)</f>
        <v>입력오류</v>
      </c>
      <c r="BT448" s="23" t="str">
        <f ca="1">_xll.IMDP("BND",BJ448,BT8,BJ3)</f>
        <v>입력오류</v>
      </c>
      <c r="BU448" s="2"/>
      <c r="CE448" s="21" t="str">
        <f ca="1">_xll.IMDP("BND",BV448,CE8,BV3)</f>
        <v>입력오류</v>
      </c>
      <c r="CF448" s="23" t="str">
        <f ca="1">_xll.IMDP("BND",BV448,CF8,BV3)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"/>
      <c r="DC448" s="21" t="str">
        <f ca="1">_xll.IMDP("BND",CT448,DC8,CT3)</f>
        <v>입력오류</v>
      </c>
      <c r="DD448" s="23" t="str">
        <f ca="1">_xll.IMDP("BND",CT448,DD8,CT3)</f>
        <v>입력오류</v>
      </c>
      <c r="DE448" s="2"/>
      <c r="DO448" s="21" t="str">
        <f ca="1">_xll.IMDP("BND",DF448,DO8,DF3)</f>
        <v>입력오류</v>
      </c>
      <c r="DP448" s="23" t="str">
        <f ca="1">_xll.IMDP("BND",DF448,DP8,DF3)</f>
        <v>입력오류</v>
      </c>
      <c r="DQ448" s="2"/>
      <c r="EA448" s="21" t="str">
        <f ca="1">_xll.IMDP("BND",DR448,EA8,DR3)</f>
        <v>입력오류</v>
      </c>
      <c r="EB448" s="23" t="str">
        <f ca="1">_xll.IMDP("BND",DR448,EB8,DR3)</f>
        <v>입력오류</v>
      </c>
    </row>
    <row r="449" spans="1:132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"/>
      <c r="W449" s="21" t="str">
        <f ca="1">_xll.IMDP("BND",N449,W8,N3)</f>
        <v>입력오류</v>
      </c>
      <c r="X449" s="23" t="str">
        <f ca="1">_xll.IMDP("BND",N449,X8,N3)</f>
        <v>입력오류</v>
      </c>
      <c r="Y449" s="2"/>
      <c r="AI449" s="21" t="str">
        <f ca="1">_xll.IMDP("BND",Z449,AI8,Z3)</f>
        <v>입력오류</v>
      </c>
      <c r="AJ449" s="23" t="str">
        <f ca="1">_xll.IMDP("BND",Z449,AJ8,Z3)</f>
        <v>입력오류</v>
      </c>
      <c r="AK449" s="2"/>
      <c r="AU449" s="21" t="str">
        <f ca="1">_xll.IMDP("BND",AL449,AU8,AL3)</f>
        <v>입력오류</v>
      </c>
      <c r="AV449" s="23" t="str">
        <f ca="1">_xll.IMDP("BND",AL449,AV8,AL3)</f>
        <v>입력오류</v>
      </c>
      <c r="AW449" s="2"/>
      <c r="BG449" s="21" t="str">
        <f ca="1">_xll.IMDP("BND",AX449,BG8,AX3)</f>
        <v>입력오류</v>
      </c>
      <c r="BH449" s="23" t="str">
        <f ca="1">_xll.IMDP("BND",AX449,BH8,AX3)</f>
        <v>입력오류</v>
      </c>
      <c r="BI449" s="2"/>
      <c r="BS449" s="21" t="str">
        <f ca="1">_xll.IMDP("BND",BJ449,BS8,BJ3)</f>
        <v>입력오류</v>
      </c>
      <c r="BT449" s="23" t="str">
        <f ca="1">_xll.IMDP("BND",BJ449,BT8,BJ3)</f>
        <v>입력오류</v>
      </c>
      <c r="BU449" s="2"/>
      <c r="CE449" s="21" t="str">
        <f ca="1">_xll.IMDP("BND",BV449,CE8,BV3)</f>
        <v>입력오류</v>
      </c>
      <c r="CF449" s="23" t="str">
        <f ca="1">_xll.IMDP("BND",BV449,CF8,BV3)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"/>
      <c r="DC449" s="21" t="str">
        <f ca="1">_xll.IMDP("BND",CT449,DC8,CT3)</f>
        <v>입력오류</v>
      </c>
      <c r="DD449" s="23" t="str">
        <f ca="1">_xll.IMDP("BND",CT449,DD8,CT3)</f>
        <v>입력오류</v>
      </c>
      <c r="DE449" s="2"/>
      <c r="DO449" s="21" t="str">
        <f ca="1">_xll.IMDP("BND",DF449,DO8,DF3)</f>
        <v>입력오류</v>
      </c>
      <c r="DP449" s="23" t="str">
        <f ca="1">_xll.IMDP("BND",DF449,DP8,DF3)</f>
        <v>입력오류</v>
      </c>
      <c r="DQ449" s="2"/>
      <c r="EA449" s="21" t="str">
        <f ca="1">_xll.IMDP("BND",DR449,EA8,DR3)</f>
        <v>입력오류</v>
      </c>
      <c r="EB449" s="23" t="str">
        <f ca="1">_xll.IMDP("BND",DR449,EB8,DR3)</f>
        <v>입력오류</v>
      </c>
    </row>
    <row r="450" spans="1:132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"/>
      <c r="W450" s="21" t="str">
        <f ca="1">_xll.IMDP("BND",N450,W8,N3)</f>
        <v>입력오류</v>
      </c>
      <c r="X450" s="23" t="str">
        <f ca="1">_xll.IMDP("BND",N450,X8,N3)</f>
        <v>입력오류</v>
      </c>
      <c r="Y450" s="2"/>
      <c r="AI450" s="21" t="str">
        <f ca="1">_xll.IMDP("BND",Z450,AI8,Z3)</f>
        <v>입력오류</v>
      </c>
      <c r="AJ450" s="23" t="str">
        <f ca="1">_xll.IMDP("BND",Z450,AJ8,Z3)</f>
        <v>입력오류</v>
      </c>
      <c r="AK450" s="2"/>
      <c r="AU450" s="21" t="str">
        <f ca="1">_xll.IMDP("BND",AL450,AU8,AL3)</f>
        <v>입력오류</v>
      </c>
      <c r="AV450" s="23" t="str">
        <f ca="1">_xll.IMDP("BND",AL450,AV8,AL3)</f>
        <v>입력오류</v>
      </c>
      <c r="AW450" s="2"/>
      <c r="BG450" s="21" t="str">
        <f ca="1">_xll.IMDP("BND",AX450,BG8,AX3)</f>
        <v>입력오류</v>
      </c>
      <c r="BH450" s="23" t="str">
        <f ca="1">_xll.IMDP("BND",AX450,BH8,AX3)</f>
        <v>입력오류</v>
      </c>
      <c r="BI450" s="2"/>
      <c r="BS450" s="21" t="str">
        <f ca="1">_xll.IMDP("BND",BJ450,BS8,BJ3)</f>
        <v>입력오류</v>
      </c>
      <c r="BT450" s="23" t="str">
        <f ca="1">_xll.IMDP("BND",BJ450,BT8,BJ3)</f>
        <v>입력오류</v>
      </c>
      <c r="BU450" s="2"/>
      <c r="CE450" s="21" t="str">
        <f ca="1">_xll.IMDP("BND",BV450,CE8,BV3)</f>
        <v>입력오류</v>
      </c>
      <c r="CF450" s="23" t="str">
        <f ca="1">_xll.IMDP("BND",BV450,CF8,BV3)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"/>
      <c r="DC450" s="21" t="str">
        <f ca="1">_xll.IMDP("BND",CT450,DC8,CT3)</f>
        <v>입력오류</v>
      </c>
      <c r="DD450" s="23" t="str">
        <f ca="1">_xll.IMDP("BND",CT450,DD8,CT3)</f>
        <v>입력오류</v>
      </c>
      <c r="DE450" s="2"/>
      <c r="DO450" s="21" t="str">
        <f ca="1">_xll.IMDP("BND",DF450,DO8,DF3)</f>
        <v>입력오류</v>
      </c>
      <c r="DP450" s="23" t="str">
        <f ca="1">_xll.IMDP("BND",DF450,DP8,DF3)</f>
        <v>입력오류</v>
      </c>
      <c r="DQ450" s="2"/>
      <c r="EA450" s="21" t="str">
        <f ca="1">_xll.IMDP("BND",DR450,EA8,DR3)</f>
        <v>입력오류</v>
      </c>
      <c r="EB450" s="23" t="str">
        <f ca="1">_xll.IMDP("BND",DR450,EB8,DR3)</f>
        <v>입력오류</v>
      </c>
    </row>
    <row r="451" spans="1:132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"/>
      <c r="W451" s="21" t="str">
        <f ca="1">_xll.IMDP("BND",N451,W8,N3)</f>
        <v>입력오류</v>
      </c>
      <c r="X451" s="23" t="str">
        <f ca="1">_xll.IMDP("BND",N451,X8,N3)</f>
        <v>입력오류</v>
      </c>
      <c r="Y451" s="2"/>
      <c r="AI451" s="21" t="str">
        <f ca="1">_xll.IMDP("BND",Z451,AI8,Z3)</f>
        <v>입력오류</v>
      </c>
      <c r="AJ451" s="23" t="str">
        <f ca="1">_xll.IMDP("BND",Z451,AJ8,Z3)</f>
        <v>입력오류</v>
      </c>
      <c r="AK451" s="2"/>
      <c r="AU451" s="21" t="str">
        <f ca="1">_xll.IMDP("BND",AL451,AU8,AL3)</f>
        <v>입력오류</v>
      </c>
      <c r="AV451" s="23" t="str">
        <f ca="1">_xll.IMDP("BND",AL451,AV8,AL3)</f>
        <v>입력오류</v>
      </c>
      <c r="AW451" s="2"/>
      <c r="BG451" s="21" t="str">
        <f ca="1">_xll.IMDP("BND",AX451,BG8,AX3)</f>
        <v>입력오류</v>
      </c>
      <c r="BH451" s="23" t="str">
        <f ca="1">_xll.IMDP("BND",AX451,BH8,AX3)</f>
        <v>입력오류</v>
      </c>
      <c r="BI451" s="2"/>
      <c r="BS451" s="21" t="str">
        <f ca="1">_xll.IMDP("BND",BJ451,BS8,BJ3)</f>
        <v>입력오류</v>
      </c>
      <c r="BT451" s="23" t="str">
        <f ca="1">_xll.IMDP("BND",BJ451,BT8,BJ3)</f>
        <v>입력오류</v>
      </c>
      <c r="BU451" s="2"/>
      <c r="CE451" s="21" t="str">
        <f ca="1">_xll.IMDP("BND",BV451,CE8,BV3)</f>
        <v>입력오류</v>
      </c>
      <c r="CF451" s="23" t="str">
        <f ca="1">_xll.IMDP("BND",BV451,CF8,BV3)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"/>
      <c r="DC451" s="21" t="str">
        <f ca="1">_xll.IMDP("BND",CT451,DC8,CT3)</f>
        <v>입력오류</v>
      </c>
      <c r="DD451" s="23" t="str">
        <f ca="1">_xll.IMDP("BND",CT451,DD8,CT3)</f>
        <v>입력오류</v>
      </c>
      <c r="DE451" s="2"/>
      <c r="DO451" s="21" t="str">
        <f ca="1">_xll.IMDP("BND",DF451,DO8,DF3)</f>
        <v>입력오류</v>
      </c>
      <c r="DP451" s="23" t="str">
        <f ca="1">_xll.IMDP("BND",DF451,DP8,DF3)</f>
        <v>입력오류</v>
      </c>
      <c r="DQ451" s="2"/>
      <c r="EA451" s="21" t="str">
        <f ca="1">_xll.IMDP("BND",DR451,EA8,DR3)</f>
        <v>입력오류</v>
      </c>
      <c r="EB451" s="23" t="str">
        <f ca="1">_xll.IMDP("BND",DR451,EB8,DR3)</f>
        <v>입력오류</v>
      </c>
    </row>
    <row r="452" spans="1:132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"/>
      <c r="W452" s="21" t="str">
        <f ca="1">_xll.IMDP("BND",N452,W8,N3)</f>
        <v>입력오류</v>
      </c>
      <c r="X452" s="23" t="str">
        <f ca="1">_xll.IMDP("BND",N452,X8,N3)</f>
        <v>입력오류</v>
      </c>
      <c r="Y452" s="2"/>
      <c r="AI452" s="21" t="str">
        <f ca="1">_xll.IMDP("BND",Z452,AI8,Z3)</f>
        <v>입력오류</v>
      </c>
      <c r="AJ452" s="23" t="str">
        <f ca="1">_xll.IMDP("BND",Z452,AJ8,Z3)</f>
        <v>입력오류</v>
      </c>
      <c r="AK452" s="2"/>
      <c r="AU452" s="21" t="str">
        <f ca="1">_xll.IMDP("BND",AL452,AU8,AL3)</f>
        <v>입력오류</v>
      </c>
      <c r="AV452" s="23" t="str">
        <f ca="1">_xll.IMDP("BND",AL452,AV8,AL3)</f>
        <v>입력오류</v>
      </c>
      <c r="AW452" s="2"/>
      <c r="BG452" s="21" t="str">
        <f ca="1">_xll.IMDP("BND",AX452,BG8,AX3)</f>
        <v>입력오류</v>
      </c>
      <c r="BH452" s="23" t="str">
        <f ca="1">_xll.IMDP("BND",AX452,BH8,AX3)</f>
        <v>입력오류</v>
      </c>
      <c r="BI452" s="2"/>
      <c r="BS452" s="21" t="str">
        <f ca="1">_xll.IMDP("BND",BJ452,BS8,BJ3)</f>
        <v>입력오류</v>
      </c>
      <c r="BT452" s="23" t="str">
        <f ca="1">_xll.IMDP("BND",BJ452,BT8,BJ3)</f>
        <v>입력오류</v>
      </c>
      <c r="BU452" s="2"/>
      <c r="CE452" s="21" t="str">
        <f ca="1">_xll.IMDP("BND",BV452,CE8,BV3)</f>
        <v>입력오류</v>
      </c>
      <c r="CF452" s="23" t="str">
        <f ca="1">_xll.IMDP("BND",BV452,CF8,BV3)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"/>
      <c r="DC452" s="21" t="str">
        <f ca="1">_xll.IMDP("BND",CT452,DC8,CT3)</f>
        <v>입력오류</v>
      </c>
      <c r="DD452" s="23" t="str">
        <f ca="1">_xll.IMDP("BND",CT452,DD8,CT3)</f>
        <v>입력오류</v>
      </c>
      <c r="DE452" s="2"/>
      <c r="DO452" s="21" t="str">
        <f ca="1">_xll.IMDP("BND",DF452,DO8,DF3)</f>
        <v>입력오류</v>
      </c>
      <c r="DP452" s="23" t="str">
        <f ca="1">_xll.IMDP("BND",DF452,DP8,DF3)</f>
        <v>입력오류</v>
      </c>
      <c r="DQ452" s="2"/>
      <c r="EA452" s="21" t="str">
        <f ca="1">_xll.IMDP("BND",DR452,EA8,DR3)</f>
        <v>입력오류</v>
      </c>
      <c r="EB452" s="23" t="str">
        <f ca="1">_xll.IMDP("BND",DR452,EB8,DR3)</f>
        <v>입력오류</v>
      </c>
    </row>
    <row r="453" spans="1:132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"/>
      <c r="W453" s="21" t="str">
        <f ca="1">_xll.IMDP("BND",N453,W8,N3)</f>
        <v>입력오류</v>
      </c>
      <c r="X453" s="23" t="str">
        <f ca="1">_xll.IMDP("BND",N453,X8,N3)</f>
        <v>입력오류</v>
      </c>
      <c r="Y453" s="2"/>
      <c r="AI453" s="21" t="str">
        <f ca="1">_xll.IMDP("BND",Z453,AI8,Z3)</f>
        <v>입력오류</v>
      </c>
      <c r="AJ453" s="23" t="str">
        <f ca="1">_xll.IMDP("BND",Z453,AJ8,Z3)</f>
        <v>입력오류</v>
      </c>
      <c r="AK453" s="2"/>
      <c r="AU453" s="21" t="str">
        <f ca="1">_xll.IMDP("BND",AL453,AU8,AL3)</f>
        <v>입력오류</v>
      </c>
      <c r="AV453" s="23" t="str">
        <f ca="1">_xll.IMDP("BND",AL453,AV8,AL3)</f>
        <v>입력오류</v>
      </c>
      <c r="AW453" s="2"/>
      <c r="BG453" s="21" t="str">
        <f ca="1">_xll.IMDP("BND",AX453,BG8,AX3)</f>
        <v>입력오류</v>
      </c>
      <c r="BH453" s="23" t="str">
        <f ca="1">_xll.IMDP("BND",AX453,BH8,AX3)</f>
        <v>입력오류</v>
      </c>
      <c r="BI453" s="2"/>
      <c r="BS453" s="21" t="str">
        <f ca="1">_xll.IMDP("BND",BJ453,BS8,BJ3)</f>
        <v>입력오류</v>
      </c>
      <c r="BT453" s="23" t="str">
        <f ca="1">_xll.IMDP("BND",BJ453,BT8,BJ3)</f>
        <v>입력오류</v>
      </c>
      <c r="BU453" s="2"/>
      <c r="CE453" s="21" t="str">
        <f ca="1">_xll.IMDP("BND",BV453,CE8,BV3)</f>
        <v>입력오류</v>
      </c>
      <c r="CF453" s="23" t="str">
        <f ca="1">_xll.IMDP("BND",BV453,CF8,BV3)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"/>
      <c r="DC453" s="21" t="str">
        <f ca="1">_xll.IMDP("BND",CT453,DC8,CT3)</f>
        <v>입력오류</v>
      </c>
      <c r="DD453" s="23" t="str">
        <f ca="1">_xll.IMDP("BND",CT453,DD8,CT3)</f>
        <v>입력오류</v>
      </c>
      <c r="DE453" s="2"/>
      <c r="DO453" s="21" t="str">
        <f ca="1">_xll.IMDP("BND",DF453,DO8,DF3)</f>
        <v>입력오류</v>
      </c>
      <c r="DP453" s="23" t="str">
        <f ca="1">_xll.IMDP("BND",DF453,DP8,DF3)</f>
        <v>입력오류</v>
      </c>
      <c r="DQ453" s="2"/>
      <c r="EA453" s="21" t="str">
        <f ca="1">_xll.IMDP("BND",DR453,EA8,DR3)</f>
        <v>입력오류</v>
      </c>
      <c r="EB453" s="23" t="str">
        <f ca="1">_xll.IMDP("BND",DR453,EB8,DR3)</f>
        <v>입력오류</v>
      </c>
    </row>
    <row r="454" spans="1:132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"/>
      <c r="W454" s="21" t="str">
        <f ca="1">_xll.IMDP("BND",N454,W8,N3)</f>
        <v>입력오류</v>
      </c>
      <c r="X454" s="23" t="str">
        <f ca="1">_xll.IMDP("BND",N454,X8,N3)</f>
        <v>입력오류</v>
      </c>
      <c r="Y454" s="2"/>
      <c r="AI454" s="21" t="str">
        <f ca="1">_xll.IMDP("BND",Z454,AI8,Z3)</f>
        <v>입력오류</v>
      </c>
      <c r="AJ454" s="23" t="str">
        <f ca="1">_xll.IMDP("BND",Z454,AJ8,Z3)</f>
        <v>입력오류</v>
      </c>
      <c r="AK454" s="2"/>
      <c r="AU454" s="21" t="str">
        <f ca="1">_xll.IMDP("BND",AL454,AU8,AL3)</f>
        <v>입력오류</v>
      </c>
      <c r="AV454" s="23" t="str">
        <f ca="1">_xll.IMDP("BND",AL454,AV8,AL3)</f>
        <v>입력오류</v>
      </c>
      <c r="AW454" s="2"/>
      <c r="BG454" s="21" t="str">
        <f ca="1">_xll.IMDP("BND",AX454,BG8,AX3)</f>
        <v>입력오류</v>
      </c>
      <c r="BH454" s="23" t="str">
        <f ca="1">_xll.IMDP("BND",AX454,BH8,AX3)</f>
        <v>입력오류</v>
      </c>
      <c r="BI454" s="2"/>
      <c r="BS454" s="21" t="str">
        <f ca="1">_xll.IMDP("BND",BJ454,BS8,BJ3)</f>
        <v>입력오류</v>
      </c>
      <c r="BT454" s="23" t="str">
        <f ca="1">_xll.IMDP("BND",BJ454,BT8,BJ3)</f>
        <v>입력오류</v>
      </c>
      <c r="BU454" s="2"/>
      <c r="CE454" s="21" t="str">
        <f ca="1">_xll.IMDP("BND",BV454,CE8,BV3)</f>
        <v>입력오류</v>
      </c>
      <c r="CF454" s="23" t="str">
        <f ca="1">_xll.IMDP("BND",BV454,CF8,BV3)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"/>
      <c r="DC454" s="21" t="str">
        <f ca="1">_xll.IMDP("BND",CT454,DC8,CT3)</f>
        <v>입력오류</v>
      </c>
      <c r="DD454" s="23" t="str">
        <f ca="1">_xll.IMDP("BND",CT454,DD8,CT3)</f>
        <v>입력오류</v>
      </c>
      <c r="DE454" s="2"/>
      <c r="DO454" s="21" t="str">
        <f ca="1">_xll.IMDP("BND",DF454,DO8,DF3)</f>
        <v>입력오류</v>
      </c>
      <c r="DP454" s="23" t="str">
        <f ca="1">_xll.IMDP("BND",DF454,DP8,DF3)</f>
        <v>입력오류</v>
      </c>
      <c r="DQ454" s="2"/>
      <c r="EA454" s="21" t="str">
        <f ca="1">_xll.IMDP("BND",DR454,EA8,DR3)</f>
        <v>입력오류</v>
      </c>
      <c r="EB454" s="23" t="str">
        <f ca="1">_xll.IMDP("BND",DR454,EB8,DR3)</f>
        <v>입력오류</v>
      </c>
    </row>
    <row r="455" spans="1:132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"/>
      <c r="W455" s="21" t="str">
        <f ca="1">_xll.IMDP("BND",N455,W8,N3)</f>
        <v>입력오류</v>
      </c>
      <c r="X455" s="23" t="str">
        <f ca="1">_xll.IMDP("BND",N455,X8,N3)</f>
        <v>입력오류</v>
      </c>
      <c r="Y455" s="2"/>
      <c r="AI455" s="21" t="str">
        <f ca="1">_xll.IMDP("BND",Z455,AI8,Z3)</f>
        <v>입력오류</v>
      </c>
      <c r="AJ455" s="23" t="str">
        <f ca="1">_xll.IMDP("BND",Z455,AJ8,Z3)</f>
        <v>입력오류</v>
      </c>
      <c r="AK455" s="2"/>
      <c r="AU455" s="21" t="str">
        <f ca="1">_xll.IMDP("BND",AL455,AU8,AL3)</f>
        <v>입력오류</v>
      </c>
      <c r="AV455" s="23" t="str">
        <f ca="1">_xll.IMDP("BND",AL455,AV8,AL3)</f>
        <v>입력오류</v>
      </c>
      <c r="AW455" s="2"/>
      <c r="BG455" s="21" t="str">
        <f ca="1">_xll.IMDP("BND",AX455,BG8,AX3)</f>
        <v>입력오류</v>
      </c>
      <c r="BH455" s="23" t="str">
        <f ca="1">_xll.IMDP("BND",AX455,BH8,AX3)</f>
        <v>입력오류</v>
      </c>
      <c r="BI455" s="2"/>
      <c r="BS455" s="21" t="str">
        <f ca="1">_xll.IMDP("BND",BJ455,BS8,BJ3)</f>
        <v>입력오류</v>
      </c>
      <c r="BT455" s="23" t="str">
        <f ca="1">_xll.IMDP("BND",BJ455,BT8,BJ3)</f>
        <v>입력오류</v>
      </c>
      <c r="BU455" s="2"/>
      <c r="CE455" s="21" t="str">
        <f ca="1">_xll.IMDP("BND",BV455,CE8,BV3)</f>
        <v>입력오류</v>
      </c>
      <c r="CF455" s="23" t="str">
        <f ca="1">_xll.IMDP("BND",BV455,CF8,BV3)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"/>
      <c r="DC455" s="21" t="str">
        <f ca="1">_xll.IMDP("BND",CT455,DC8,CT3)</f>
        <v>입력오류</v>
      </c>
      <c r="DD455" s="23" t="str">
        <f ca="1">_xll.IMDP("BND",CT455,DD8,CT3)</f>
        <v>입력오류</v>
      </c>
      <c r="DE455" s="2"/>
      <c r="DO455" s="21" t="str">
        <f ca="1">_xll.IMDP("BND",DF455,DO8,DF3)</f>
        <v>입력오류</v>
      </c>
      <c r="DP455" s="23" t="str">
        <f ca="1">_xll.IMDP("BND",DF455,DP8,DF3)</f>
        <v>입력오류</v>
      </c>
      <c r="DQ455" s="2"/>
      <c r="EA455" s="21" t="str">
        <f ca="1">_xll.IMDP("BND",DR455,EA8,DR3)</f>
        <v>입력오류</v>
      </c>
      <c r="EB455" s="23" t="str">
        <f ca="1">_xll.IMDP("BND",DR455,EB8,DR3)</f>
        <v>입력오류</v>
      </c>
    </row>
    <row r="456" spans="1:132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"/>
      <c r="W456" s="21" t="str">
        <f ca="1">_xll.IMDP("BND",N456,W8,N3)</f>
        <v>입력오류</v>
      </c>
      <c r="X456" s="23" t="str">
        <f ca="1">_xll.IMDP("BND",N456,X8,N3)</f>
        <v>입력오류</v>
      </c>
      <c r="Y456" s="2"/>
      <c r="AI456" s="21" t="str">
        <f ca="1">_xll.IMDP("BND",Z456,AI8,Z3)</f>
        <v>입력오류</v>
      </c>
      <c r="AJ456" s="23" t="str">
        <f ca="1">_xll.IMDP("BND",Z456,AJ8,Z3)</f>
        <v>입력오류</v>
      </c>
      <c r="AK456" s="2"/>
      <c r="AU456" s="21" t="str">
        <f ca="1">_xll.IMDP("BND",AL456,AU8,AL3)</f>
        <v>입력오류</v>
      </c>
      <c r="AV456" s="23" t="str">
        <f ca="1">_xll.IMDP("BND",AL456,AV8,AL3)</f>
        <v>입력오류</v>
      </c>
      <c r="AW456" s="2"/>
      <c r="BG456" s="21" t="str">
        <f ca="1">_xll.IMDP("BND",AX456,BG8,AX3)</f>
        <v>입력오류</v>
      </c>
      <c r="BH456" s="23" t="str">
        <f ca="1">_xll.IMDP("BND",AX456,BH8,AX3)</f>
        <v>입력오류</v>
      </c>
      <c r="BI456" s="2"/>
      <c r="BS456" s="21" t="str">
        <f ca="1">_xll.IMDP("BND",BJ456,BS8,BJ3)</f>
        <v>입력오류</v>
      </c>
      <c r="BT456" s="23" t="str">
        <f ca="1">_xll.IMDP("BND",BJ456,BT8,BJ3)</f>
        <v>입력오류</v>
      </c>
      <c r="BU456" s="2"/>
      <c r="CE456" s="21" t="str">
        <f ca="1">_xll.IMDP("BND",BV456,CE8,BV3)</f>
        <v>입력오류</v>
      </c>
      <c r="CF456" s="23" t="str">
        <f ca="1">_xll.IMDP("BND",BV456,CF8,BV3)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"/>
      <c r="DC456" s="21" t="str">
        <f ca="1">_xll.IMDP("BND",CT456,DC8,CT3)</f>
        <v>입력오류</v>
      </c>
      <c r="DD456" s="23" t="str">
        <f ca="1">_xll.IMDP("BND",CT456,DD8,CT3)</f>
        <v>입력오류</v>
      </c>
      <c r="DE456" s="2"/>
      <c r="DO456" s="21" t="str">
        <f ca="1">_xll.IMDP("BND",DF456,DO8,DF3)</f>
        <v>입력오류</v>
      </c>
      <c r="DP456" s="23" t="str">
        <f ca="1">_xll.IMDP("BND",DF456,DP8,DF3)</f>
        <v>입력오류</v>
      </c>
      <c r="DQ456" s="2"/>
      <c r="EA456" s="21" t="str">
        <f ca="1">_xll.IMDP("BND",DR456,EA8,DR3)</f>
        <v>입력오류</v>
      </c>
      <c r="EB456" s="23" t="str">
        <f ca="1">_xll.IMDP("BND",DR456,EB8,DR3)</f>
        <v>입력오류</v>
      </c>
    </row>
    <row r="457" spans="1:132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"/>
      <c r="W457" s="21" t="str">
        <f ca="1">_xll.IMDP("BND",N457,W8,N3)</f>
        <v>입력오류</v>
      </c>
      <c r="X457" s="23" t="str">
        <f ca="1">_xll.IMDP("BND",N457,X8,N3)</f>
        <v>입력오류</v>
      </c>
      <c r="Y457" s="2"/>
      <c r="AI457" s="21" t="str">
        <f ca="1">_xll.IMDP("BND",Z457,AI8,Z3)</f>
        <v>입력오류</v>
      </c>
      <c r="AJ457" s="23" t="str">
        <f ca="1">_xll.IMDP("BND",Z457,AJ8,Z3)</f>
        <v>입력오류</v>
      </c>
      <c r="AK457" s="2"/>
      <c r="AU457" s="21" t="str">
        <f ca="1">_xll.IMDP("BND",AL457,AU8,AL3)</f>
        <v>입력오류</v>
      </c>
      <c r="AV457" s="23" t="str">
        <f ca="1">_xll.IMDP("BND",AL457,AV8,AL3)</f>
        <v>입력오류</v>
      </c>
      <c r="AW457" s="2"/>
      <c r="BG457" s="21" t="str">
        <f ca="1">_xll.IMDP("BND",AX457,BG8,AX3)</f>
        <v>입력오류</v>
      </c>
      <c r="BH457" s="23" t="str">
        <f ca="1">_xll.IMDP("BND",AX457,BH8,AX3)</f>
        <v>입력오류</v>
      </c>
      <c r="BI457" s="2"/>
      <c r="BS457" s="21" t="str">
        <f ca="1">_xll.IMDP("BND",BJ457,BS8,BJ3)</f>
        <v>입력오류</v>
      </c>
      <c r="BT457" s="23" t="str">
        <f ca="1">_xll.IMDP("BND",BJ457,BT8,BJ3)</f>
        <v>입력오류</v>
      </c>
      <c r="BU457" s="2"/>
      <c r="CE457" s="21" t="str">
        <f ca="1">_xll.IMDP("BND",BV457,CE8,BV3)</f>
        <v>입력오류</v>
      </c>
      <c r="CF457" s="23" t="str">
        <f ca="1">_xll.IMDP("BND",BV457,CF8,BV3)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"/>
      <c r="DC457" s="21" t="str">
        <f ca="1">_xll.IMDP("BND",CT457,DC8,CT3)</f>
        <v>입력오류</v>
      </c>
      <c r="DD457" s="23" t="str">
        <f ca="1">_xll.IMDP("BND",CT457,DD8,CT3)</f>
        <v>입력오류</v>
      </c>
      <c r="DE457" s="2"/>
      <c r="DO457" s="21" t="str">
        <f ca="1">_xll.IMDP("BND",DF457,DO8,DF3)</f>
        <v>입력오류</v>
      </c>
      <c r="DP457" s="23" t="str">
        <f ca="1">_xll.IMDP("BND",DF457,DP8,DF3)</f>
        <v>입력오류</v>
      </c>
      <c r="DQ457" s="2"/>
      <c r="EA457" s="21" t="str">
        <f ca="1">_xll.IMDP("BND",DR457,EA8,DR3)</f>
        <v>입력오류</v>
      </c>
      <c r="EB457" s="23" t="str">
        <f ca="1">_xll.IMDP("BND",DR457,EB8,DR3)</f>
        <v>입력오류</v>
      </c>
    </row>
    <row r="458" spans="1:132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"/>
      <c r="W458" s="21" t="str">
        <f ca="1">_xll.IMDP("BND",N458,W8,N3)</f>
        <v>입력오류</v>
      </c>
      <c r="X458" s="23" t="str">
        <f ca="1">_xll.IMDP("BND",N458,X8,N3)</f>
        <v>입력오류</v>
      </c>
      <c r="Y458" s="2"/>
      <c r="AI458" s="21" t="str">
        <f ca="1">_xll.IMDP("BND",Z458,AI8,Z3)</f>
        <v>입력오류</v>
      </c>
      <c r="AJ458" s="23" t="str">
        <f ca="1">_xll.IMDP("BND",Z458,AJ8,Z3)</f>
        <v>입력오류</v>
      </c>
      <c r="AK458" s="2"/>
      <c r="AU458" s="21" t="str">
        <f ca="1">_xll.IMDP("BND",AL458,AU8,AL3)</f>
        <v>입력오류</v>
      </c>
      <c r="AV458" s="23" t="str">
        <f ca="1">_xll.IMDP("BND",AL458,AV8,AL3)</f>
        <v>입력오류</v>
      </c>
      <c r="AW458" s="2"/>
      <c r="BG458" s="21" t="str">
        <f ca="1">_xll.IMDP("BND",AX458,BG8,AX3)</f>
        <v>입력오류</v>
      </c>
      <c r="BH458" s="23" t="str">
        <f ca="1">_xll.IMDP("BND",AX458,BH8,AX3)</f>
        <v>입력오류</v>
      </c>
      <c r="BI458" s="2"/>
      <c r="BS458" s="21" t="str">
        <f ca="1">_xll.IMDP("BND",BJ458,BS8,BJ3)</f>
        <v>입력오류</v>
      </c>
      <c r="BT458" s="23" t="str">
        <f ca="1">_xll.IMDP("BND",BJ458,BT8,BJ3)</f>
        <v>입력오류</v>
      </c>
      <c r="BU458" s="2"/>
      <c r="CE458" s="21" t="str">
        <f ca="1">_xll.IMDP("BND",BV458,CE8,BV3)</f>
        <v>입력오류</v>
      </c>
      <c r="CF458" s="23" t="str">
        <f ca="1">_xll.IMDP("BND",BV458,CF8,BV3)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"/>
      <c r="DC458" s="21" t="str">
        <f ca="1">_xll.IMDP("BND",CT458,DC8,CT3)</f>
        <v>입력오류</v>
      </c>
      <c r="DD458" s="23" t="str">
        <f ca="1">_xll.IMDP("BND",CT458,DD8,CT3)</f>
        <v>입력오류</v>
      </c>
      <c r="DE458" s="2"/>
      <c r="DO458" s="21" t="str">
        <f ca="1">_xll.IMDP("BND",DF458,DO8,DF3)</f>
        <v>입력오류</v>
      </c>
      <c r="DP458" s="23" t="str">
        <f ca="1">_xll.IMDP("BND",DF458,DP8,DF3)</f>
        <v>입력오류</v>
      </c>
      <c r="DQ458" s="2"/>
      <c r="EA458" s="21" t="str">
        <f ca="1">_xll.IMDP("BND",DR458,EA8,DR3)</f>
        <v>입력오류</v>
      </c>
      <c r="EB458" s="23" t="str">
        <f ca="1">_xll.IMDP("BND",DR458,EB8,DR3)</f>
        <v>입력오류</v>
      </c>
    </row>
    <row r="459" spans="1:132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"/>
      <c r="W459" s="21" t="str">
        <f ca="1">_xll.IMDP("BND",N459,W8,N3)</f>
        <v>입력오류</v>
      </c>
      <c r="X459" s="23" t="str">
        <f ca="1">_xll.IMDP("BND",N459,X8,N3)</f>
        <v>입력오류</v>
      </c>
      <c r="Y459" s="2"/>
      <c r="AI459" s="21" t="str">
        <f ca="1">_xll.IMDP("BND",Z459,AI8,Z3)</f>
        <v>입력오류</v>
      </c>
      <c r="AJ459" s="23" t="str">
        <f ca="1">_xll.IMDP("BND",Z459,AJ8,Z3)</f>
        <v>입력오류</v>
      </c>
      <c r="AK459" s="2"/>
      <c r="AU459" s="21" t="str">
        <f ca="1">_xll.IMDP("BND",AL459,AU8,AL3)</f>
        <v>입력오류</v>
      </c>
      <c r="AV459" s="23" t="str">
        <f ca="1">_xll.IMDP("BND",AL459,AV8,AL3)</f>
        <v>입력오류</v>
      </c>
      <c r="AW459" s="2"/>
      <c r="BG459" s="21" t="str">
        <f ca="1">_xll.IMDP("BND",AX459,BG8,AX3)</f>
        <v>입력오류</v>
      </c>
      <c r="BH459" s="23" t="str">
        <f ca="1">_xll.IMDP("BND",AX459,BH8,AX3)</f>
        <v>입력오류</v>
      </c>
      <c r="BI459" s="2"/>
      <c r="BS459" s="21" t="str">
        <f ca="1">_xll.IMDP("BND",BJ459,BS8,BJ3)</f>
        <v>입력오류</v>
      </c>
      <c r="BT459" s="23" t="str">
        <f ca="1">_xll.IMDP("BND",BJ459,BT8,BJ3)</f>
        <v>입력오류</v>
      </c>
      <c r="BU459" s="2"/>
      <c r="CE459" s="21" t="str">
        <f ca="1">_xll.IMDP("BND",BV459,CE8,BV3)</f>
        <v>입력오류</v>
      </c>
      <c r="CF459" s="23" t="str">
        <f ca="1">_xll.IMDP("BND",BV459,CF8,BV3)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"/>
      <c r="DC459" s="21" t="str">
        <f ca="1">_xll.IMDP("BND",CT459,DC8,CT3)</f>
        <v>입력오류</v>
      </c>
      <c r="DD459" s="23" t="str">
        <f ca="1">_xll.IMDP("BND",CT459,DD8,CT3)</f>
        <v>입력오류</v>
      </c>
      <c r="DE459" s="2"/>
      <c r="DO459" s="21" t="str">
        <f ca="1">_xll.IMDP("BND",DF459,DO8,DF3)</f>
        <v>입력오류</v>
      </c>
      <c r="DP459" s="23" t="str">
        <f ca="1">_xll.IMDP("BND",DF459,DP8,DF3)</f>
        <v>입력오류</v>
      </c>
      <c r="DQ459" s="2"/>
      <c r="EA459" s="21" t="str">
        <f ca="1">_xll.IMDP("BND",DR459,EA8,DR3)</f>
        <v>입력오류</v>
      </c>
      <c r="EB459" s="23" t="str">
        <f ca="1">_xll.IMDP("BND",DR459,EB8,DR3)</f>
        <v>입력오류</v>
      </c>
    </row>
    <row r="460" spans="1:132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"/>
      <c r="W460" s="21" t="str">
        <f ca="1">_xll.IMDP("BND",N460,W8,N3)</f>
        <v>입력오류</v>
      </c>
      <c r="X460" s="23" t="str">
        <f ca="1">_xll.IMDP("BND",N460,X8,N3)</f>
        <v>입력오류</v>
      </c>
      <c r="Y460" s="2"/>
      <c r="AI460" s="21" t="str">
        <f ca="1">_xll.IMDP("BND",Z460,AI8,Z3)</f>
        <v>입력오류</v>
      </c>
      <c r="AJ460" s="23" t="str">
        <f ca="1">_xll.IMDP("BND",Z460,AJ8,Z3)</f>
        <v>입력오류</v>
      </c>
      <c r="AK460" s="2"/>
      <c r="AU460" s="21" t="str">
        <f ca="1">_xll.IMDP("BND",AL460,AU8,AL3)</f>
        <v>입력오류</v>
      </c>
      <c r="AV460" s="23" t="str">
        <f ca="1">_xll.IMDP("BND",AL460,AV8,AL3)</f>
        <v>입력오류</v>
      </c>
      <c r="AW460" s="2"/>
      <c r="BG460" s="21" t="str">
        <f ca="1">_xll.IMDP("BND",AX460,BG8,AX3)</f>
        <v>입력오류</v>
      </c>
      <c r="BH460" s="23" t="str">
        <f ca="1">_xll.IMDP("BND",AX460,BH8,AX3)</f>
        <v>입력오류</v>
      </c>
      <c r="BI460" s="2"/>
      <c r="BS460" s="21" t="str">
        <f ca="1">_xll.IMDP("BND",BJ460,BS8,BJ3)</f>
        <v>입력오류</v>
      </c>
      <c r="BT460" s="23" t="str">
        <f ca="1">_xll.IMDP("BND",BJ460,BT8,BJ3)</f>
        <v>입력오류</v>
      </c>
      <c r="BU460" s="2"/>
      <c r="CE460" s="21" t="str">
        <f ca="1">_xll.IMDP("BND",BV460,CE8,BV3)</f>
        <v>입력오류</v>
      </c>
      <c r="CF460" s="23" t="str">
        <f ca="1">_xll.IMDP("BND",BV460,CF8,BV3)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"/>
      <c r="DC460" s="21" t="str">
        <f ca="1">_xll.IMDP("BND",CT460,DC8,CT3)</f>
        <v>입력오류</v>
      </c>
      <c r="DD460" s="23" t="str">
        <f ca="1">_xll.IMDP("BND",CT460,DD8,CT3)</f>
        <v>입력오류</v>
      </c>
      <c r="DE460" s="2"/>
      <c r="DO460" s="21" t="str">
        <f ca="1">_xll.IMDP("BND",DF460,DO8,DF3)</f>
        <v>입력오류</v>
      </c>
      <c r="DP460" s="23" t="str">
        <f ca="1">_xll.IMDP("BND",DF460,DP8,DF3)</f>
        <v>입력오류</v>
      </c>
      <c r="DQ460" s="2"/>
      <c r="EA460" s="21" t="str">
        <f ca="1">_xll.IMDP("BND",DR460,EA8,DR3)</f>
        <v>입력오류</v>
      </c>
      <c r="EB460" s="23" t="str">
        <f ca="1">_xll.IMDP("BND",DR460,EB8,DR3)</f>
        <v>입력오류</v>
      </c>
    </row>
    <row r="461" spans="1:132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"/>
      <c r="W461" s="21" t="str">
        <f ca="1">_xll.IMDP("BND",N461,W8,N3)</f>
        <v>입력오류</v>
      </c>
      <c r="X461" s="23" t="str">
        <f ca="1">_xll.IMDP("BND",N461,X8,N3)</f>
        <v>입력오류</v>
      </c>
      <c r="Y461" s="2"/>
      <c r="AI461" s="21" t="str">
        <f ca="1">_xll.IMDP("BND",Z461,AI8,Z3)</f>
        <v>입력오류</v>
      </c>
      <c r="AJ461" s="23" t="str">
        <f ca="1">_xll.IMDP("BND",Z461,AJ8,Z3)</f>
        <v>입력오류</v>
      </c>
      <c r="AK461" s="2"/>
      <c r="AU461" s="21" t="str">
        <f ca="1">_xll.IMDP("BND",AL461,AU8,AL3)</f>
        <v>입력오류</v>
      </c>
      <c r="AV461" s="23" t="str">
        <f ca="1">_xll.IMDP("BND",AL461,AV8,AL3)</f>
        <v>입력오류</v>
      </c>
      <c r="AW461" s="2"/>
      <c r="BG461" s="21" t="str">
        <f ca="1">_xll.IMDP("BND",AX461,BG8,AX3)</f>
        <v>입력오류</v>
      </c>
      <c r="BH461" s="23" t="str">
        <f ca="1">_xll.IMDP("BND",AX461,BH8,AX3)</f>
        <v>입력오류</v>
      </c>
      <c r="BI461" s="2"/>
      <c r="BS461" s="21" t="str">
        <f ca="1">_xll.IMDP("BND",BJ461,BS8,BJ3)</f>
        <v>입력오류</v>
      </c>
      <c r="BT461" s="23" t="str">
        <f ca="1">_xll.IMDP("BND",BJ461,BT8,BJ3)</f>
        <v>입력오류</v>
      </c>
      <c r="BU461" s="2"/>
      <c r="CE461" s="21" t="str">
        <f ca="1">_xll.IMDP("BND",BV461,CE8,BV3)</f>
        <v>입력오류</v>
      </c>
      <c r="CF461" s="23" t="str">
        <f ca="1">_xll.IMDP("BND",BV461,CF8,BV3)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"/>
      <c r="DC461" s="21" t="str">
        <f ca="1">_xll.IMDP("BND",CT461,DC8,CT3)</f>
        <v>입력오류</v>
      </c>
      <c r="DD461" s="23" t="str">
        <f ca="1">_xll.IMDP("BND",CT461,DD8,CT3)</f>
        <v>입력오류</v>
      </c>
      <c r="DE461" s="2"/>
      <c r="DO461" s="21" t="str">
        <f ca="1">_xll.IMDP("BND",DF461,DO8,DF3)</f>
        <v>입력오류</v>
      </c>
      <c r="DP461" s="23" t="str">
        <f ca="1">_xll.IMDP("BND",DF461,DP8,DF3)</f>
        <v>입력오류</v>
      </c>
      <c r="DQ461" s="2"/>
      <c r="EA461" s="21" t="str">
        <f ca="1">_xll.IMDP("BND",DR461,EA8,DR3)</f>
        <v>입력오류</v>
      </c>
      <c r="EB461" s="23" t="str">
        <f ca="1">_xll.IMDP("BND",DR461,EB8,DR3)</f>
        <v>입력오류</v>
      </c>
    </row>
    <row r="462" spans="1:132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"/>
      <c r="W462" s="21" t="str">
        <f ca="1">_xll.IMDP("BND",N462,W8,N3)</f>
        <v>입력오류</v>
      </c>
      <c r="X462" s="23" t="str">
        <f ca="1">_xll.IMDP("BND",N462,X8,N3)</f>
        <v>입력오류</v>
      </c>
      <c r="Y462" s="2"/>
      <c r="AI462" s="21" t="str">
        <f ca="1">_xll.IMDP("BND",Z462,AI8,Z3)</f>
        <v>입력오류</v>
      </c>
      <c r="AJ462" s="23" t="str">
        <f ca="1">_xll.IMDP("BND",Z462,AJ8,Z3)</f>
        <v>입력오류</v>
      </c>
      <c r="AK462" s="2"/>
      <c r="AU462" s="21" t="str">
        <f ca="1">_xll.IMDP("BND",AL462,AU8,AL3)</f>
        <v>입력오류</v>
      </c>
      <c r="AV462" s="23" t="str">
        <f ca="1">_xll.IMDP("BND",AL462,AV8,AL3)</f>
        <v>입력오류</v>
      </c>
      <c r="AW462" s="2"/>
      <c r="BG462" s="21" t="str">
        <f ca="1">_xll.IMDP("BND",AX462,BG8,AX3)</f>
        <v>입력오류</v>
      </c>
      <c r="BH462" s="23" t="str">
        <f ca="1">_xll.IMDP("BND",AX462,BH8,AX3)</f>
        <v>입력오류</v>
      </c>
      <c r="BI462" s="2"/>
      <c r="BS462" s="21" t="str">
        <f ca="1">_xll.IMDP("BND",BJ462,BS8,BJ3)</f>
        <v>입력오류</v>
      </c>
      <c r="BT462" s="23" t="str">
        <f ca="1">_xll.IMDP("BND",BJ462,BT8,BJ3)</f>
        <v>입력오류</v>
      </c>
      <c r="BU462" s="2"/>
      <c r="CE462" s="21" t="str">
        <f ca="1">_xll.IMDP("BND",BV462,CE8,BV3)</f>
        <v>입력오류</v>
      </c>
      <c r="CF462" s="23" t="str">
        <f ca="1">_xll.IMDP("BND",BV462,CF8,BV3)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"/>
      <c r="DC462" s="21" t="str">
        <f ca="1">_xll.IMDP("BND",CT462,DC8,CT3)</f>
        <v>입력오류</v>
      </c>
      <c r="DD462" s="23" t="str">
        <f ca="1">_xll.IMDP("BND",CT462,DD8,CT3)</f>
        <v>입력오류</v>
      </c>
      <c r="DE462" s="2"/>
      <c r="DO462" s="21" t="str">
        <f ca="1">_xll.IMDP("BND",DF462,DO8,DF3)</f>
        <v>입력오류</v>
      </c>
      <c r="DP462" s="23" t="str">
        <f ca="1">_xll.IMDP("BND",DF462,DP8,DF3)</f>
        <v>입력오류</v>
      </c>
      <c r="DQ462" s="2"/>
      <c r="EA462" s="21" t="str">
        <f ca="1">_xll.IMDP("BND",DR462,EA8,DR3)</f>
        <v>입력오류</v>
      </c>
      <c r="EB462" s="23" t="str">
        <f ca="1">_xll.IMDP("BND",DR462,EB8,DR3)</f>
        <v>입력오류</v>
      </c>
    </row>
    <row r="463" spans="1:132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"/>
      <c r="W463" s="21" t="str">
        <f ca="1">_xll.IMDP("BND",N463,W8,N3)</f>
        <v>입력오류</v>
      </c>
      <c r="X463" s="23" t="str">
        <f ca="1">_xll.IMDP("BND",N463,X8,N3)</f>
        <v>입력오류</v>
      </c>
      <c r="Y463" s="2"/>
      <c r="AI463" s="21" t="str">
        <f ca="1">_xll.IMDP("BND",Z463,AI8,Z3)</f>
        <v>입력오류</v>
      </c>
      <c r="AJ463" s="23" t="str">
        <f ca="1">_xll.IMDP("BND",Z463,AJ8,Z3)</f>
        <v>입력오류</v>
      </c>
      <c r="AK463" s="2"/>
      <c r="AU463" s="21" t="str">
        <f ca="1">_xll.IMDP("BND",AL463,AU8,AL3)</f>
        <v>입력오류</v>
      </c>
      <c r="AV463" s="23" t="str">
        <f ca="1">_xll.IMDP("BND",AL463,AV8,AL3)</f>
        <v>입력오류</v>
      </c>
      <c r="AW463" s="2"/>
      <c r="BG463" s="21" t="str">
        <f ca="1">_xll.IMDP("BND",AX463,BG8,AX3)</f>
        <v>입력오류</v>
      </c>
      <c r="BH463" s="23" t="str">
        <f ca="1">_xll.IMDP("BND",AX463,BH8,AX3)</f>
        <v>입력오류</v>
      </c>
      <c r="BI463" s="2"/>
      <c r="BS463" s="21" t="str">
        <f ca="1">_xll.IMDP("BND",BJ463,BS8,BJ3)</f>
        <v>입력오류</v>
      </c>
      <c r="BT463" s="23" t="str">
        <f ca="1">_xll.IMDP("BND",BJ463,BT8,BJ3)</f>
        <v>입력오류</v>
      </c>
      <c r="BU463" s="2"/>
      <c r="CE463" s="21" t="str">
        <f ca="1">_xll.IMDP("BND",BV463,CE8,BV3)</f>
        <v>입력오류</v>
      </c>
      <c r="CF463" s="23" t="str">
        <f ca="1">_xll.IMDP("BND",BV463,CF8,BV3)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"/>
      <c r="DC463" s="21" t="str">
        <f ca="1">_xll.IMDP("BND",CT463,DC8,CT3)</f>
        <v>입력오류</v>
      </c>
      <c r="DD463" s="23" t="str">
        <f ca="1">_xll.IMDP("BND",CT463,DD8,CT3)</f>
        <v>입력오류</v>
      </c>
      <c r="DE463" s="2"/>
      <c r="DO463" s="21" t="str">
        <f ca="1">_xll.IMDP("BND",DF463,DO8,DF3)</f>
        <v>입력오류</v>
      </c>
      <c r="DP463" s="23" t="str">
        <f ca="1">_xll.IMDP("BND",DF463,DP8,DF3)</f>
        <v>입력오류</v>
      </c>
      <c r="DQ463" s="2"/>
      <c r="EA463" s="21" t="str">
        <f ca="1">_xll.IMDP("BND",DR463,EA8,DR3)</f>
        <v>입력오류</v>
      </c>
      <c r="EB463" s="23" t="str">
        <f ca="1">_xll.IMDP("BND",DR463,EB8,DR3)</f>
        <v>입력오류</v>
      </c>
    </row>
    <row r="464" spans="1:132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"/>
      <c r="W464" s="21" t="str">
        <f ca="1">_xll.IMDP("BND",N464,W8,N3)</f>
        <v>입력오류</v>
      </c>
      <c r="X464" s="23" t="str">
        <f ca="1">_xll.IMDP("BND",N464,X8,N3)</f>
        <v>입력오류</v>
      </c>
      <c r="Y464" s="2"/>
      <c r="AI464" s="21" t="str">
        <f ca="1">_xll.IMDP("BND",Z464,AI8,Z3)</f>
        <v>입력오류</v>
      </c>
      <c r="AJ464" s="23" t="str">
        <f ca="1">_xll.IMDP("BND",Z464,AJ8,Z3)</f>
        <v>입력오류</v>
      </c>
      <c r="AK464" s="2"/>
      <c r="AU464" s="21" t="str">
        <f ca="1">_xll.IMDP("BND",AL464,AU8,AL3)</f>
        <v>입력오류</v>
      </c>
      <c r="AV464" s="23" t="str">
        <f ca="1">_xll.IMDP("BND",AL464,AV8,AL3)</f>
        <v>입력오류</v>
      </c>
      <c r="AW464" s="2"/>
      <c r="BG464" s="21" t="str">
        <f ca="1">_xll.IMDP("BND",AX464,BG8,AX3)</f>
        <v>입력오류</v>
      </c>
      <c r="BH464" s="23" t="str">
        <f ca="1">_xll.IMDP("BND",AX464,BH8,AX3)</f>
        <v>입력오류</v>
      </c>
      <c r="BI464" s="2"/>
      <c r="BS464" s="21" t="str">
        <f ca="1">_xll.IMDP("BND",BJ464,BS8,BJ3)</f>
        <v>입력오류</v>
      </c>
      <c r="BT464" s="23" t="str">
        <f ca="1">_xll.IMDP("BND",BJ464,BT8,BJ3)</f>
        <v>입력오류</v>
      </c>
      <c r="BU464" s="2"/>
      <c r="CE464" s="21" t="str">
        <f ca="1">_xll.IMDP("BND",BV464,CE8,BV3)</f>
        <v>입력오류</v>
      </c>
      <c r="CF464" s="23" t="str">
        <f ca="1">_xll.IMDP("BND",BV464,CF8,BV3)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"/>
      <c r="DC464" s="21" t="str">
        <f ca="1">_xll.IMDP("BND",CT464,DC8,CT3)</f>
        <v>입력오류</v>
      </c>
      <c r="DD464" s="23" t="str">
        <f ca="1">_xll.IMDP("BND",CT464,DD8,CT3)</f>
        <v>입력오류</v>
      </c>
      <c r="DE464" s="2"/>
      <c r="DO464" s="21" t="str">
        <f ca="1">_xll.IMDP("BND",DF464,DO8,DF3)</f>
        <v>입력오류</v>
      </c>
      <c r="DP464" s="23" t="str">
        <f ca="1">_xll.IMDP("BND",DF464,DP8,DF3)</f>
        <v>입력오류</v>
      </c>
      <c r="DQ464" s="2"/>
      <c r="EA464" s="21" t="str">
        <f ca="1">_xll.IMDP("BND",DR464,EA8,DR3)</f>
        <v>입력오류</v>
      </c>
      <c r="EB464" s="23" t="str">
        <f ca="1">_xll.IMDP("BND",DR464,EB8,DR3)</f>
        <v>입력오류</v>
      </c>
    </row>
    <row r="465" spans="1:132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"/>
      <c r="W465" s="21" t="str">
        <f ca="1">_xll.IMDP("BND",N465,W8,N3)</f>
        <v>입력오류</v>
      </c>
      <c r="X465" s="23" t="str">
        <f ca="1">_xll.IMDP("BND",N465,X8,N3)</f>
        <v>입력오류</v>
      </c>
      <c r="Y465" s="2"/>
      <c r="AI465" s="21" t="str">
        <f ca="1">_xll.IMDP("BND",Z465,AI8,Z3)</f>
        <v>입력오류</v>
      </c>
      <c r="AJ465" s="23" t="str">
        <f ca="1">_xll.IMDP("BND",Z465,AJ8,Z3)</f>
        <v>입력오류</v>
      </c>
      <c r="AK465" s="2"/>
      <c r="AU465" s="21" t="str">
        <f ca="1">_xll.IMDP("BND",AL465,AU8,AL3)</f>
        <v>입력오류</v>
      </c>
      <c r="AV465" s="23" t="str">
        <f ca="1">_xll.IMDP("BND",AL465,AV8,AL3)</f>
        <v>입력오류</v>
      </c>
      <c r="AW465" s="2"/>
      <c r="BG465" s="21" t="str">
        <f ca="1">_xll.IMDP("BND",AX465,BG8,AX3)</f>
        <v>입력오류</v>
      </c>
      <c r="BH465" s="23" t="str">
        <f ca="1">_xll.IMDP("BND",AX465,BH8,AX3)</f>
        <v>입력오류</v>
      </c>
      <c r="BI465" s="2"/>
      <c r="BS465" s="21" t="str">
        <f ca="1">_xll.IMDP("BND",BJ465,BS8,BJ3)</f>
        <v>입력오류</v>
      </c>
      <c r="BT465" s="23" t="str">
        <f ca="1">_xll.IMDP("BND",BJ465,BT8,BJ3)</f>
        <v>입력오류</v>
      </c>
      <c r="BU465" s="2"/>
      <c r="CE465" s="21" t="str">
        <f ca="1">_xll.IMDP("BND",BV465,CE8,BV3)</f>
        <v>입력오류</v>
      </c>
      <c r="CF465" s="23" t="str">
        <f ca="1">_xll.IMDP("BND",BV465,CF8,BV3)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"/>
      <c r="DC465" s="21" t="str">
        <f ca="1">_xll.IMDP("BND",CT465,DC8,CT3)</f>
        <v>입력오류</v>
      </c>
      <c r="DD465" s="23" t="str">
        <f ca="1">_xll.IMDP("BND",CT465,DD8,CT3)</f>
        <v>입력오류</v>
      </c>
      <c r="DE465" s="2"/>
      <c r="DO465" s="21" t="str">
        <f ca="1">_xll.IMDP("BND",DF465,DO8,DF3)</f>
        <v>입력오류</v>
      </c>
      <c r="DP465" s="23" t="str">
        <f ca="1">_xll.IMDP("BND",DF465,DP8,DF3)</f>
        <v>입력오류</v>
      </c>
      <c r="DQ465" s="2"/>
      <c r="EA465" s="21" t="str">
        <f ca="1">_xll.IMDP("BND",DR465,EA8,DR3)</f>
        <v>입력오류</v>
      </c>
      <c r="EB465" s="23" t="str">
        <f ca="1">_xll.IMDP("BND",DR465,EB8,DR3)</f>
        <v>입력오류</v>
      </c>
    </row>
    <row r="466" spans="1:132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"/>
      <c r="W466" s="21" t="str">
        <f ca="1">_xll.IMDP("BND",N466,W8,N3)</f>
        <v>입력오류</v>
      </c>
      <c r="X466" s="23" t="str">
        <f ca="1">_xll.IMDP("BND",N466,X8,N3)</f>
        <v>입력오류</v>
      </c>
      <c r="Y466" s="2"/>
      <c r="AI466" s="21" t="str">
        <f ca="1">_xll.IMDP("BND",Z466,AI8,Z3)</f>
        <v>입력오류</v>
      </c>
      <c r="AJ466" s="23" t="str">
        <f ca="1">_xll.IMDP("BND",Z466,AJ8,Z3)</f>
        <v>입력오류</v>
      </c>
      <c r="AK466" s="2"/>
      <c r="AU466" s="21" t="str">
        <f ca="1">_xll.IMDP("BND",AL466,AU8,AL3)</f>
        <v>입력오류</v>
      </c>
      <c r="AV466" s="23" t="str">
        <f ca="1">_xll.IMDP("BND",AL466,AV8,AL3)</f>
        <v>입력오류</v>
      </c>
      <c r="AW466" s="2"/>
      <c r="BG466" s="21" t="str">
        <f ca="1">_xll.IMDP("BND",AX466,BG8,AX3)</f>
        <v>입력오류</v>
      </c>
      <c r="BH466" s="23" t="str">
        <f ca="1">_xll.IMDP("BND",AX466,BH8,AX3)</f>
        <v>입력오류</v>
      </c>
      <c r="BI466" s="2"/>
      <c r="BS466" s="21" t="str">
        <f ca="1">_xll.IMDP("BND",BJ466,BS8,BJ3)</f>
        <v>입력오류</v>
      </c>
      <c r="BT466" s="23" t="str">
        <f ca="1">_xll.IMDP("BND",BJ466,BT8,BJ3)</f>
        <v>입력오류</v>
      </c>
      <c r="BU466" s="2"/>
      <c r="CE466" s="21" t="str">
        <f ca="1">_xll.IMDP("BND",BV466,CE8,BV3)</f>
        <v>입력오류</v>
      </c>
      <c r="CF466" s="23" t="str">
        <f ca="1">_xll.IMDP("BND",BV466,CF8,BV3)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"/>
      <c r="DC466" s="21" t="str">
        <f ca="1">_xll.IMDP("BND",CT466,DC8,CT3)</f>
        <v>입력오류</v>
      </c>
      <c r="DD466" s="23" t="str">
        <f ca="1">_xll.IMDP("BND",CT466,DD8,CT3)</f>
        <v>입력오류</v>
      </c>
      <c r="DE466" s="2"/>
      <c r="DO466" s="21" t="str">
        <f ca="1">_xll.IMDP("BND",DF466,DO8,DF3)</f>
        <v>입력오류</v>
      </c>
      <c r="DP466" s="23" t="str">
        <f ca="1">_xll.IMDP("BND",DF466,DP8,DF3)</f>
        <v>입력오류</v>
      </c>
      <c r="DQ466" s="2"/>
      <c r="EA466" s="21" t="str">
        <f ca="1">_xll.IMDP("BND",DR466,EA8,DR3)</f>
        <v>입력오류</v>
      </c>
      <c r="EB466" s="23" t="str">
        <f ca="1">_xll.IMDP("BND",DR466,EB8,DR3)</f>
        <v>입력오류</v>
      </c>
    </row>
    <row r="467" spans="1:132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"/>
      <c r="W467" s="21" t="str">
        <f ca="1">_xll.IMDP("BND",N467,W8,N3)</f>
        <v>입력오류</v>
      </c>
      <c r="X467" s="23" t="str">
        <f ca="1">_xll.IMDP("BND",N467,X8,N3)</f>
        <v>입력오류</v>
      </c>
      <c r="Y467" s="2"/>
      <c r="AI467" s="21" t="str">
        <f ca="1">_xll.IMDP("BND",Z467,AI8,Z3)</f>
        <v>입력오류</v>
      </c>
      <c r="AJ467" s="23" t="str">
        <f ca="1">_xll.IMDP("BND",Z467,AJ8,Z3)</f>
        <v>입력오류</v>
      </c>
      <c r="AK467" s="2"/>
      <c r="AU467" s="21" t="str">
        <f ca="1">_xll.IMDP("BND",AL467,AU8,AL3)</f>
        <v>입력오류</v>
      </c>
      <c r="AV467" s="23" t="str">
        <f ca="1">_xll.IMDP("BND",AL467,AV8,AL3)</f>
        <v>입력오류</v>
      </c>
      <c r="AW467" s="2"/>
      <c r="BG467" s="21" t="str">
        <f ca="1">_xll.IMDP("BND",AX467,BG8,AX3)</f>
        <v>입력오류</v>
      </c>
      <c r="BH467" s="23" t="str">
        <f ca="1">_xll.IMDP("BND",AX467,BH8,AX3)</f>
        <v>입력오류</v>
      </c>
      <c r="BI467" s="2"/>
      <c r="BS467" s="21" t="str">
        <f ca="1">_xll.IMDP("BND",BJ467,BS8,BJ3)</f>
        <v>입력오류</v>
      </c>
      <c r="BT467" s="23" t="str">
        <f ca="1">_xll.IMDP("BND",BJ467,BT8,BJ3)</f>
        <v>입력오류</v>
      </c>
      <c r="BU467" s="2"/>
      <c r="CE467" s="21" t="str">
        <f ca="1">_xll.IMDP("BND",BV467,CE8,BV3)</f>
        <v>입력오류</v>
      </c>
      <c r="CF467" s="23" t="str">
        <f ca="1">_xll.IMDP("BND",BV467,CF8,BV3)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"/>
      <c r="DC467" s="21" t="str">
        <f ca="1">_xll.IMDP("BND",CT467,DC8,CT3)</f>
        <v>입력오류</v>
      </c>
      <c r="DD467" s="23" t="str">
        <f ca="1">_xll.IMDP("BND",CT467,DD8,CT3)</f>
        <v>입력오류</v>
      </c>
      <c r="DE467" s="2"/>
      <c r="DO467" s="21" t="str">
        <f ca="1">_xll.IMDP("BND",DF467,DO8,DF3)</f>
        <v>입력오류</v>
      </c>
      <c r="DP467" s="23" t="str">
        <f ca="1">_xll.IMDP("BND",DF467,DP8,DF3)</f>
        <v>입력오류</v>
      </c>
      <c r="DQ467" s="2"/>
      <c r="EA467" s="21" t="str">
        <f ca="1">_xll.IMDP("BND",DR467,EA8,DR3)</f>
        <v>입력오류</v>
      </c>
      <c r="EB467" s="23" t="str">
        <f ca="1">_xll.IMDP("BND",DR467,EB8,DR3)</f>
        <v>입력오류</v>
      </c>
    </row>
    <row r="468" spans="1:132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"/>
      <c r="W468" s="21" t="str">
        <f ca="1">_xll.IMDP("BND",N468,W8,N3)</f>
        <v>입력오류</v>
      </c>
      <c r="X468" s="23" t="str">
        <f ca="1">_xll.IMDP("BND",N468,X8,N3)</f>
        <v>입력오류</v>
      </c>
      <c r="Y468" s="2"/>
      <c r="AI468" s="21" t="str">
        <f ca="1">_xll.IMDP("BND",Z468,AI8,Z3)</f>
        <v>입력오류</v>
      </c>
      <c r="AJ468" s="23" t="str">
        <f ca="1">_xll.IMDP("BND",Z468,AJ8,Z3)</f>
        <v>입력오류</v>
      </c>
      <c r="AK468" s="2"/>
      <c r="AU468" s="21" t="str">
        <f ca="1">_xll.IMDP("BND",AL468,AU8,AL3)</f>
        <v>입력오류</v>
      </c>
      <c r="AV468" s="23" t="str">
        <f ca="1">_xll.IMDP("BND",AL468,AV8,AL3)</f>
        <v>입력오류</v>
      </c>
      <c r="AW468" s="2"/>
      <c r="BG468" s="21" t="str">
        <f ca="1">_xll.IMDP("BND",AX468,BG8,AX3)</f>
        <v>입력오류</v>
      </c>
      <c r="BH468" s="23" t="str">
        <f ca="1">_xll.IMDP("BND",AX468,BH8,AX3)</f>
        <v>입력오류</v>
      </c>
      <c r="BI468" s="2"/>
      <c r="BS468" s="21" t="str">
        <f ca="1">_xll.IMDP("BND",BJ468,BS8,BJ3)</f>
        <v>입력오류</v>
      </c>
      <c r="BT468" s="23" t="str">
        <f ca="1">_xll.IMDP("BND",BJ468,BT8,BJ3)</f>
        <v>입력오류</v>
      </c>
      <c r="BU468" s="2"/>
      <c r="CE468" s="21" t="str">
        <f ca="1">_xll.IMDP("BND",BV468,CE8,BV3)</f>
        <v>입력오류</v>
      </c>
      <c r="CF468" s="23" t="str">
        <f ca="1">_xll.IMDP("BND",BV468,CF8,BV3)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"/>
      <c r="DC468" s="21" t="str">
        <f ca="1">_xll.IMDP("BND",CT468,DC8,CT3)</f>
        <v>입력오류</v>
      </c>
      <c r="DD468" s="23" t="str">
        <f ca="1">_xll.IMDP("BND",CT468,DD8,CT3)</f>
        <v>입력오류</v>
      </c>
      <c r="DE468" s="2"/>
      <c r="DO468" s="21" t="str">
        <f ca="1">_xll.IMDP("BND",DF468,DO8,DF3)</f>
        <v>입력오류</v>
      </c>
      <c r="DP468" s="23" t="str">
        <f ca="1">_xll.IMDP("BND",DF468,DP8,DF3)</f>
        <v>입력오류</v>
      </c>
      <c r="DQ468" s="2"/>
      <c r="EA468" s="21" t="str">
        <f ca="1">_xll.IMDP("BND",DR468,EA8,DR3)</f>
        <v>입력오류</v>
      </c>
      <c r="EB468" s="23" t="str">
        <f ca="1">_xll.IMDP("BND",DR468,EB8,DR3)</f>
        <v>입력오류</v>
      </c>
    </row>
    <row r="469" spans="1:132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"/>
      <c r="W469" s="21" t="str">
        <f ca="1">_xll.IMDP("BND",N469,W8,N3)</f>
        <v>입력오류</v>
      </c>
      <c r="X469" s="23" t="str">
        <f ca="1">_xll.IMDP("BND",N469,X8,N3)</f>
        <v>입력오류</v>
      </c>
      <c r="Y469" s="2"/>
      <c r="AI469" s="21" t="str">
        <f ca="1">_xll.IMDP("BND",Z469,AI8,Z3)</f>
        <v>입력오류</v>
      </c>
      <c r="AJ469" s="23" t="str">
        <f ca="1">_xll.IMDP("BND",Z469,AJ8,Z3)</f>
        <v>입력오류</v>
      </c>
      <c r="AK469" s="2"/>
      <c r="AU469" s="21" t="str">
        <f ca="1">_xll.IMDP("BND",AL469,AU8,AL3)</f>
        <v>입력오류</v>
      </c>
      <c r="AV469" s="23" t="str">
        <f ca="1">_xll.IMDP("BND",AL469,AV8,AL3)</f>
        <v>입력오류</v>
      </c>
      <c r="AW469" s="2"/>
      <c r="BG469" s="21" t="str">
        <f ca="1">_xll.IMDP("BND",AX469,BG8,AX3)</f>
        <v>입력오류</v>
      </c>
      <c r="BH469" s="23" t="str">
        <f ca="1">_xll.IMDP("BND",AX469,BH8,AX3)</f>
        <v>입력오류</v>
      </c>
      <c r="BI469" s="2"/>
      <c r="BS469" s="21" t="str">
        <f ca="1">_xll.IMDP("BND",BJ469,BS8,BJ3)</f>
        <v>입력오류</v>
      </c>
      <c r="BT469" s="23" t="str">
        <f ca="1">_xll.IMDP("BND",BJ469,BT8,BJ3)</f>
        <v>입력오류</v>
      </c>
      <c r="BU469" s="2"/>
      <c r="CE469" s="21" t="str">
        <f ca="1">_xll.IMDP("BND",BV469,CE8,BV3)</f>
        <v>입력오류</v>
      </c>
      <c r="CF469" s="23" t="str">
        <f ca="1">_xll.IMDP("BND",BV469,CF8,BV3)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"/>
      <c r="DC469" s="21" t="str">
        <f ca="1">_xll.IMDP("BND",CT469,DC8,CT3)</f>
        <v>입력오류</v>
      </c>
      <c r="DD469" s="23" t="str">
        <f ca="1">_xll.IMDP("BND",CT469,DD8,CT3)</f>
        <v>입력오류</v>
      </c>
      <c r="DE469" s="2"/>
      <c r="DO469" s="21" t="str">
        <f ca="1">_xll.IMDP("BND",DF469,DO8,DF3)</f>
        <v>입력오류</v>
      </c>
      <c r="DP469" s="23" t="str">
        <f ca="1">_xll.IMDP("BND",DF469,DP8,DF3)</f>
        <v>입력오류</v>
      </c>
      <c r="DQ469" s="2"/>
      <c r="EA469" s="21" t="str">
        <f ca="1">_xll.IMDP("BND",DR469,EA8,DR3)</f>
        <v>입력오류</v>
      </c>
      <c r="EB469" s="23" t="str">
        <f ca="1">_xll.IMDP("BND",DR469,EB8,DR3)</f>
        <v>입력오류</v>
      </c>
    </row>
    <row r="470" spans="1:132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"/>
      <c r="W470" s="21" t="str">
        <f ca="1">_xll.IMDP("BND",N470,W8,N3)</f>
        <v>입력오류</v>
      </c>
      <c r="X470" s="23" t="str">
        <f ca="1">_xll.IMDP("BND",N470,X8,N3)</f>
        <v>입력오류</v>
      </c>
      <c r="Y470" s="2"/>
      <c r="AI470" s="21" t="str">
        <f ca="1">_xll.IMDP("BND",Z470,AI8,Z3)</f>
        <v>입력오류</v>
      </c>
      <c r="AJ470" s="23" t="str">
        <f ca="1">_xll.IMDP("BND",Z470,AJ8,Z3)</f>
        <v>입력오류</v>
      </c>
      <c r="AK470" s="2"/>
      <c r="AU470" s="21" t="str">
        <f ca="1">_xll.IMDP("BND",AL470,AU8,AL3)</f>
        <v>입력오류</v>
      </c>
      <c r="AV470" s="23" t="str">
        <f ca="1">_xll.IMDP("BND",AL470,AV8,AL3)</f>
        <v>입력오류</v>
      </c>
      <c r="AW470" s="2"/>
      <c r="BG470" s="21" t="str">
        <f ca="1">_xll.IMDP("BND",AX470,BG8,AX3)</f>
        <v>입력오류</v>
      </c>
      <c r="BH470" s="23" t="str">
        <f ca="1">_xll.IMDP("BND",AX470,BH8,AX3)</f>
        <v>입력오류</v>
      </c>
      <c r="BI470" s="2"/>
      <c r="BS470" s="21" t="str">
        <f ca="1">_xll.IMDP("BND",BJ470,BS8,BJ3)</f>
        <v>입력오류</v>
      </c>
      <c r="BT470" s="23" t="str">
        <f ca="1">_xll.IMDP("BND",BJ470,BT8,BJ3)</f>
        <v>입력오류</v>
      </c>
      <c r="BU470" s="2"/>
      <c r="CE470" s="21" t="str">
        <f ca="1">_xll.IMDP("BND",BV470,CE8,BV3)</f>
        <v>입력오류</v>
      </c>
      <c r="CF470" s="23" t="str">
        <f ca="1">_xll.IMDP("BND",BV470,CF8,BV3)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"/>
      <c r="DC470" s="21" t="str">
        <f ca="1">_xll.IMDP("BND",CT470,DC8,CT3)</f>
        <v>입력오류</v>
      </c>
      <c r="DD470" s="23" t="str">
        <f ca="1">_xll.IMDP("BND",CT470,DD8,CT3)</f>
        <v>입력오류</v>
      </c>
      <c r="DE470" s="2"/>
      <c r="DO470" s="21" t="str">
        <f ca="1">_xll.IMDP("BND",DF470,DO8,DF3)</f>
        <v>입력오류</v>
      </c>
      <c r="DP470" s="23" t="str">
        <f ca="1">_xll.IMDP("BND",DF470,DP8,DF3)</f>
        <v>입력오류</v>
      </c>
      <c r="DQ470" s="2"/>
      <c r="EA470" s="21" t="str">
        <f ca="1">_xll.IMDP("BND",DR470,EA8,DR3)</f>
        <v>입력오류</v>
      </c>
      <c r="EB470" s="23" t="str">
        <f ca="1">_xll.IMDP("BND",DR470,EB8,DR3)</f>
        <v>입력오류</v>
      </c>
    </row>
    <row r="471" spans="1:132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"/>
      <c r="W471" s="21" t="str">
        <f ca="1">_xll.IMDP("BND",N471,W8,N3)</f>
        <v>입력오류</v>
      </c>
      <c r="X471" s="23" t="str">
        <f ca="1">_xll.IMDP("BND",N471,X8,N3)</f>
        <v>입력오류</v>
      </c>
      <c r="Y471" s="2"/>
      <c r="AI471" s="21" t="str">
        <f ca="1">_xll.IMDP("BND",Z471,AI8,Z3)</f>
        <v>입력오류</v>
      </c>
      <c r="AJ471" s="23" t="str">
        <f ca="1">_xll.IMDP("BND",Z471,AJ8,Z3)</f>
        <v>입력오류</v>
      </c>
      <c r="AK471" s="2"/>
      <c r="AU471" s="21" t="str">
        <f ca="1">_xll.IMDP("BND",AL471,AU8,AL3)</f>
        <v>입력오류</v>
      </c>
      <c r="AV471" s="23" t="str">
        <f ca="1">_xll.IMDP("BND",AL471,AV8,AL3)</f>
        <v>입력오류</v>
      </c>
      <c r="AW471" s="2"/>
      <c r="BG471" s="21" t="str">
        <f ca="1">_xll.IMDP("BND",AX471,BG8,AX3)</f>
        <v>입력오류</v>
      </c>
      <c r="BH471" s="23" t="str">
        <f ca="1">_xll.IMDP("BND",AX471,BH8,AX3)</f>
        <v>입력오류</v>
      </c>
      <c r="BI471" s="2"/>
      <c r="BS471" s="21" t="str">
        <f ca="1">_xll.IMDP("BND",BJ471,BS8,BJ3)</f>
        <v>입력오류</v>
      </c>
      <c r="BT471" s="23" t="str">
        <f ca="1">_xll.IMDP("BND",BJ471,BT8,BJ3)</f>
        <v>입력오류</v>
      </c>
      <c r="BU471" s="2"/>
      <c r="CE471" s="21" t="str">
        <f ca="1">_xll.IMDP("BND",BV471,CE8,BV3)</f>
        <v>입력오류</v>
      </c>
      <c r="CF471" s="23" t="str">
        <f ca="1">_xll.IMDP("BND",BV471,CF8,BV3)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"/>
      <c r="DC471" s="21" t="str">
        <f ca="1">_xll.IMDP("BND",CT471,DC8,CT3)</f>
        <v>입력오류</v>
      </c>
      <c r="DD471" s="23" t="str">
        <f ca="1">_xll.IMDP("BND",CT471,DD8,CT3)</f>
        <v>입력오류</v>
      </c>
      <c r="DE471" s="2"/>
      <c r="DO471" s="21" t="str">
        <f ca="1">_xll.IMDP("BND",DF471,DO8,DF3)</f>
        <v>입력오류</v>
      </c>
      <c r="DP471" s="23" t="str">
        <f ca="1">_xll.IMDP("BND",DF471,DP8,DF3)</f>
        <v>입력오류</v>
      </c>
      <c r="DQ471" s="2"/>
      <c r="EA471" s="21" t="str">
        <f ca="1">_xll.IMDP("BND",DR471,EA8,DR3)</f>
        <v>입력오류</v>
      </c>
      <c r="EB471" s="23" t="str">
        <f ca="1">_xll.IMDP("BND",DR471,EB8,DR3)</f>
        <v>입력오류</v>
      </c>
    </row>
    <row r="472" spans="1:132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"/>
      <c r="W472" s="21" t="str">
        <f ca="1">_xll.IMDP("BND",N472,W8,N3)</f>
        <v>입력오류</v>
      </c>
      <c r="X472" s="23" t="str">
        <f ca="1">_xll.IMDP("BND",N472,X8,N3)</f>
        <v>입력오류</v>
      </c>
      <c r="Y472" s="2"/>
      <c r="AI472" s="21" t="str">
        <f ca="1">_xll.IMDP("BND",Z472,AI8,Z3)</f>
        <v>입력오류</v>
      </c>
      <c r="AJ472" s="23" t="str">
        <f ca="1">_xll.IMDP("BND",Z472,AJ8,Z3)</f>
        <v>입력오류</v>
      </c>
      <c r="AK472" s="2"/>
      <c r="AU472" s="21" t="str">
        <f ca="1">_xll.IMDP("BND",AL472,AU8,AL3)</f>
        <v>입력오류</v>
      </c>
      <c r="AV472" s="23" t="str">
        <f ca="1">_xll.IMDP("BND",AL472,AV8,AL3)</f>
        <v>입력오류</v>
      </c>
      <c r="AW472" s="2"/>
      <c r="BG472" s="21" t="str">
        <f ca="1">_xll.IMDP("BND",AX472,BG8,AX3)</f>
        <v>입력오류</v>
      </c>
      <c r="BH472" s="23" t="str">
        <f ca="1">_xll.IMDP("BND",AX472,BH8,AX3)</f>
        <v>입력오류</v>
      </c>
      <c r="BI472" s="2"/>
      <c r="BS472" s="21" t="str">
        <f ca="1">_xll.IMDP("BND",BJ472,BS8,BJ3)</f>
        <v>입력오류</v>
      </c>
      <c r="BT472" s="23" t="str">
        <f ca="1">_xll.IMDP("BND",BJ472,BT8,BJ3)</f>
        <v>입력오류</v>
      </c>
      <c r="BU472" s="2"/>
      <c r="CE472" s="21" t="str">
        <f ca="1">_xll.IMDP("BND",BV472,CE8,BV3)</f>
        <v>입력오류</v>
      </c>
      <c r="CF472" s="23" t="str">
        <f ca="1">_xll.IMDP("BND",BV472,CF8,BV3)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"/>
      <c r="DC472" s="21" t="str">
        <f ca="1">_xll.IMDP("BND",CT472,DC8,CT3)</f>
        <v>입력오류</v>
      </c>
      <c r="DD472" s="23" t="str">
        <f ca="1">_xll.IMDP("BND",CT472,DD8,CT3)</f>
        <v>입력오류</v>
      </c>
      <c r="DE472" s="2"/>
      <c r="DO472" s="21" t="str">
        <f ca="1">_xll.IMDP("BND",DF472,DO8,DF3)</f>
        <v>입력오류</v>
      </c>
      <c r="DP472" s="23" t="str">
        <f ca="1">_xll.IMDP("BND",DF472,DP8,DF3)</f>
        <v>입력오류</v>
      </c>
      <c r="DQ472" s="2"/>
      <c r="EA472" s="21" t="str">
        <f ca="1">_xll.IMDP("BND",DR472,EA8,DR3)</f>
        <v>입력오류</v>
      </c>
      <c r="EB472" s="23" t="str">
        <f ca="1">_xll.IMDP("BND",DR472,EB8,DR3)</f>
        <v>입력오류</v>
      </c>
    </row>
    <row r="473" spans="1:132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"/>
      <c r="W473" s="21" t="str">
        <f ca="1">_xll.IMDP("BND",N473,W8,N3)</f>
        <v>입력오류</v>
      </c>
      <c r="X473" s="23" t="str">
        <f ca="1">_xll.IMDP("BND",N473,X8,N3)</f>
        <v>입력오류</v>
      </c>
      <c r="Y473" s="2"/>
      <c r="AI473" s="21" t="str">
        <f ca="1">_xll.IMDP("BND",Z473,AI8,Z3)</f>
        <v>입력오류</v>
      </c>
      <c r="AJ473" s="23" t="str">
        <f ca="1">_xll.IMDP("BND",Z473,AJ8,Z3)</f>
        <v>입력오류</v>
      </c>
      <c r="AK473" s="2"/>
      <c r="AU473" s="21" t="str">
        <f ca="1">_xll.IMDP("BND",AL473,AU8,AL3)</f>
        <v>입력오류</v>
      </c>
      <c r="AV473" s="23" t="str">
        <f ca="1">_xll.IMDP("BND",AL473,AV8,AL3)</f>
        <v>입력오류</v>
      </c>
      <c r="AW473" s="2"/>
      <c r="BG473" s="21" t="str">
        <f ca="1">_xll.IMDP("BND",AX473,BG8,AX3)</f>
        <v>입력오류</v>
      </c>
      <c r="BH473" s="23" t="str">
        <f ca="1">_xll.IMDP("BND",AX473,BH8,AX3)</f>
        <v>입력오류</v>
      </c>
      <c r="BI473" s="2"/>
      <c r="BS473" s="21" t="str">
        <f ca="1">_xll.IMDP("BND",BJ473,BS8,BJ3)</f>
        <v>입력오류</v>
      </c>
      <c r="BT473" s="23" t="str">
        <f ca="1">_xll.IMDP("BND",BJ473,BT8,BJ3)</f>
        <v>입력오류</v>
      </c>
      <c r="BU473" s="2"/>
      <c r="CE473" s="21" t="str">
        <f ca="1">_xll.IMDP("BND",BV473,CE8,BV3)</f>
        <v>입력오류</v>
      </c>
      <c r="CF473" s="23" t="str">
        <f ca="1">_xll.IMDP("BND",BV473,CF8,BV3)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"/>
      <c r="DC473" s="21" t="str">
        <f ca="1">_xll.IMDP("BND",CT473,DC8,CT3)</f>
        <v>입력오류</v>
      </c>
      <c r="DD473" s="23" t="str">
        <f ca="1">_xll.IMDP("BND",CT473,DD8,CT3)</f>
        <v>입력오류</v>
      </c>
      <c r="DE473" s="2"/>
      <c r="DO473" s="21" t="str">
        <f ca="1">_xll.IMDP("BND",DF473,DO8,DF3)</f>
        <v>입력오류</v>
      </c>
      <c r="DP473" s="23" t="str">
        <f ca="1">_xll.IMDP("BND",DF473,DP8,DF3)</f>
        <v>입력오류</v>
      </c>
      <c r="DQ473" s="2"/>
      <c r="EA473" s="21" t="str">
        <f ca="1">_xll.IMDP("BND",DR473,EA8,DR3)</f>
        <v>입력오류</v>
      </c>
      <c r="EB473" s="23" t="str">
        <f ca="1">_xll.IMDP("BND",DR473,EB8,DR3)</f>
        <v>입력오류</v>
      </c>
    </row>
    <row r="474" spans="1:132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"/>
      <c r="W474" s="21" t="str">
        <f ca="1">_xll.IMDP("BND",N474,W8,N3)</f>
        <v>입력오류</v>
      </c>
      <c r="X474" s="23" t="str">
        <f ca="1">_xll.IMDP("BND",N474,X8,N3)</f>
        <v>입력오류</v>
      </c>
      <c r="Y474" s="2"/>
      <c r="AI474" s="21" t="str">
        <f ca="1">_xll.IMDP("BND",Z474,AI8,Z3)</f>
        <v>입력오류</v>
      </c>
      <c r="AJ474" s="23" t="str">
        <f ca="1">_xll.IMDP("BND",Z474,AJ8,Z3)</f>
        <v>입력오류</v>
      </c>
      <c r="AK474" s="2"/>
      <c r="AU474" s="21" t="str">
        <f ca="1">_xll.IMDP("BND",AL474,AU8,AL3)</f>
        <v>입력오류</v>
      </c>
      <c r="AV474" s="23" t="str">
        <f ca="1">_xll.IMDP("BND",AL474,AV8,AL3)</f>
        <v>입력오류</v>
      </c>
      <c r="AW474" s="2"/>
      <c r="BG474" s="21" t="str">
        <f ca="1">_xll.IMDP("BND",AX474,BG8,AX3)</f>
        <v>입력오류</v>
      </c>
      <c r="BH474" s="23" t="str">
        <f ca="1">_xll.IMDP("BND",AX474,BH8,AX3)</f>
        <v>입력오류</v>
      </c>
      <c r="BI474" s="2"/>
      <c r="BS474" s="21" t="str">
        <f ca="1">_xll.IMDP("BND",BJ474,BS8,BJ3)</f>
        <v>입력오류</v>
      </c>
      <c r="BT474" s="23" t="str">
        <f ca="1">_xll.IMDP("BND",BJ474,BT8,BJ3)</f>
        <v>입력오류</v>
      </c>
      <c r="BU474" s="2"/>
      <c r="CE474" s="21" t="str">
        <f ca="1">_xll.IMDP("BND",BV474,CE8,BV3)</f>
        <v>입력오류</v>
      </c>
      <c r="CF474" s="23" t="str">
        <f ca="1">_xll.IMDP("BND",BV474,CF8,BV3)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"/>
      <c r="DC474" s="21" t="str">
        <f ca="1">_xll.IMDP("BND",CT474,DC8,CT3)</f>
        <v>입력오류</v>
      </c>
      <c r="DD474" s="23" t="str">
        <f ca="1">_xll.IMDP("BND",CT474,DD8,CT3)</f>
        <v>입력오류</v>
      </c>
      <c r="DE474" s="2"/>
      <c r="DO474" s="21" t="str">
        <f ca="1">_xll.IMDP("BND",DF474,DO8,DF3)</f>
        <v>입력오류</v>
      </c>
      <c r="DP474" s="23" t="str">
        <f ca="1">_xll.IMDP("BND",DF474,DP8,DF3)</f>
        <v>입력오류</v>
      </c>
      <c r="DQ474" s="2"/>
      <c r="EA474" s="21" t="str">
        <f ca="1">_xll.IMDP("BND",DR474,EA8,DR3)</f>
        <v>입력오류</v>
      </c>
      <c r="EB474" s="23" t="str">
        <f ca="1">_xll.IMDP("BND",DR474,EB8,DR3)</f>
        <v>입력오류</v>
      </c>
    </row>
    <row r="475" spans="1:132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"/>
      <c r="W475" s="21" t="str">
        <f ca="1">_xll.IMDP("BND",N475,W8,N3)</f>
        <v>입력오류</v>
      </c>
      <c r="X475" s="23" t="str">
        <f ca="1">_xll.IMDP("BND",N475,X8,N3)</f>
        <v>입력오류</v>
      </c>
      <c r="Y475" s="2"/>
      <c r="AI475" s="21" t="str">
        <f ca="1">_xll.IMDP("BND",Z475,AI8,Z3)</f>
        <v>입력오류</v>
      </c>
      <c r="AJ475" s="23" t="str">
        <f ca="1">_xll.IMDP("BND",Z475,AJ8,Z3)</f>
        <v>입력오류</v>
      </c>
      <c r="AK475" s="2"/>
      <c r="AU475" s="21" t="str">
        <f ca="1">_xll.IMDP("BND",AL475,AU8,AL3)</f>
        <v>입력오류</v>
      </c>
      <c r="AV475" s="23" t="str">
        <f ca="1">_xll.IMDP("BND",AL475,AV8,AL3)</f>
        <v>입력오류</v>
      </c>
      <c r="AW475" s="2"/>
      <c r="BG475" s="21" t="str">
        <f ca="1">_xll.IMDP("BND",AX475,BG8,AX3)</f>
        <v>입력오류</v>
      </c>
      <c r="BH475" s="23" t="str">
        <f ca="1">_xll.IMDP("BND",AX475,BH8,AX3)</f>
        <v>입력오류</v>
      </c>
      <c r="BI475" s="2"/>
      <c r="BS475" s="21" t="str">
        <f ca="1">_xll.IMDP("BND",BJ475,BS8,BJ3)</f>
        <v>입력오류</v>
      </c>
      <c r="BT475" s="23" t="str">
        <f ca="1">_xll.IMDP("BND",BJ475,BT8,BJ3)</f>
        <v>입력오류</v>
      </c>
      <c r="BU475" s="2"/>
      <c r="CE475" s="21" t="str">
        <f ca="1">_xll.IMDP("BND",BV475,CE8,BV3)</f>
        <v>입력오류</v>
      </c>
      <c r="CF475" s="23" t="str">
        <f ca="1">_xll.IMDP("BND",BV475,CF8,BV3)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"/>
      <c r="DC475" s="21" t="str">
        <f ca="1">_xll.IMDP("BND",CT475,DC8,CT3)</f>
        <v>입력오류</v>
      </c>
      <c r="DD475" s="23" t="str">
        <f ca="1">_xll.IMDP("BND",CT475,DD8,CT3)</f>
        <v>입력오류</v>
      </c>
      <c r="DE475" s="2"/>
      <c r="DO475" s="21" t="str">
        <f ca="1">_xll.IMDP("BND",DF475,DO8,DF3)</f>
        <v>입력오류</v>
      </c>
      <c r="DP475" s="23" t="str">
        <f ca="1">_xll.IMDP("BND",DF475,DP8,DF3)</f>
        <v>입력오류</v>
      </c>
      <c r="DQ475" s="2"/>
      <c r="EA475" s="21" t="str">
        <f ca="1">_xll.IMDP("BND",DR475,EA8,DR3)</f>
        <v>입력오류</v>
      </c>
      <c r="EB475" s="23" t="str">
        <f ca="1">_xll.IMDP("BND",DR475,EB8,DR3)</f>
        <v>입력오류</v>
      </c>
    </row>
    <row r="476" spans="1:132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"/>
      <c r="W476" s="21" t="str">
        <f ca="1">_xll.IMDP("BND",N476,W8,N3)</f>
        <v>입력오류</v>
      </c>
      <c r="X476" s="23" t="str">
        <f ca="1">_xll.IMDP("BND",N476,X8,N3)</f>
        <v>입력오류</v>
      </c>
      <c r="Y476" s="2"/>
      <c r="AI476" s="21" t="str">
        <f ca="1">_xll.IMDP("BND",Z476,AI8,Z3)</f>
        <v>입력오류</v>
      </c>
      <c r="AJ476" s="23" t="str">
        <f ca="1">_xll.IMDP("BND",Z476,AJ8,Z3)</f>
        <v>입력오류</v>
      </c>
      <c r="AK476" s="2"/>
      <c r="AU476" s="21" t="str">
        <f ca="1">_xll.IMDP("BND",AL476,AU8,AL3)</f>
        <v>입력오류</v>
      </c>
      <c r="AV476" s="23" t="str">
        <f ca="1">_xll.IMDP("BND",AL476,AV8,AL3)</f>
        <v>입력오류</v>
      </c>
      <c r="AW476" s="2"/>
      <c r="BG476" s="21" t="str">
        <f ca="1">_xll.IMDP("BND",AX476,BG8,AX3)</f>
        <v>입력오류</v>
      </c>
      <c r="BH476" s="23" t="str">
        <f ca="1">_xll.IMDP("BND",AX476,BH8,AX3)</f>
        <v>입력오류</v>
      </c>
      <c r="BI476" s="2"/>
      <c r="BS476" s="21" t="str">
        <f ca="1">_xll.IMDP("BND",BJ476,BS8,BJ3)</f>
        <v>입력오류</v>
      </c>
      <c r="BT476" s="23" t="str">
        <f ca="1">_xll.IMDP("BND",BJ476,BT8,BJ3)</f>
        <v>입력오류</v>
      </c>
      <c r="BU476" s="2"/>
      <c r="CE476" s="21" t="str">
        <f ca="1">_xll.IMDP("BND",BV476,CE8,BV3)</f>
        <v>입력오류</v>
      </c>
      <c r="CF476" s="23" t="str">
        <f ca="1">_xll.IMDP("BND",BV476,CF8,BV3)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"/>
      <c r="DC476" s="21" t="str">
        <f ca="1">_xll.IMDP("BND",CT476,DC8,CT3)</f>
        <v>입력오류</v>
      </c>
      <c r="DD476" s="23" t="str">
        <f ca="1">_xll.IMDP("BND",CT476,DD8,CT3)</f>
        <v>입력오류</v>
      </c>
      <c r="DE476" s="2"/>
      <c r="DO476" s="21" t="str">
        <f ca="1">_xll.IMDP("BND",DF476,DO8,DF3)</f>
        <v>입력오류</v>
      </c>
      <c r="DP476" s="23" t="str">
        <f ca="1">_xll.IMDP("BND",DF476,DP8,DF3)</f>
        <v>입력오류</v>
      </c>
      <c r="DQ476" s="2"/>
      <c r="EA476" s="21" t="str">
        <f ca="1">_xll.IMDP("BND",DR476,EA8,DR3)</f>
        <v>입력오류</v>
      </c>
      <c r="EB476" s="23" t="str">
        <f ca="1">_xll.IMDP("BND",DR476,EB8,DR3)</f>
        <v>입력오류</v>
      </c>
    </row>
    <row r="477" spans="1:132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"/>
      <c r="W477" s="21" t="str">
        <f ca="1">_xll.IMDP("BND",N477,W8,N3)</f>
        <v>입력오류</v>
      </c>
      <c r="X477" s="23" t="str">
        <f ca="1">_xll.IMDP("BND",N477,X8,N3)</f>
        <v>입력오류</v>
      </c>
      <c r="Y477" s="2"/>
      <c r="AI477" s="21" t="str">
        <f ca="1">_xll.IMDP("BND",Z477,AI8,Z3)</f>
        <v>입력오류</v>
      </c>
      <c r="AJ477" s="23" t="str">
        <f ca="1">_xll.IMDP("BND",Z477,AJ8,Z3)</f>
        <v>입력오류</v>
      </c>
      <c r="AK477" s="2"/>
      <c r="AU477" s="21" t="str">
        <f ca="1">_xll.IMDP("BND",AL477,AU8,AL3)</f>
        <v>입력오류</v>
      </c>
      <c r="AV477" s="23" t="str">
        <f ca="1">_xll.IMDP("BND",AL477,AV8,AL3)</f>
        <v>입력오류</v>
      </c>
      <c r="AW477" s="2"/>
      <c r="BG477" s="21" t="str">
        <f ca="1">_xll.IMDP("BND",AX477,BG8,AX3)</f>
        <v>입력오류</v>
      </c>
      <c r="BH477" s="23" t="str">
        <f ca="1">_xll.IMDP("BND",AX477,BH8,AX3)</f>
        <v>입력오류</v>
      </c>
      <c r="BI477" s="2"/>
      <c r="BS477" s="21" t="str">
        <f ca="1">_xll.IMDP("BND",BJ477,BS8,BJ3)</f>
        <v>입력오류</v>
      </c>
      <c r="BT477" s="23" t="str">
        <f ca="1">_xll.IMDP("BND",BJ477,BT8,BJ3)</f>
        <v>입력오류</v>
      </c>
      <c r="BU477" s="2"/>
      <c r="CE477" s="21" t="str">
        <f ca="1">_xll.IMDP("BND",BV477,CE8,BV3)</f>
        <v>입력오류</v>
      </c>
      <c r="CF477" s="23" t="str">
        <f ca="1">_xll.IMDP("BND",BV477,CF8,BV3)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"/>
      <c r="DC477" s="21" t="str">
        <f ca="1">_xll.IMDP("BND",CT477,DC8,CT3)</f>
        <v>입력오류</v>
      </c>
      <c r="DD477" s="23" t="str">
        <f ca="1">_xll.IMDP("BND",CT477,DD8,CT3)</f>
        <v>입력오류</v>
      </c>
      <c r="DE477" s="2"/>
      <c r="DO477" s="21" t="str">
        <f ca="1">_xll.IMDP("BND",DF477,DO8,DF3)</f>
        <v>입력오류</v>
      </c>
      <c r="DP477" s="23" t="str">
        <f ca="1">_xll.IMDP("BND",DF477,DP8,DF3)</f>
        <v>입력오류</v>
      </c>
      <c r="DQ477" s="2"/>
      <c r="EA477" s="21" t="str">
        <f ca="1">_xll.IMDP("BND",DR477,EA8,DR3)</f>
        <v>입력오류</v>
      </c>
      <c r="EB477" s="23" t="str">
        <f ca="1">_xll.IMDP("BND",DR477,EB8,DR3)</f>
        <v>입력오류</v>
      </c>
    </row>
    <row r="478" spans="1:132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"/>
      <c r="W478" s="21" t="str">
        <f ca="1">_xll.IMDP("BND",N478,W8,N3)</f>
        <v>입력오류</v>
      </c>
      <c r="X478" s="23" t="str">
        <f ca="1">_xll.IMDP("BND",N478,X8,N3)</f>
        <v>입력오류</v>
      </c>
      <c r="Y478" s="2"/>
      <c r="AI478" s="21" t="str">
        <f ca="1">_xll.IMDP("BND",Z478,AI8,Z3)</f>
        <v>입력오류</v>
      </c>
      <c r="AJ478" s="23" t="str">
        <f ca="1">_xll.IMDP("BND",Z478,AJ8,Z3)</f>
        <v>입력오류</v>
      </c>
      <c r="AK478" s="2"/>
      <c r="AU478" s="21" t="str">
        <f ca="1">_xll.IMDP("BND",AL478,AU8,AL3)</f>
        <v>입력오류</v>
      </c>
      <c r="AV478" s="23" t="str">
        <f ca="1">_xll.IMDP("BND",AL478,AV8,AL3)</f>
        <v>입력오류</v>
      </c>
      <c r="AW478" s="2"/>
      <c r="BG478" s="21" t="str">
        <f ca="1">_xll.IMDP("BND",AX478,BG8,AX3)</f>
        <v>입력오류</v>
      </c>
      <c r="BH478" s="23" t="str">
        <f ca="1">_xll.IMDP("BND",AX478,BH8,AX3)</f>
        <v>입력오류</v>
      </c>
      <c r="BI478" s="2"/>
      <c r="BS478" s="21" t="str">
        <f ca="1">_xll.IMDP("BND",BJ478,BS8,BJ3)</f>
        <v>입력오류</v>
      </c>
      <c r="BT478" s="23" t="str">
        <f ca="1">_xll.IMDP("BND",BJ478,BT8,BJ3)</f>
        <v>입력오류</v>
      </c>
      <c r="BU478" s="2"/>
      <c r="CE478" s="21" t="str">
        <f ca="1">_xll.IMDP("BND",BV478,CE8,BV3)</f>
        <v>입력오류</v>
      </c>
      <c r="CF478" s="23" t="str">
        <f ca="1">_xll.IMDP("BND",BV478,CF8,BV3)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"/>
      <c r="DC478" s="21" t="str">
        <f ca="1">_xll.IMDP("BND",CT478,DC8,CT3)</f>
        <v>입력오류</v>
      </c>
      <c r="DD478" s="23" t="str">
        <f ca="1">_xll.IMDP("BND",CT478,DD8,CT3)</f>
        <v>입력오류</v>
      </c>
      <c r="DE478" s="2"/>
      <c r="DO478" s="21" t="str">
        <f ca="1">_xll.IMDP("BND",DF478,DO8,DF3)</f>
        <v>입력오류</v>
      </c>
      <c r="DP478" s="23" t="str">
        <f ca="1">_xll.IMDP("BND",DF478,DP8,DF3)</f>
        <v>입력오류</v>
      </c>
      <c r="DQ478" s="2"/>
      <c r="EA478" s="21" t="str">
        <f ca="1">_xll.IMDP("BND",DR478,EA8,DR3)</f>
        <v>입력오류</v>
      </c>
      <c r="EB478" s="23" t="str">
        <f ca="1">_xll.IMDP("BND",DR478,EB8,DR3)</f>
        <v>입력오류</v>
      </c>
    </row>
    <row r="479" spans="1:132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"/>
      <c r="W479" s="21" t="str">
        <f ca="1">_xll.IMDP("BND",N479,W8,N3)</f>
        <v>입력오류</v>
      </c>
      <c r="X479" s="23" t="str">
        <f ca="1">_xll.IMDP("BND",N479,X8,N3)</f>
        <v>입력오류</v>
      </c>
      <c r="Y479" s="2"/>
      <c r="AI479" s="21" t="str">
        <f ca="1">_xll.IMDP("BND",Z479,AI8,Z3)</f>
        <v>입력오류</v>
      </c>
      <c r="AJ479" s="23" t="str">
        <f ca="1">_xll.IMDP("BND",Z479,AJ8,Z3)</f>
        <v>입력오류</v>
      </c>
      <c r="AK479" s="2"/>
      <c r="AU479" s="21" t="str">
        <f ca="1">_xll.IMDP("BND",AL479,AU8,AL3)</f>
        <v>입력오류</v>
      </c>
      <c r="AV479" s="23" t="str">
        <f ca="1">_xll.IMDP("BND",AL479,AV8,AL3)</f>
        <v>입력오류</v>
      </c>
      <c r="AW479" s="2"/>
      <c r="BG479" s="21" t="str">
        <f ca="1">_xll.IMDP("BND",AX479,BG8,AX3)</f>
        <v>입력오류</v>
      </c>
      <c r="BH479" s="23" t="str">
        <f ca="1">_xll.IMDP("BND",AX479,BH8,AX3)</f>
        <v>입력오류</v>
      </c>
      <c r="BI479" s="2"/>
      <c r="BS479" s="21" t="str">
        <f ca="1">_xll.IMDP("BND",BJ479,BS8,BJ3)</f>
        <v>입력오류</v>
      </c>
      <c r="BT479" s="23" t="str">
        <f ca="1">_xll.IMDP("BND",BJ479,BT8,BJ3)</f>
        <v>입력오류</v>
      </c>
      <c r="BU479" s="2"/>
      <c r="CE479" s="21" t="str">
        <f ca="1">_xll.IMDP("BND",BV479,CE8,BV3)</f>
        <v>입력오류</v>
      </c>
      <c r="CF479" s="23" t="str">
        <f ca="1">_xll.IMDP("BND",BV479,CF8,BV3)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"/>
      <c r="DC479" s="21" t="str">
        <f ca="1">_xll.IMDP("BND",CT479,DC8,CT3)</f>
        <v>입력오류</v>
      </c>
      <c r="DD479" s="23" t="str">
        <f ca="1">_xll.IMDP("BND",CT479,DD8,CT3)</f>
        <v>입력오류</v>
      </c>
      <c r="DE479" s="2"/>
      <c r="DO479" s="21" t="str">
        <f ca="1">_xll.IMDP("BND",DF479,DO8,DF3)</f>
        <v>입력오류</v>
      </c>
      <c r="DP479" s="23" t="str">
        <f ca="1">_xll.IMDP("BND",DF479,DP8,DF3)</f>
        <v>입력오류</v>
      </c>
      <c r="DQ479" s="2"/>
      <c r="EA479" s="21" t="str">
        <f ca="1">_xll.IMDP("BND",DR479,EA8,DR3)</f>
        <v>입력오류</v>
      </c>
      <c r="EB479" s="23" t="str">
        <f ca="1">_xll.IMDP("BND",DR479,EB8,DR3)</f>
        <v>입력오류</v>
      </c>
    </row>
    <row r="480" spans="1:132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"/>
      <c r="W480" s="21" t="str">
        <f ca="1">_xll.IMDP("BND",N480,W8,N3)</f>
        <v>입력오류</v>
      </c>
      <c r="X480" s="23" t="str">
        <f ca="1">_xll.IMDP("BND",N480,X8,N3)</f>
        <v>입력오류</v>
      </c>
      <c r="Y480" s="2"/>
      <c r="AI480" s="21" t="str">
        <f ca="1">_xll.IMDP("BND",Z480,AI8,Z3)</f>
        <v>입력오류</v>
      </c>
      <c r="AJ480" s="23" t="str">
        <f ca="1">_xll.IMDP("BND",Z480,AJ8,Z3)</f>
        <v>입력오류</v>
      </c>
      <c r="AK480" s="2"/>
      <c r="AU480" s="21" t="str">
        <f ca="1">_xll.IMDP("BND",AL480,AU8,AL3)</f>
        <v>입력오류</v>
      </c>
      <c r="AV480" s="23" t="str">
        <f ca="1">_xll.IMDP("BND",AL480,AV8,AL3)</f>
        <v>입력오류</v>
      </c>
      <c r="AW480" s="2"/>
      <c r="BG480" s="21" t="str">
        <f ca="1">_xll.IMDP("BND",AX480,BG8,AX3)</f>
        <v>입력오류</v>
      </c>
      <c r="BH480" s="23" t="str">
        <f ca="1">_xll.IMDP("BND",AX480,BH8,AX3)</f>
        <v>입력오류</v>
      </c>
      <c r="BI480" s="2"/>
      <c r="BS480" s="21" t="str">
        <f ca="1">_xll.IMDP("BND",BJ480,BS8,BJ3)</f>
        <v>입력오류</v>
      </c>
      <c r="BT480" s="23" t="str">
        <f ca="1">_xll.IMDP("BND",BJ480,BT8,BJ3)</f>
        <v>입력오류</v>
      </c>
      <c r="BU480" s="2"/>
      <c r="CE480" s="21" t="str">
        <f ca="1">_xll.IMDP("BND",BV480,CE8,BV3)</f>
        <v>입력오류</v>
      </c>
      <c r="CF480" s="23" t="str">
        <f ca="1">_xll.IMDP("BND",BV480,CF8,BV3)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"/>
      <c r="DC480" s="21" t="str">
        <f ca="1">_xll.IMDP("BND",CT480,DC8,CT3)</f>
        <v>입력오류</v>
      </c>
      <c r="DD480" s="23" t="str">
        <f ca="1">_xll.IMDP("BND",CT480,DD8,CT3)</f>
        <v>입력오류</v>
      </c>
      <c r="DE480" s="2"/>
      <c r="DO480" s="21" t="str">
        <f ca="1">_xll.IMDP("BND",DF480,DO8,DF3)</f>
        <v>입력오류</v>
      </c>
      <c r="DP480" s="23" t="str">
        <f ca="1">_xll.IMDP("BND",DF480,DP8,DF3)</f>
        <v>입력오류</v>
      </c>
      <c r="DQ480" s="2"/>
      <c r="EA480" s="21" t="str">
        <f ca="1">_xll.IMDP("BND",DR480,EA8,DR3)</f>
        <v>입력오류</v>
      </c>
      <c r="EB480" s="23" t="str">
        <f ca="1">_xll.IMDP("BND",DR480,EB8,DR3)</f>
        <v>입력오류</v>
      </c>
    </row>
    <row r="481" spans="1:132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"/>
      <c r="W481" s="21" t="str">
        <f ca="1">_xll.IMDP("BND",N481,W8,N3)</f>
        <v>입력오류</v>
      </c>
      <c r="X481" s="23" t="str">
        <f ca="1">_xll.IMDP("BND",N481,X8,N3)</f>
        <v>입력오류</v>
      </c>
      <c r="Y481" s="2"/>
      <c r="AI481" s="21" t="str">
        <f ca="1">_xll.IMDP("BND",Z481,AI8,Z3)</f>
        <v>입력오류</v>
      </c>
      <c r="AJ481" s="23" t="str">
        <f ca="1">_xll.IMDP("BND",Z481,AJ8,Z3)</f>
        <v>입력오류</v>
      </c>
      <c r="AK481" s="2"/>
      <c r="AU481" s="21" t="str">
        <f ca="1">_xll.IMDP("BND",AL481,AU8,AL3)</f>
        <v>입력오류</v>
      </c>
      <c r="AV481" s="23" t="str">
        <f ca="1">_xll.IMDP("BND",AL481,AV8,AL3)</f>
        <v>입력오류</v>
      </c>
      <c r="AW481" s="2"/>
      <c r="BG481" s="21" t="str">
        <f ca="1">_xll.IMDP("BND",AX481,BG8,AX3)</f>
        <v>입력오류</v>
      </c>
      <c r="BH481" s="23" t="str">
        <f ca="1">_xll.IMDP("BND",AX481,BH8,AX3)</f>
        <v>입력오류</v>
      </c>
      <c r="BI481" s="2"/>
      <c r="BS481" s="21" t="str">
        <f ca="1">_xll.IMDP("BND",BJ481,BS8,BJ3)</f>
        <v>입력오류</v>
      </c>
      <c r="BT481" s="23" t="str">
        <f ca="1">_xll.IMDP("BND",BJ481,BT8,BJ3)</f>
        <v>입력오류</v>
      </c>
      <c r="BU481" s="2"/>
      <c r="CE481" s="21" t="str">
        <f ca="1">_xll.IMDP("BND",BV481,CE8,BV3)</f>
        <v>입력오류</v>
      </c>
      <c r="CF481" s="23" t="str">
        <f ca="1">_xll.IMDP("BND",BV481,CF8,BV3)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"/>
      <c r="DC481" s="21" t="str">
        <f ca="1">_xll.IMDP("BND",CT481,DC8,CT3)</f>
        <v>입력오류</v>
      </c>
      <c r="DD481" s="23" t="str">
        <f ca="1">_xll.IMDP("BND",CT481,DD8,CT3)</f>
        <v>입력오류</v>
      </c>
      <c r="DE481" s="2"/>
      <c r="DO481" s="21" t="str">
        <f ca="1">_xll.IMDP("BND",DF481,DO8,DF3)</f>
        <v>입력오류</v>
      </c>
      <c r="DP481" s="23" t="str">
        <f ca="1">_xll.IMDP("BND",DF481,DP8,DF3)</f>
        <v>입력오류</v>
      </c>
      <c r="DQ481" s="2"/>
      <c r="EA481" s="21" t="str">
        <f ca="1">_xll.IMDP("BND",DR481,EA8,DR3)</f>
        <v>입력오류</v>
      </c>
      <c r="EB481" s="23" t="str">
        <f ca="1">_xll.IMDP("BND",DR481,EB8,DR3)</f>
        <v>입력오류</v>
      </c>
    </row>
    <row r="482" spans="1:132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"/>
      <c r="W482" s="21" t="str">
        <f ca="1">_xll.IMDP("BND",N482,W8,N3)</f>
        <v>입력오류</v>
      </c>
      <c r="X482" s="23" t="str">
        <f ca="1">_xll.IMDP("BND",N482,X8,N3)</f>
        <v>입력오류</v>
      </c>
      <c r="Y482" s="2"/>
      <c r="AI482" s="21" t="str">
        <f ca="1">_xll.IMDP("BND",Z482,AI8,Z3)</f>
        <v>입력오류</v>
      </c>
      <c r="AJ482" s="23" t="str">
        <f ca="1">_xll.IMDP("BND",Z482,AJ8,Z3)</f>
        <v>입력오류</v>
      </c>
      <c r="AK482" s="2"/>
      <c r="AU482" s="21" t="str">
        <f ca="1">_xll.IMDP("BND",AL482,AU8,AL3)</f>
        <v>입력오류</v>
      </c>
      <c r="AV482" s="23" t="str">
        <f ca="1">_xll.IMDP("BND",AL482,AV8,AL3)</f>
        <v>입력오류</v>
      </c>
      <c r="AW482" s="2"/>
      <c r="BG482" s="21" t="str">
        <f ca="1">_xll.IMDP("BND",AX482,BG8,AX3)</f>
        <v>입력오류</v>
      </c>
      <c r="BH482" s="23" t="str">
        <f ca="1">_xll.IMDP("BND",AX482,BH8,AX3)</f>
        <v>입력오류</v>
      </c>
      <c r="BI482" s="2"/>
      <c r="BS482" s="21" t="str">
        <f ca="1">_xll.IMDP("BND",BJ482,BS8,BJ3)</f>
        <v>입력오류</v>
      </c>
      <c r="BT482" s="23" t="str">
        <f ca="1">_xll.IMDP("BND",BJ482,BT8,BJ3)</f>
        <v>입력오류</v>
      </c>
      <c r="BU482" s="2"/>
      <c r="CE482" s="21" t="str">
        <f ca="1">_xll.IMDP("BND",BV482,CE8,BV3)</f>
        <v>입력오류</v>
      </c>
      <c r="CF482" s="23" t="str">
        <f ca="1">_xll.IMDP("BND",BV482,CF8,BV3)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"/>
      <c r="DC482" s="21" t="str">
        <f ca="1">_xll.IMDP("BND",CT482,DC8,CT3)</f>
        <v>입력오류</v>
      </c>
      <c r="DD482" s="23" t="str">
        <f ca="1">_xll.IMDP("BND",CT482,DD8,CT3)</f>
        <v>입력오류</v>
      </c>
      <c r="DE482" s="2"/>
      <c r="DO482" s="21" t="str">
        <f ca="1">_xll.IMDP("BND",DF482,DO8,DF3)</f>
        <v>입력오류</v>
      </c>
      <c r="DP482" s="23" t="str">
        <f ca="1">_xll.IMDP("BND",DF482,DP8,DF3)</f>
        <v>입력오류</v>
      </c>
      <c r="DQ482" s="2"/>
      <c r="EA482" s="21" t="str">
        <f ca="1">_xll.IMDP("BND",DR482,EA8,DR3)</f>
        <v>입력오류</v>
      </c>
      <c r="EB482" s="23" t="str">
        <f ca="1">_xll.IMDP("BND",DR482,EB8,DR3)</f>
        <v>입력오류</v>
      </c>
    </row>
    <row r="483" spans="1:132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"/>
      <c r="W483" s="21" t="str">
        <f ca="1">_xll.IMDP("BND",N483,W8,N3)</f>
        <v>입력오류</v>
      </c>
      <c r="X483" s="23" t="str">
        <f ca="1">_xll.IMDP("BND",N483,X8,N3)</f>
        <v>입력오류</v>
      </c>
      <c r="Y483" s="2"/>
      <c r="AI483" s="21" t="str">
        <f ca="1">_xll.IMDP("BND",Z483,AI8,Z3)</f>
        <v>입력오류</v>
      </c>
      <c r="AJ483" s="23" t="str">
        <f ca="1">_xll.IMDP("BND",Z483,AJ8,Z3)</f>
        <v>입력오류</v>
      </c>
      <c r="AK483" s="2"/>
      <c r="AU483" s="21" t="str">
        <f ca="1">_xll.IMDP("BND",AL483,AU8,AL3)</f>
        <v>입력오류</v>
      </c>
      <c r="AV483" s="23" t="str">
        <f ca="1">_xll.IMDP("BND",AL483,AV8,AL3)</f>
        <v>입력오류</v>
      </c>
      <c r="AW483" s="2"/>
      <c r="BG483" s="21" t="str">
        <f ca="1">_xll.IMDP("BND",AX483,BG8,AX3)</f>
        <v>입력오류</v>
      </c>
      <c r="BH483" s="23" t="str">
        <f ca="1">_xll.IMDP("BND",AX483,BH8,AX3)</f>
        <v>입력오류</v>
      </c>
      <c r="BI483" s="2"/>
      <c r="BS483" s="21" t="str">
        <f ca="1">_xll.IMDP("BND",BJ483,BS8,BJ3)</f>
        <v>입력오류</v>
      </c>
      <c r="BT483" s="23" t="str">
        <f ca="1">_xll.IMDP("BND",BJ483,BT8,BJ3)</f>
        <v>입력오류</v>
      </c>
      <c r="BU483" s="2"/>
      <c r="CE483" s="21" t="str">
        <f ca="1">_xll.IMDP("BND",BV483,CE8,BV3)</f>
        <v>입력오류</v>
      </c>
      <c r="CF483" s="23" t="str">
        <f ca="1">_xll.IMDP("BND",BV483,CF8,BV3)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"/>
      <c r="DC483" s="21" t="str">
        <f ca="1">_xll.IMDP("BND",CT483,DC8,CT3)</f>
        <v>입력오류</v>
      </c>
      <c r="DD483" s="23" t="str">
        <f ca="1">_xll.IMDP("BND",CT483,DD8,CT3)</f>
        <v>입력오류</v>
      </c>
      <c r="DE483" s="2"/>
      <c r="DO483" s="21" t="str">
        <f ca="1">_xll.IMDP("BND",DF483,DO8,DF3)</f>
        <v>입력오류</v>
      </c>
      <c r="DP483" s="23" t="str">
        <f ca="1">_xll.IMDP("BND",DF483,DP8,DF3)</f>
        <v>입력오류</v>
      </c>
      <c r="DQ483" s="2"/>
      <c r="EA483" s="21" t="str">
        <f ca="1">_xll.IMDP("BND",DR483,EA8,DR3)</f>
        <v>입력오류</v>
      </c>
      <c r="EB483" s="23" t="str">
        <f ca="1">_xll.IMDP("BND",DR483,EB8,DR3)</f>
        <v>입력오류</v>
      </c>
    </row>
    <row r="484" spans="1:132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"/>
      <c r="W484" s="21" t="str">
        <f ca="1">_xll.IMDP("BND",N484,W8,N3)</f>
        <v>입력오류</v>
      </c>
      <c r="X484" s="23" t="str">
        <f ca="1">_xll.IMDP("BND",N484,X8,N3)</f>
        <v>입력오류</v>
      </c>
      <c r="Y484" s="2"/>
      <c r="AI484" s="21" t="str">
        <f ca="1">_xll.IMDP("BND",Z484,AI8,Z3)</f>
        <v>입력오류</v>
      </c>
      <c r="AJ484" s="23" t="str">
        <f ca="1">_xll.IMDP("BND",Z484,AJ8,Z3)</f>
        <v>입력오류</v>
      </c>
      <c r="AK484" s="2"/>
      <c r="AU484" s="21" t="str">
        <f ca="1">_xll.IMDP("BND",AL484,AU8,AL3)</f>
        <v>입력오류</v>
      </c>
      <c r="AV484" s="23" t="str">
        <f ca="1">_xll.IMDP("BND",AL484,AV8,AL3)</f>
        <v>입력오류</v>
      </c>
      <c r="AW484" s="2"/>
      <c r="BG484" s="21" t="str">
        <f ca="1">_xll.IMDP("BND",AX484,BG8,AX3)</f>
        <v>입력오류</v>
      </c>
      <c r="BH484" s="23" t="str">
        <f ca="1">_xll.IMDP("BND",AX484,BH8,AX3)</f>
        <v>입력오류</v>
      </c>
      <c r="BI484" s="2"/>
      <c r="BS484" s="21" t="str">
        <f ca="1">_xll.IMDP("BND",BJ484,BS8,BJ3)</f>
        <v>입력오류</v>
      </c>
      <c r="BT484" s="23" t="str">
        <f ca="1">_xll.IMDP("BND",BJ484,BT8,BJ3)</f>
        <v>입력오류</v>
      </c>
      <c r="BU484" s="2"/>
      <c r="CE484" s="21" t="str">
        <f ca="1">_xll.IMDP("BND",BV484,CE8,BV3)</f>
        <v>입력오류</v>
      </c>
      <c r="CF484" s="23" t="str">
        <f ca="1">_xll.IMDP("BND",BV484,CF8,BV3)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"/>
      <c r="DC484" s="21" t="str">
        <f ca="1">_xll.IMDP("BND",CT484,DC8,CT3)</f>
        <v>입력오류</v>
      </c>
      <c r="DD484" s="23" t="str">
        <f ca="1">_xll.IMDP("BND",CT484,DD8,CT3)</f>
        <v>입력오류</v>
      </c>
      <c r="DE484" s="2"/>
      <c r="DO484" s="21" t="str">
        <f ca="1">_xll.IMDP("BND",DF484,DO8,DF3)</f>
        <v>입력오류</v>
      </c>
      <c r="DP484" s="23" t="str">
        <f ca="1">_xll.IMDP("BND",DF484,DP8,DF3)</f>
        <v>입력오류</v>
      </c>
      <c r="DQ484" s="2"/>
      <c r="EA484" s="21" t="str">
        <f ca="1">_xll.IMDP("BND",DR484,EA8,DR3)</f>
        <v>입력오류</v>
      </c>
      <c r="EB484" s="23" t="str">
        <f ca="1">_xll.IMDP("BND",DR484,EB8,DR3)</f>
        <v>입력오류</v>
      </c>
    </row>
    <row r="485" spans="1:132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"/>
      <c r="W485" s="21" t="str">
        <f ca="1">_xll.IMDP("BND",N485,W8,N3)</f>
        <v>입력오류</v>
      </c>
      <c r="X485" s="23" t="str">
        <f ca="1">_xll.IMDP("BND",N485,X8,N3)</f>
        <v>입력오류</v>
      </c>
      <c r="Y485" s="2"/>
      <c r="AI485" s="21" t="str">
        <f ca="1">_xll.IMDP("BND",Z485,AI8,Z3)</f>
        <v>입력오류</v>
      </c>
      <c r="AJ485" s="23" t="str">
        <f ca="1">_xll.IMDP("BND",Z485,AJ8,Z3)</f>
        <v>입력오류</v>
      </c>
      <c r="AK485" s="2"/>
      <c r="AU485" s="21" t="str">
        <f ca="1">_xll.IMDP("BND",AL485,AU8,AL3)</f>
        <v>입력오류</v>
      </c>
      <c r="AV485" s="23" t="str">
        <f ca="1">_xll.IMDP("BND",AL485,AV8,AL3)</f>
        <v>입력오류</v>
      </c>
      <c r="AW485" s="2"/>
      <c r="BG485" s="21" t="str">
        <f ca="1">_xll.IMDP("BND",AX485,BG8,AX3)</f>
        <v>입력오류</v>
      </c>
      <c r="BH485" s="23" t="str">
        <f ca="1">_xll.IMDP("BND",AX485,BH8,AX3)</f>
        <v>입력오류</v>
      </c>
      <c r="BI485" s="2"/>
      <c r="BS485" s="21" t="str">
        <f ca="1">_xll.IMDP("BND",BJ485,BS8,BJ3)</f>
        <v>입력오류</v>
      </c>
      <c r="BT485" s="23" t="str">
        <f ca="1">_xll.IMDP("BND",BJ485,BT8,BJ3)</f>
        <v>입력오류</v>
      </c>
      <c r="BU485" s="2"/>
      <c r="CE485" s="21" t="str">
        <f ca="1">_xll.IMDP("BND",BV485,CE8,BV3)</f>
        <v>입력오류</v>
      </c>
      <c r="CF485" s="23" t="str">
        <f ca="1">_xll.IMDP("BND",BV485,CF8,BV3)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"/>
      <c r="DC485" s="21" t="str">
        <f ca="1">_xll.IMDP("BND",CT485,DC8,CT3)</f>
        <v>입력오류</v>
      </c>
      <c r="DD485" s="23" t="str">
        <f ca="1">_xll.IMDP("BND",CT485,DD8,CT3)</f>
        <v>입력오류</v>
      </c>
      <c r="DE485" s="2"/>
      <c r="DO485" s="21" t="str">
        <f ca="1">_xll.IMDP("BND",DF485,DO8,DF3)</f>
        <v>입력오류</v>
      </c>
      <c r="DP485" s="23" t="str">
        <f ca="1">_xll.IMDP("BND",DF485,DP8,DF3)</f>
        <v>입력오류</v>
      </c>
      <c r="DQ485" s="2"/>
      <c r="EA485" s="21" t="str">
        <f ca="1">_xll.IMDP("BND",DR485,EA8,DR3)</f>
        <v>입력오류</v>
      </c>
      <c r="EB485" s="23" t="str">
        <f ca="1">_xll.IMDP("BND",DR485,EB8,DR3)</f>
        <v>입력오류</v>
      </c>
    </row>
    <row r="486" spans="1:132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"/>
      <c r="W486" s="21" t="str">
        <f ca="1">_xll.IMDP("BND",N486,W8,N3)</f>
        <v>입력오류</v>
      </c>
      <c r="X486" s="23" t="str">
        <f ca="1">_xll.IMDP("BND",N486,X8,N3)</f>
        <v>입력오류</v>
      </c>
      <c r="Y486" s="2"/>
      <c r="AI486" s="21" t="str">
        <f ca="1">_xll.IMDP("BND",Z486,AI8,Z3)</f>
        <v>입력오류</v>
      </c>
      <c r="AJ486" s="23" t="str">
        <f ca="1">_xll.IMDP("BND",Z486,AJ8,Z3)</f>
        <v>입력오류</v>
      </c>
      <c r="AK486" s="2"/>
      <c r="AU486" s="21" t="str">
        <f ca="1">_xll.IMDP("BND",AL486,AU8,AL3)</f>
        <v>입력오류</v>
      </c>
      <c r="AV486" s="23" t="str">
        <f ca="1">_xll.IMDP("BND",AL486,AV8,AL3)</f>
        <v>입력오류</v>
      </c>
      <c r="AW486" s="2"/>
      <c r="BG486" s="21" t="str">
        <f ca="1">_xll.IMDP("BND",AX486,BG8,AX3)</f>
        <v>입력오류</v>
      </c>
      <c r="BH486" s="23" t="str">
        <f ca="1">_xll.IMDP("BND",AX486,BH8,AX3)</f>
        <v>입력오류</v>
      </c>
      <c r="BI486" s="2"/>
      <c r="BS486" s="21" t="str">
        <f ca="1">_xll.IMDP("BND",BJ486,BS8,BJ3)</f>
        <v>입력오류</v>
      </c>
      <c r="BT486" s="23" t="str">
        <f ca="1">_xll.IMDP("BND",BJ486,BT8,BJ3)</f>
        <v>입력오류</v>
      </c>
      <c r="BU486" s="2"/>
      <c r="CE486" s="21" t="str">
        <f ca="1">_xll.IMDP("BND",BV486,CE8,BV3)</f>
        <v>입력오류</v>
      </c>
      <c r="CF486" s="23" t="str">
        <f ca="1">_xll.IMDP("BND",BV486,CF8,BV3)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"/>
      <c r="DC486" s="21" t="str">
        <f ca="1">_xll.IMDP("BND",CT486,DC8,CT3)</f>
        <v>입력오류</v>
      </c>
      <c r="DD486" s="23" t="str">
        <f ca="1">_xll.IMDP("BND",CT486,DD8,CT3)</f>
        <v>입력오류</v>
      </c>
      <c r="DE486" s="2"/>
      <c r="DO486" s="21" t="str">
        <f ca="1">_xll.IMDP("BND",DF486,DO8,DF3)</f>
        <v>입력오류</v>
      </c>
      <c r="DP486" s="23" t="str">
        <f ca="1">_xll.IMDP("BND",DF486,DP8,DF3)</f>
        <v>입력오류</v>
      </c>
      <c r="DQ486" s="2"/>
      <c r="EA486" s="21" t="str">
        <f ca="1">_xll.IMDP("BND",DR486,EA8,DR3)</f>
        <v>입력오류</v>
      </c>
      <c r="EB486" s="23" t="str">
        <f ca="1">_xll.IMDP("BND",DR486,EB8,DR3)</f>
        <v>입력오류</v>
      </c>
    </row>
    <row r="487" spans="1:132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"/>
      <c r="W487" s="21" t="str">
        <f ca="1">_xll.IMDP("BND",N487,W8,N3)</f>
        <v>입력오류</v>
      </c>
      <c r="X487" s="23" t="str">
        <f ca="1">_xll.IMDP("BND",N487,X8,N3)</f>
        <v>입력오류</v>
      </c>
      <c r="Y487" s="2"/>
      <c r="AI487" s="21" t="str">
        <f ca="1">_xll.IMDP("BND",Z487,AI8,Z3)</f>
        <v>입력오류</v>
      </c>
      <c r="AJ487" s="23" t="str">
        <f ca="1">_xll.IMDP("BND",Z487,AJ8,Z3)</f>
        <v>입력오류</v>
      </c>
      <c r="AK487" s="2"/>
      <c r="AU487" s="21" t="str">
        <f ca="1">_xll.IMDP("BND",AL487,AU8,AL3)</f>
        <v>입력오류</v>
      </c>
      <c r="AV487" s="23" t="str">
        <f ca="1">_xll.IMDP("BND",AL487,AV8,AL3)</f>
        <v>입력오류</v>
      </c>
      <c r="AW487" s="2"/>
      <c r="BG487" s="21" t="str">
        <f ca="1">_xll.IMDP("BND",AX487,BG8,AX3)</f>
        <v>입력오류</v>
      </c>
      <c r="BH487" s="23" t="str">
        <f ca="1">_xll.IMDP("BND",AX487,BH8,AX3)</f>
        <v>입력오류</v>
      </c>
      <c r="BI487" s="2"/>
      <c r="BS487" s="21" t="str">
        <f ca="1">_xll.IMDP("BND",BJ487,BS8,BJ3)</f>
        <v>입력오류</v>
      </c>
      <c r="BT487" s="23" t="str">
        <f ca="1">_xll.IMDP("BND",BJ487,BT8,BJ3)</f>
        <v>입력오류</v>
      </c>
      <c r="BU487" s="2"/>
      <c r="CE487" s="21" t="str">
        <f ca="1">_xll.IMDP("BND",BV487,CE8,BV3)</f>
        <v>입력오류</v>
      </c>
      <c r="CF487" s="23" t="str">
        <f ca="1">_xll.IMDP("BND",BV487,CF8,BV3)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"/>
      <c r="DC487" s="21" t="str">
        <f ca="1">_xll.IMDP("BND",CT487,DC8,CT3)</f>
        <v>입력오류</v>
      </c>
      <c r="DD487" s="23" t="str">
        <f ca="1">_xll.IMDP("BND",CT487,DD8,CT3)</f>
        <v>입력오류</v>
      </c>
      <c r="DE487" s="2"/>
      <c r="DO487" s="21" t="str">
        <f ca="1">_xll.IMDP("BND",DF487,DO8,DF3)</f>
        <v>입력오류</v>
      </c>
      <c r="DP487" s="23" t="str">
        <f ca="1">_xll.IMDP("BND",DF487,DP8,DF3)</f>
        <v>입력오류</v>
      </c>
      <c r="DQ487" s="2"/>
      <c r="EA487" s="21" t="str">
        <f ca="1">_xll.IMDP("BND",DR487,EA8,DR3)</f>
        <v>입력오류</v>
      </c>
      <c r="EB487" s="23" t="str">
        <f ca="1">_xll.IMDP("BND",DR487,EB8,DR3)</f>
        <v>입력오류</v>
      </c>
    </row>
    <row r="488" spans="1:132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"/>
      <c r="W488" s="21" t="str">
        <f ca="1">_xll.IMDP("BND",N488,W8,N3)</f>
        <v>입력오류</v>
      </c>
      <c r="X488" s="23" t="str">
        <f ca="1">_xll.IMDP("BND",N488,X8,N3)</f>
        <v>입력오류</v>
      </c>
      <c r="Y488" s="2"/>
      <c r="AI488" s="21" t="str">
        <f ca="1">_xll.IMDP("BND",Z488,AI8,Z3)</f>
        <v>입력오류</v>
      </c>
      <c r="AJ488" s="23" t="str">
        <f ca="1">_xll.IMDP("BND",Z488,AJ8,Z3)</f>
        <v>입력오류</v>
      </c>
      <c r="AK488" s="2"/>
      <c r="AU488" s="21" t="str">
        <f ca="1">_xll.IMDP("BND",AL488,AU8,AL3)</f>
        <v>입력오류</v>
      </c>
      <c r="AV488" s="23" t="str">
        <f ca="1">_xll.IMDP("BND",AL488,AV8,AL3)</f>
        <v>입력오류</v>
      </c>
      <c r="AW488" s="2"/>
      <c r="BG488" s="21" t="str">
        <f ca="1">_xll.IMDP("BND",AX488,BG8,AX3)</f>
        <v>입력오류</v>
      </c>
      <c r="BH488" s="23" t="str">
        <f ca="1">_xll.IMDP("BND",AX488,BH8,AX3)</f>
        <v>입력오류</v>
      </c>
      <c r="BI488" s="2"/>
      <c r="BS488" s="21" t="str">
        <f ca="1">_xll.IMDP("BND",BJ488,BS8,BJ3)</f>
        <v>입력오류</v>
      </c>
      <c r="BT488" s="23" t="str">
        <f ca="1">_xll.IMDP("BND",BJ488,BT8,BJ3)</f>
        <v>입력오류</v>
      </c>
      <c r="BU488" s="2"/>
      <c r="CE488" s="21" t="str">
        <f ca="1">_xll.IMDP("BND",BV488,CE8,BV3)</f>
        <v>입력오류</v>
      </c>
      <c r="CF488" s="23" t="str">
        <f ca="1">_xll.IMDP("BND",BV488,CF8,BV3)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"/>
      <c r="DC488" s="21" t="str">
        <f ca="1">_xll.IMDP("BND",CT488,DC8,CT3)</f>
        <v>입력오류</v>
      </c>
      <c r="DD488" s="23" t="str">
        <f ca="1">_xll.IMDP("BND",CT488,DD8,CT3)</f>
        <v>입력오류</v>
      </c>
      <c r="DE488" s="2"/>
      <c r="DO488" s="21" t="str">
        <f ca="1">_xll.IMDP("BND",DF488,DO8,DF3)</f>
        <v>입력오류</v>
      </c>
      <c r="DP488" s="23" t="str">
        <f ca="1">_xll.IMDP("BND",DF488,DP8,DF3)</f>
        <v>입력오류</v>
      </c>
      <c r="DQ488" s="2"/>
      <c r="EA488" s="21" t="str">
        <f ca="1">_xll.IMDP("BND",DR488,EA8,DR3)</f>
        <v>입력오류</v>
      </c>
      <c r="EB488" s="23" t="str">
        <f ca="1">_xll.IMDP("BND",DR488,EB8,DR3)</f>
        <v>입력오류</v>
      </c>
    </row>
    <row r="489" spans="1:132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"/>
      <c r="W489" s="21" t="str">
        <f ca="1">_xll.IMDP("BND",N489,W8,N3)</f>
        <v>입력오류</v>
      </c>
      <c r="X489" s="23" t="str">
        <f ca="1">_xll.IMDP("BND",N489,X8,N3)</f>
        <v>입력오류</v>
      </c>
      <c r="Y489" s="2"/>
      <c r="AI489" s="21" t="str">
        <f ca="1">_xll.IMDP("BND",Z489,AI8,Z3)</f>
        <v>입력오류</v>
      </c>
      <c r="AJ489" s="23" t="str">
        <f ca="1">_xll.IMDP("BND",Z489,AJ8,Z3)</f>
        <v>입력오류</v>
      </c>
      <c r="AK489" s="2"/>
      <c r="AU489" s="21" t="str">
        <f ca="1">_xll.IMDP("BND",AL489,AU8,AL3)</f>
        <v>입력오류</v>
      </c>
      <c r="AV489" s="23" t="str">
        <f ca="1">_xll.IMDP("BND",AL489,AV8,AL3)</f>
        <v>입력오류</v>
      </c>
      <c r="AW489" s="2"/>
      <c r="BG489" s="21" t="str">
        <f ca="1">_xll.IMDP("BND",AX489,BG8,AX3)</f>
        <v>입력오류</v>
      </c>
      <c r="BH489" s="23" t="str">
        <f ca="1">_xll.IMDP("BND",AX489,BH8,AX3)</f>
        <v>입력오류</v>
      </c>
      <c r="BI489" s="2"/>
      <c r="BS489" s="21" t="str">
        <f ca="1">_xll.IMDP("BND",BJ489,BS8,BJ3)</f>
        <v>입력오류</v>
      </c>
      <c r="BT489" s="23" t="str">
        <f ca="1">_xll.IMDP("BND",BJ489,BT8,BJ3)</f>
        <v>입력오류</v>
      </c>
      <c r="BU489" s="2"/>
      <c r="CE489" s="21" t="str">
        <f ca="1">_xll.IMDP("BND",BV489,CE8,BV3)</f>
        <v>입력오류</v>
      </c>
      <c r="CF489" s="23" t="str">
        <f ca="1">_xll.IMDP("BND",BV489,CF8,BV3)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"/>
      <c r="DC489" s="21" t="str">
        <f ca="1">_xll.IMDP("BND",CT489,DC8,CT3)</f>
        <v>입력오류</v>
      </c>
      <c r="DD489" s="23" t="str">
        <f ca="1">_xll.IMDP("BND",CT489,DD8,CT3)</f>
        <v>입력오류</v>
      </c>
      <c r="DE489" s="2"/>
      <c r="DO489" s="21" t="str">
        <f ca="1">_xll.IMDP("BND",DF489,DO8,DF3)</f>
        <v>입력오류</v>
      </c>
      <c r="DP489" s="23" t="str">
        <f ca="1">_xll.IMDP("BND",DF489,DP8,DF3)</f>
        <v>입력오류</v>
      </c>
      <c r="DQ489" s="2"/>
      <c r="EA489" s="21" t="str">
        <f ca="1">_xll.IMDP("BND",DR489,EA8,DR3)</f>
        <v>입력오류</v>
      </c>
      <c r="EB489" s="23" t="str">
        <f ca="1">_xll.IMDP("BND",DR489,EB8,DR3)</f>
        <v>입력오류</v>
      </c>
    </row>
    <row r="490" spans="1:132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"/>
      <c r="W490" s="21" t="str">
        <f ca="1">_xll.IMDP("BND",N490,W8,N3)</f>
        <v>입력오류</v>
      </c>
      <c r="X490" s="23" t="str">
        <f ca="1">_xll.IMDP("BND",N490,X8,N3)</f>
        <v>입력오류</v>
      </c>
      <c r="Y490" s="2"/>
      <c r="AI490" s="21" t="str">
        <f ca="1">_xll.IMDP("BND",Z490,AI8,Z3)</f>
        <v>입력오류</v>
      </c>
      <c r="AJ490" s="23" t="str">
        <f ca="1">_xll.IMDP("BND",Z490,AJ8,Z3)</f>
        <v>입력오류</v>
      </c>
      <c r="AK490" s="2"/>
      <c r="AU490" s="21" t="str">
        <f ca="1">_xll.IMDP("BND",AL490,AU8,AL3)</f>
        <v>입력오류</v>
      </c>
      <c r="AV490" s="23" t="str">
        <f ca="1">_xll.IMDP("BND",AL490,AV8,AL3)</f>
        <v>입력오류</v>
      </c>
      <c r="AW490" s="2"/>
      <c r="BG490" s="21" t="str">
        <f ca="1">_xll.IMDP("BND",AX490,BG8,AX3)</f>
        <v>입력오류</v>
      </c>
      <c r="BH490" s="23" t="str">
        <f ca="1">_xll.IMDP("BND",AX490,BH8,AX3)</f>
        <v>입력오류</v>
      </c>
      <c r="BI490" s="2"/>
      <c r="BS490" s="21" t="str">
        <f ca="1">_xll.IMDP("BND",BJ490,BS8,BJ3)</f>
        <v>입력오류</v>
      </c>
      <c r="BT490" s="23" t="str">
        <f ca="1">_xll.IMDP("BND",BJ490,BT8,BJ3)</f>
        <v>입력오류</v>
      </c>
      <c r="BU490" s="2"/>
      <c r="CE490" s="21" t="str">
        <f ca="1">_xll.IMDP("BND",BV490,CE8,BV3)</f>
        <v>입력오류</v>
      </c>
      <c r="CF490" s="23" t="str">
        <f ca="1">_xll.IMDP("BND",BV490,CF8,BV3)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"/>
      <c r="DC490" s="21" t="str">
        <f ca="1">_xll.IMDP("BND",CT490,DC8,CT3)</f>
        <v>입력오류</v>
      </c>
      <c r="DD490" s="23" t="str">
        <f ca="1">_xll.IMDP("BND",CT490,DD8,CT3)</f>
        <v>입력오류</v>
      </c>
      <c r="DE490" s="2"/>
      <c r="DO490" s="21" t="str">
        <f ca="1">_xll.IMDP("BND",DF490,DO8,DF3)</f>
        <v>입력오류</v>
      </c>
      <c r="DP490" s="23" t="str">
        <f ca="1">_xll.IMDP("BND",DF490,DP8,DF3)</f>
        <v>입력오류</v>
      </c>
      <c r="DQ490" s="2"/>
      <c r="EA490" s="21" t="str">
        <f ca="1">_xll.IMDP("BND",DR490,EA8,DR3)</f>
        <v>입력오류</v>
      </c>
      <c r="EB490" s="23" t="str">
        <f ca="1">_xll.IMDP("BND",DR490,EB8,DR3)</f>
        <v>입력오류</v>
      </c>
    </row>
    <row r="491" spans="1:132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"/>
      <c r="W491" s="21" t="str">
        <f ca="1">_xll.IMDP("BND",N491,W8,N3)</f>
        <v>입력오류</v>
      </c>
      <c r="X491" s="23" t="str">
        <f ca="1">_xll.IMDP("BND",N491,X8,N3)</f>
        <v>입력오류</v>
      </c>
      <c r="Y491" s="2"/>
      <c r="AI491" s="21" t="str">
        <f ca="1">_xll.IMDP("BND",Z491,AI8,Z3)</f>
        <v>입력오류</v>
      </c>
      <c r="AJ491" s="23" t="str">
        <f ca="1">_xll.IMDP("BND",Z491,AJ8,Z3)</f>
        <v>입력오류</v>
      </c>
      <c r="AK491" s="2"/>
      <c r="AU491" s="21" t="str">
        <f ca="1">_xll.IMDP("BND",AL491,AU8,AL3)</f>
        <v>입력오류</v>
      </c>
      <c r="AV491" s="23" t="str">
        <f ca="1">_xll.IMDP("BND",AL491,AV8,AL3)</f>
        <v>입력오류</v>
      </c>
      <c r="AW491" s="2"/>
      <c r="BG491" s="21" t="str">
        <f ca="1">_xll.IMDP("BND",AX491,BG8,AX3)</f>
        <v>입력오류</v>
      </c>
      <c r="BH491" s="23" t="str">
        <f ca="1">_xll.IMDP("BND",AX491,BH8,AX3)</f>
        <v>입력오류</v>
      </c>
      <c r="BI491" s="2"/>
      <c r="BS491" s="21" t="str">
        <f ca="1">_xll.IMDP("BND",BJ491,BS8,BJ3)</f>
        <v>입력오류</v>
      </c>
      <c r="BT491" s="23" t="str">
        <f ca="1">_xll.IMDP("BND",BJ491,BT8,BJ3)</f>
        <v>입력오류</v>
      </c>
      <c r="BU491" s="2"/>
      <c r="CE491" s="21" t="str">
        <f ca="1">_xll.IMDP("BND",BV491,CE8,BV3)</f>
        <v>입력오류</v>
      </c>
      <c r="CF491" s="23" t="str">
        <f ca="1">_xll.IMDP("BND",BV491,CF8,BV3)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"/>
      <c r="DC491" s="21" t="str">
        <f ca="1">_xll.IMDP("BND",CT491,DC8,CT3)</f>
        <v>입력오류</v>
      </c>
      <c r="DD491" s="23" t="str">
        <f ca="1">_xll.IMDP("BND",CT491,DD8,CT3)</f>
        <v>입력오류</v>
      </c>
      <c r="DE491" s="2"/>
      <c r="DO491" s="21" t="str">
        <f ca="1">_xll.IMDP("BND",DF491,DO8,DF3)</f>
        <v>입력오류</v>
      </c>
      <c r="DP491" s="23" t="str">
        <f ca="1">_xll.IMDP("BND",DF491,DP8,DF3)</f>
        <v>입력오류</v>
      </c>
      <c r="DQ491" s="2"/>
      <c r="EA491" s="21" t="str">
        <f ca="1">_xll.IMDP("BND",DR491,EA8,DR3)</f>
        <v>입력오류</v>
      </c>
      <c r="EB491" s="23" t="str">
        <f ca="1">_xll.IMDP("BND",DR491,EB8,DR3)</f>
        <v>입력오류</v>
      </c>
    </row>
    <row r="492" spans="1:132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"/>
      <c r="W492" s="21" t="str">
        <f ca="1">_xll.IMDP("BND",N492,W8,N3)</f>
        <v>입력오류</v>
      </c>
      <c r="X492" s="23" t="str">
        <f ca="1">_xll.IMDP("BND",N492,X8,N3)</f>
        <v>입력오류</v>
      </c>
      <c r="Y492" s="2"/>
      <c r="AI492" s="21" t="str">
        <f ca="1">_xll.IMDP("BND",Z492,AI8,Z3)</f>
        <v>입력오류</v>
      </c>
      <c r="AJ492" s="23" t="str">
        <f ca="1">_xll.IMDP("BND",Z492,AJ8,Z3)</f>
        <v>입력오류</v>
      </c>
      <c r="AK492" s="2"/>
      <c r="AU492" s="21" t="str">
        <f ca="1">_xll.IMDP("BND",AL492,AU8,AL3)</f>
        <v>입력오류</v>
      </c>
      <c r="AV492" s="23" t="str">
        <f ca="1">_xll.IMDP("BND",AL492,AV8,AL3)</f>
        <v>입력오류</v>
      </c>
      <c r="AW492" s="2"/>
      <c r="BG492" s="21" t="str">
        <f ca="1">_xll.IMDP("BND",AX492,BG8,AX3)</f>
        <v>입력오류</v>
      </c>
      <c r="BH492" s="23" t="str">
        <f ca="1">_xll.IMDP("BND",AX492,BH8,AX3)</f>
        <v>입력오류</v>
      </c>
      <c r="BI492" s="2"/>
      <c r="BS492" s="21" t="str">
        <f ca="1">_xll.IMDP("BND",BJ492,BS8,BJ3)</f>
        <v>입력오류</v>
      </c>
      <c r="BT492" s="23" t="str">
        <f ca="1">_xll.IMDP("BND",BJ492,BT8,BJ3)</f>
        <v>입력오류</v>
      </c>
      <c r="BU492" s="2"/>
      <c r="CE492" s="21" t="str">
        <f ca="1">_xll.IMDP("BND",BV492,CE8,BV3)</f>
        <v>입력오류</v>
      </c>
      <c r="CF492" s="23" t="str">
        <f ca="1">_xll.IMDP("BND",BV492,CF8,BV3)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"/>
      <c r="DC492" s="21" t="str">
        <f ca="1">_xll.IMDP("BND",CT492,DC8,CT3)</f>
        <v>입력오류</v>
      </c>
      <c r="DD492" s="23" t="str">
        <f ca="1">_xll.IMDP("BND",CT492,DD8,CT3)</f>
        <v>입력오류</v>
      </c>
      <c r="DE492" s="2"/>
      <c r="DO492" s="21" t="str">
        <f ca="1">_xll.IMDP("BND",DF492,DO8,DF3)</f>
        <v>입력오류</v>
      </c>
      <c r="DP492" s="23" t="str">
        <f ca="1">_xll.IMDP("BND",DF492,DP8,DF3)</f>
        <v>입력오류</v>
      </c>
      <c r="DQ492" s="2"/>
      <c r="EA492" s="21" t="str">
        <f ca="1">_xll.IMDP("BND",DR492,EA8,DR3)</f>
        <v>입력오류</v>
      </c>
      <c r="EB492" s="23" t="str">
        <f ca="1">_xll.IMDP("BND",DR492,EB8,DR3)</f>
        <v>입력오류</v>
      </c>
    </row>
    <row r="493" spans="1:132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"/>
      <c r="W493" s="21" t="str">
        <f ca="1">_xll.IMDP("BND",N493,W8,N3)</f>
        <v>입력오류</v>
      </c>
      <c r="X493" s="23" t="str">
        <f ca="1">_xll.IMDP("BND",N493,X8,N3)</f>
        <v>입력오류</v>
      </c>
      <c r="Y493" s="2"/>
      <c r="AI493" s="21" t="str">
        <f ca="1">_xll.IMDP("BND",Z493,AI8,Z3)</f>
        <v>입력오류</v>
      </c>
      <c r="AJ493" s="23" t="str">
        <f ca="1">_xll.IMDP("BND",Z493,AJ8,Z3)</f>
        <v>입력오류</v>
      </c>
      <c r="AK493" s="2"/>
      <c r="AU493" s="21" t="str">
        <f ca="1">_xll.IMDP("BND",AL493,AU8,AL3)</f>
        <v>입력오류</v>
      </c>
      <c r="AV493" s="23" t="str">
        <f ca="1">_xll.IMDP("BND",AL493,AV8,AL3)</f>
        <v>입력오류</v>
      </c>
      <c r="AW493" s="2"/>
      <c r="BG493" s="21" t="str">
        <f ca="1">_xll.IMDP("BND",AX493,BG8,AX3)</f>
        <v>입력오류</v>
      </c>
      <c r="BH493" s="23" t="str">
        <f ca="1">_xll.IMDP("BND",AX493,BH8,AX3)</f>
        <v>입력오류</v>
      </c>
      <c r="BI493" s="2"/>
      <c r="BS493" s="21" t="str">
        <f ca="1">_xll.IMDP("BND",BJ493,BS8,BJ3)</f>
        <v>입력오류</v>
      </c>
      <c r="BT493" s="23" t="str">
        <f ca="1">_xll.IMDP("BND",BJ493,BT8,BJ3)</f>
        <v>입력오류</v>
      </c>
      <c r="BU493" s="2"/>
      <c r="CE493" s="21" t="str">
        <f ca="1">_xll.IMDP("BND",BV493,CE8,BV3)</f>
        <v>입력오류</v>
      </c>
      <c r="CF493" s="23" t="str">
        <f ca="1">_xll.IMDP("BND",BV493,CF8,BV3)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"/>
      <c r="DC493" s="21" t="str">
        <f ca="1">_xll.IMDP("BND",CT493,DC8,CT3)</f>
        <v>입력오류</v>
      </c>
      <c r="DD493" s="23" t="str">
        <f ca="1">_xll.IMDP("BND",CT493,DD8,CT3)</f>
        <v>입력오류</v>
      </c>
      <c r="DE493" s="2"/>
      <c r="DO493" s="21" t="str">
        <f ca="1">_xll.IMDP("BND",DF493,DO8,DF3)</f>
        <v>입력오류</v>
      </c>
      <c r="DP493" s="23" t="str">
        <f ca="1">_xll.IMDP("BND",DF493,DP8,DF3)</f>
        <v>입력오류</v>
      </c>
      <c r="DQ493" s="2"/>
      <c r="EA493" s="21" t="str">
        <f ca="1">_xll.IMDP("BND",DR493,EA8,DR3)</f>
        <v>입력오류</v>
      </c>
      <c r="EB493" s="23" t="str">
        <f ca="1">_xll.IMDP("BND",DR493,EB8,DR3)</f>
        <v>입력오류</v>
      </c>
    </row>
    <row r="494" spans="1:132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"/>
      <c r="W494" s="21" t="str">
        <f ca="1">_xll.IMDP("BND",N494,W8,N3)</f>
        <v>입력오류</v>
      </c>
      <c r="X494" s="23" t="str">
        <f ca="1">_xll.IMDP("BND",N494,X8,N3)</f>
        <v>입력오류</v>
      </c>
      <c r="Y494" s="2"/>
      <c r="AI494" s="21" t="str">
        <f ca="1">_xll.IMDP("BND",Z494,AI8,Z3)</f>
        <v>입력오류</v>
      </c>
      <c r="AJ494" s="23" t="str">
        <f ca="1">_xll.IMDP("BND",Z494,AJ8,Z3)</f>
        <v>입력오류</v>
      </c>
      <c r="AK494" s="2"/>
      <c r="AU494" s="21" t="str">
        <f ca="1">_xll.IMDP("BND",AL494,AU8,AL3)</f>
        <v>입력오류</v>
      </c>
      <c r="AV494" s="23" t="str">
        <f ca="1">_xll.IMDP("BND",AL494,AV8,AL3)</f>
        <v>입력오류</v>
      </c>
      <c r="AW494" s="2"/>
      <c r="BG494" s="21" t="str">
        <f ca="1">_xll.IMDP("BND",AX494,BG8,AX3)</f>
        <v>입력오류</v>
      </c>
      <c r="BH494" s="23" t="str">
        <f ca="1">_xll.IMDP("BND",AX494,BH8,AX3)</f>
        <v>입력오류</v>
      </c>
      <c r="BI494" s="2"/>
      <c r="BS494" s="21" t="str">
        <f ca="1">_xll.IMDP("BND",BJ494,BS8,BJ3)</f>
        <v>입력오류</v>
      </c>
      <c r="BT494" s="23" t="str">
        <f ca="1">_xll.IMDP("BND",BJ494,BT8,BJ3)</f>
        <v>입력오류</v>
      </c>
      <c r="BU494" s="2"/>
      <c r="CE494" s="21" t="str">
        <f ca="1">_xll.IMDP("BND",BV494,CE8,BV3)</f>
        <v>입력오류</v>
      </c>
      <c r="CF494" s="23" t="str">
        <f ca="1">_xll.IMDP("BND",BV494,CF8,BV3)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"/>
      <c r="DC494" s="21" t="str">
        <f ca="1">_xll.IMDP("BND",CT494,DC8,CT3)</f>
        <v>입력오류</v>
      </c>
      <c r="DD494" s="23" t="str">
        <f ca="1">_xll.IMDP("BND",CT494,DD8,CT3)</f>
        <v>입력오류</v>
      </c>
      <c r="DE494" s="2"/>
      <c r="DO494" s="21" t="str">
        <f ca="1">_xll.IMDP("BND",DF494,DO8,DF3)</f>
        <v>입력오류</v>
      </c>
      <c r="DP494" s="23" t="str">
        <f ca="1">_xll.IMDP("BND",DF494,DP8,DF3)</f>
        <v>입력오류</v>
      </c>
      <c r="DQ494" s="2"/>
      <c r="EA494" s="21" t="str">
        <f ca="1">_xll.IMDP("BND",DR494,EA8,DR3)</f>
        <v>입력오류</v>
      </c>
      <c r="EB494" s="23" t="str">
        <f ca="1">_xll.IMDP("BND",DR494,EB8,DR3)</f>
        <v>입력오류</v>
      </c>
    </row>
    <row r="495" spans="1:132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"/>
      <c r="W495" s="21" t="str">
        <f ca="1">_xll.IMDP("BND",N495,W8,N3)</f>
        <v>입력오류</v>
      </c>
      <c r="X495" s="23" t="str">
        <f ca="1">_xll.IMDP("BND",N495,X8,N3)</f>
        <v>입력오류</v>
      </c>
      <c r="Y495" s="2"/>
      <c r="AI495" s="21" t="str">
        <f ca="1">_xll.IMDP("BND",Z495,AI8,Z3)</f>
        <v>입력오류</v>
      </c>
      <c r="AJ495" s="23" t="str">
        <f ca="1">_xll.IMDP("BND",Z495,AJ8,Z3)</f>
        <v>입력오류</v>
      </c>
      <c r="AK495" s="2"/>
      <c r="AU495" s="21" t="str">
        <f ca="1">_xll.IMDP("BND",AL495,AU8,AL3)</f>
        <v>입력오류</v>
      </c>
      <c r="AV495" s="23" t="str">
        <f ca="1">_xll.IMDP("BND",AL495,AV8,AL3)</f>
        <v>입력오류</v>
      </c>
      <c r="AW495" s="2"/>
      <c r="BG495" s="21" t="str">
        <f ca="1">_xll.IMDP("BND",AX495,BG8,AX3)</f>
        <v>입력오류</v>
      </c>
      <c r="BH495" s="23" t="str">
        <f ca="1">_xll.IMDP("BND",AX495,BH8,AX3)</f>
        <v>입력오류</v>
      </c>
      <c r="BI495" s="2"/>
      <c r="BS495" s="21" t="str">
        <f ca="1">_xll.IMDP("BND",BJ495,BS8,BJ3)</f>
        <v>입력오류</v>
      </c>
      <c r="BT495" s="23" t="str">
        <f ca="1">_xll.IMDP("BND",BJ495,BT8,BJ3)</f>
        <v>입력오류</v>
      </c>
      <c r="BU495" s="2"/>
      <c r="CE495" s="21" t="str">
        <f ca="1">_xll.IMDP("BND",BV495,CE8,BV3)</f>
        <v>입력오류</v>
      </c>
      <c r="CF495" s="23" t="str">
        <f ca="1">_xll.IMDP("BND",BV495,CF8,BV3)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"/>
      <c r="DC495" s="21" t="str">
        <f ca="1">_xll.IMDP("BND",CT495,DC8,CT3)</f>
        <v>입력오류</v>
      </c>
      <c r="DD495" s="23" t="str">
        <f ca="1">_xll.IMDP("BND",CT495,DD8,CT3)</f>
        <v>입력오류</v>
      </c>
      <c r="DE495" s="2"/>
      <c r="DO495" s="21" t="str">
        <f ca="1">_xll.IMDP("BND",DF495,DO8,DF3)</f>
        <v>입력오류</v>
      </c>
      <c r="DP495" s="23" t="str">
        <f ca="1">_xll.IMDP("BND",DF495,DP8,DF3)</f>
        <v>입력오류</v>
      </c>
      <c r="DQ495" s="2"/>
      <c r="EA495" s="21" t="str">
        <f ca="1">_xll.IMDP("BND",DR495,EA8,DR3)</f>
        <v>입력오류</v>
      </c>
      <c r="EB495" s="23" t="str">
        <f ca="1">_xll.IMDP("BND",DR495,EB8,DR3)</f>
        <v>입력오류</v>
      </c>
    </row>
    <row r="496" spans="1:132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"/>
      <c r="W496" s="21" t="str">
        <f ca="1">_xll.IMDP("BND",N496,W8,N3)</f>
        <v>입력오류</v>
      </c>
      <c r="X496" s="23" t="str">
        <f ca="1">_xll.IMDP("BND",N496,X8,N3)</f>
        <v>입력오류</v>
      </c>
      <c r="Y496" s="2"/>
      <c r="AI496" s="21" t="str">
        <f ca="1">_xll.IMDP("BND",Z496,AI8,Z3)</f>
        <v>입력오류</v>
      </c>
      <c r="AJ496" s="23" t="str">
        <f ca="1">_xll.IMDP("BND",Z496,AJ8,Z3)</f>
        <v>입력오류</v>
      </c>
      <c r="AK496" s="2"/>
      <c r="AU496" s="21" t="str">
        <f ca="1">_xll.IMDP("BND",AL496,AU8,AL3)</f>
        <v>입력오류</v>
      </c>
      <c r="AV496" s="23" t="str">
        <f ca="1">_xll.IMDP("BND",AL496,AV8,AL3)</f>
        <v>입력오류</v>
      </c>
      <c r="AW496" s="2"/>
      <c r="BG496" s="21" t="str">
        <f ca="1">_xll.IMDP("BND",AX496,BG8,AX3)</f>
        <v>입력오류</v>
      </c>
      <c r="BH496" s="23" t="str">
        <f ca="1">_xll.IMDP("BND",AX496,BH8,AX3)</f>
        <v>입력오류</v>
      </c>
      <c r="BI496" s="2"/>
      <c r="BS496" s="21" t="str">
        <f ca="1">_xll.IMDP("BND",BJ496,BS8,BJ3)</f>
        <v>입력오류</v>
      </c>
      <c r="BT496" s="23" t="str">
        <f ca="1">_xll.IMDP("BND",BJ496,BT8,BJ3)</f>
        <v>입력오류</v>
      </c>
      <c r="BU496" s="2"/>
      <c r="CE496" s="21" t="str">
        <f ca="1">_xll.IMDP("BND",BV496,CE8,BV3)</f>
        <v>입력오류</v>
      </c>
      <c r="CF496" s="23" t="str">
        <f ca="1">_xll.IMDP("BND",BV496,CF8,BV3)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"/>
      <c r="DC496" s="21" t="str">
        <f ca="1">_xll.IMDP("BND",CT496,DC8,CT3)</f>
        <v>입력오류</v>
      </c>
      <c r="DD496" s="23" t="str">
        <f ca="1">_xll.IMDP("BND",CT496,DD8,CT3)</f>
        <v>입력오류</v>
      </c>
      <c r="DE496" s="2"/>
      <c r="DO496" s="21" t="str">
        <f ca="1">_xll.IMDP("BND",DF496,DO8,DF3)</f>
        <v>입력오류</v>
      </c>
      <c r="DP496" s="23" t="str">
        <f ca="1">_xll.IMDP("BND",DF496,DP8,DF3)</f>
        <v>입력오류</v>
      </c>
      <c r="DQ496" s="2"/>
      <c r="EA496" s="21" t="str">
        <f ca="1">_xll.IMDP("BND",DR496,EA8,DR3)</f>
        <v>입력오류</v>
      </c>
      <c r="EB496" s="23" t="str">
        <f ca="1">_xll.IMDP("BND",DR496,EB8,DR3)</f>
        <v>입력오류</v>
      </c>
    </row>
    <row r="497" spans="1:132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"/>
      <c r="W497" s="21" t="str">
        <f ca="1">_xll.IMDP("BND",N497,W8,N3)</f>
        <v>입력오류</v>
      </c>
      <c r="X497" s="23" t="str">
        <f ca="1">_xll.IMDP("BND",N497,X8,N3)</f>
        <v>입력오류</v>
      </c>
      <c r="Y497" s="2"/>
      <c r="AI497" s="21" t="str">
        <f ca="1">_xll.IMDP("BND",Z497,AI8,Z3)</f>
        <v>입력오류</v>
      </c>
      <c r="AJ497" s="23" t="str">
        <f ca="1">_xll.IMDP("BND",Z497,AJ8,Z3)</f>
        <v>입력오류</v>
      </c>
      <c r="AK497" s="2"/>
      <c r="AU497" s="21" t="str">
        <f ca="1">_xll.IMDP("BND",AL497,AU8,AL3)</f>
        <v>입력오류</v>
      </c>
      <c r="AV497" s="23" t="str">
        <f ca="1">_xll.IMDP("BND",AL497,AV8,AL3)</f>
        <v>입력오류</v>
      </c>
      <c r="AW497" s="2"/>
      <c r="BG497" s="21" t="str">
        <f ca="1">_xll.IMDP("BND",AX497,BG8,AX3)</f>
        <v>입력오류</v>
      </c>
      <c r="BH497" s="23" t="str">
        <f ca="1">_xll.IMDP("BND",AX497,BH8,AX3)</f>
        <v>입력오류</v>
      </c>
      <c r="BI497" s="2"/>
      <c r="BS497" s="21" t="str">
        <f ca="1">_xll.IMDP("BND",BJ497,BS8,BJ3)</f>
        <v>입력오류</v>
      </c>
      <c r="BT497" s="23" t="str">
        <f ca="1">_xll.IMDP("BND",BJ497,BT8,BJ3)</f>
        <v>입력오류</v>
      </c>
      <c r="BU497" s="2"/>
      <c r="CE497" s="21" t="str">
        <f ca="1">_xll.IMDP("BND",BV497,CE8,BV3)</f>
        <v>입력오류</v>
      </c>
      <c r="CF497" s="23" t="str">
        <f ca="1">_xll.IMDP("BND",BV497,CF8,BV3)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"/>
      <c r="DC497" s="21" t="str">
        <f ca="1">_xll.IMDP("BND",CT497,DC8,CT3)</f>
        <v>입력오류</v>
      </c>
      <c r="DD497" s="23" t="str">
        <f ca="1">_xll.IMDP("BND",CT497,DD8,CT3)</f>
        <v>입력오류</v>
      </c>
      <c r="DE497" s="2"/>
      <c r="DO497" s="21" t="str">
        <f ca="1">_xll.IMDP("BND",DF497,DO8,DF3)</f>
        <v>입력오류</v>
      </c>
      <c r="DP497" s="23" t="str">
        <f ca="1">_xll.IMDP("BND",DF497,DP8,DF3)</f>
        <v>입력오류</v>
      </c>
      <c r="DQ497" s="2"/>
      <c r="EA497" s="21" t="str">
        <f ca="1">_xll.IMDP("BND",DR497,EA8,DR3)</f>
        <v>입력오류</v>
      </c>
      <c r="EB497" s="23" t="str">
        <f ca="1">_xll.IMDP("BND",DR497,EB8,DR3)</f>
        <v>입력오류</v>
      </c>
    </row>
    <row r="498" spans="1:132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"/>
      <c r="W498" s="21" t="str">
        <f ca="1">_xll.IMDP("BND",N498,W8,N3)</f>
        <v>입력오류</v>
      </c>
      <c r="X498" s="23" t="str">
        <f ca="1">_xll.IMDP("BND",N498,X8,N3)</f>
        <v>입력오류</v>
      </c>
      <c r="Y498" s="2"/>
      <c r="AI498" s="21" t="str">
        <f ca="1">_xll.IMDP("BND",Z498,AI8,Z3)</f>
        <v>입력오류</v>
      </c>
      <c r="AJ498" s="23" t="str">
        <f ca="1">_xll.IMDP("BND",Z498,AJ8,Z3)</f>
        <v>입력오류</v>
      </c>
      <c r="AK498" s="2"/>
      <c r="AU498" s="21" t="str">
        <f ca="1">_xll.IMDP("BND",AL498,AU8,AL3)</f>
        <v>입력오류</v>
      </c>
      <c r="AV498" s="23" t="str">
        <f ca="1">_xll.IMDP("BND",AL498,AV8,AL3)</f>
        <v>입력오류</v>
      </c>
      <c r="AW498" s="2"/>
      <c r="BG498" s="21" t="str">
        <f ca="1">_xll.IMDP("BND",AX498,BG8,AX3)</f>
        <v>입력오류</v>
      </c>
      <c r="BH498" s="23" t="str">
        <f ca="1">_xll.IMDP("BND",AX498,BH8,AX3)</f>
        <v>입력오류</v>
      </c>
      <c r="BI498" s="2"/>
      <c r="BS498" s="21" t="str">
        <f ca="1">_xll.IMDP("BND",BJ498,BS8,BJ3)</f>
        <v>입력오류</v>
      </c>
      <c r="BT498" s="23" t="str">
        <f ca="1">_xll.IMDP("BND",BJ498,BT8,BJ3)</f>
        <v>입력오류</v>
      </c>
      <c r="BU498" s="2"/>
      <c r="CE498" s="21" t="str">
        <f ca="1">_xll.IMDP("BND",BV498,CE8,BV3)</f>
        <v>입력오류</v>
      </c>
      <c r="CF498" s="23" t="str">
        <f ca="1">_xll.IMDP("BND",BV498,CF8,BV3)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"/>
      <c r="DC498" s="21" t="str">
        <f ca="1">_xll.IMDP("BND",CT498,DC8,CT3)</f>
        <v>입력오류</v>
      </c>
      <c r="DD498" s="23" t="str">
        <f ca="1">_xll.IMDP("BND",CT498,DD8,CT3)</f>
        <v>입력오류</v>
      </c>
      <c r="DE498" s="2"/>
      <c r="DO498" s="21" t="str">
        <f ca="1">_xll.IMDP("BND",DF498,DO8,DF3)</f>
        <v>입력오류</v>
      </c>
      <c r="DP498" s="23" t="str">
        <f ca="1">_xll.IMDP("BND",DF498,DP8,DF3)</f>
        <v>입력오류</v>
      </c>
      <c r="DQ498" s="2"/>
      <c r="EA498" s="21" t="str">
        <f ca="1">_xll.IMDP("BND",DR498,EA8,DR3)</f>
        <v>입력오류</v>
      </c>
      <c r="EB498" s="23" t="str">
        <f ca="1">_xll.IMDP("BND",DR498,EB8,DR3)</f>
        <v>입력오류</v>
      </c>
    </row>
    <row r="499" spans="1:132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"/>
      <c r="W499" s="21" t="str">
        <f ca="1">_xll.IMDP("BND",N499,W8,N3)</f>
        <v>입력오류</v>
      </c>
      <c r="X499" s="23" t="str">
        <f ca="1">_xll.IMDP("BND",N499,X8,N3)</f>
        <v>입력오류</v>
      </c>
      <c r="Y499" s="2"/>
      <c r="AI499" s="21" t="str">
        <f ca="1">_xll.IMDP("BND",Z499,AI8,Z3)</f>
        <v>입력오류</v>
      </c>
      <c r="AJ499" s="23" t="str">
        <f ca="1">_xll.IMDP("BND",Z499,AJ8,Z3)</f>
        <v>입력오류</v>
      </c>
      <c r="AK499" s="2"/>
      <c r="AU499" s="21" t="str">
        <f ca="1">_xll.IMDP("BND",AL499,AU8,AL3)</f>
        <v>입력오류</v>
      </c>
      <c r="AV499" s="23" t="str">
        <f ca="1">_xll.IMDP("BND",AL499,AV8,AL3)</f>
        <v>입력오류</v>
      </c>
      <c r="AW499" s="2"/>
      <c r="BG499" s="21" t="str">
        <f ca="1">_xll.IMDP("BND",AX499,BG8,AX3)</f>
        <v>입력오류</v>
      </c>
      <c r="BH499" s="23" t="str">
        <f ca="1">_xll.IMDP("BND",AX499,BH8,AX3)</f>
        <v>입력오류</v>
      </c>
      <c r="BI499" s="2"/>
      <c r="BS499" s="21" t="str">
        <f ca="1">_xll.IMDP("BND",BJ499,BS8,BJ3)</f>
        <v>입력오류</v>
      </c>
      <c r="BT499" s="23" t="str">
        <f ca="1">_xll.IMDP("BND",BJ499,BT8,BJ3)</f>
        <v>입력오류</v>
      </c>
      <c r="BU499" s="2"/>
      <c r="CE499" s="21" t="str">
        <f ca="1">_xll.IMDP("BND",BV499,CE8,BV3)</f>
        <v>입력오류</v>
      </c>
      <c r="CF499" s="23" t="str">
        <f ca="1">_xll.IMDP("BND",BV499,CF8,BV3)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"/>
      <c r="DC499" s="21" t="str">
        <f ca="1">_xll.IMDP("BND",CT499,DC8,CT3)</f>
        <v>입력오류</v>
      </c>
      <c r="DD499" s="23" t="str">
        <f ca="1">_xll.IMDP("BND",CT499,DD8,CT3)</f>
        <v>입력오류</v>
      </c>
      <c r="DE499" s="2"/>
      <c r="DO499" s="21" t="str">
        <f ca="1">_xll.IMDP("BND",DF499,DO8,DF3)</f>
        <v>입력오류</v>
      </c>
      <c r="DP499" s="23" t="str">
        <f ca="1">_xll.IMDP("BND",DF499,DP8,DF3)</f>
        <v>입력오류</v>
      </c>
      <c r="DQ499" s="2"/>
      <c r="EA499" s="21" t="str">
        <f ca="1">_xll.IMDP("BND",DR499,EA8,DR3)</f>
        <v>입력오류</v>
      </c>
      <c r="EB499" s="23" t="str">
        <f ca="1">_xll.IMDP("BND",DR499,EB8,DR3)</f>
        <v>입력오류</v>
      </c>
    </row>
    <row r="500" spans="1:132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"/>
      <c r="W500" s="21" t="str">
        <f ca="1">_xll.IMDP("BND",N500,W8,N3)</f>
        <v>입력오류</v>
      </c>
      <c r="X500" s="23" t="str">
        <f ca="1">_xll.IMDP("BND",N500,X8,N3)</f>
        <v>입력오류</v>
      </c>
      <c r="Y500" s="2"/>
      <c r="AI500" s="21" t="str">
        <f ca="1">_xll.IMDP("BND",Z500,AI8,Z3)</f>
        <v>입력오류</v>
      </c>
      <c r="AJ500" s="23" t="str">
        <f ca="1">_xll.IMDP("BND",Z500,AJ8,Z3)</f>
        <v>입력오류</v>
      </c>
      <c r="AK500" s="2"/>
      <c r="AU500" s="21" t="str">
        <f ca="1">_xll.IMDP("BND",AL500,AU8,AL3)</f>
        <v>입력오류</v>
      </c>
      <c r="AV500" s="23" t="str">
        <f ca="1">_xll.IMDP("BND",AL500,AV8,AL3)</f>
        <v>입력오류</v>
      </c>
      <c r="AW500" s="2"/>
      <c r="BG500" s="21" t="str">
        <f ca="1">_xll.IMDP("BND",AX500,BG8,AX3)</f>
        <v>입력오류</v>
      </c>
      <c r="BH500" s="23" t="str">
        <f ca="1">_xll.IMDP("BND",AX500,BH8,AX3)</f>
        <v>입력오류</v>
      </c>
      <c r="BI500" s="2"/>
      <c r="BS500" s="21" t="str">
        <f ca="1">_xll.IMDP("BND",BJ500,BS8,BJ3)</f>
        <v>입력오류</v>
      </c>
      <c r="BT500" s="23" t="str">
        <f ca="1">_xll.IMDP("BND",BJ500,BT8,BJ3)</f>
        <v>입력오류</v>
      </c>
      <c r="BU500" s="2"/>
      <c r="CE500" s="21" t="str">
        <f ca="1">_xll.IMDP("BND",BV500,CE8,BV3)</f>
        <v>입력오류</v>
      </c>
      <c r="CF500" s="23" t="str">
        <f ca="1">_xll.IMDP("BND",BV500,CF8,BV3)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"/>
      <c r="DC500" s="21" t="str">
        <f ca="1">_xll.IMDP("BND",CT500,DC8,CT3)</f>
        <v>입력오류</v>
      </c>
      <c r="DD500" s="23" t="str">
        <f ca="1">_xll.IMDP("BND",CT500,DD8,CT3)</f>
        <v>입력오류</v>
      </c>
      <c r="DE500" s="2"/>
      <c r="DO500" s="21" t="str">
        <f ca="1">_xll.IMDP("BND",DF500,DO8,DF3)</f>
        <v>입력오류</v>
      </c>
      <c r="DP500" s="23" t="str">
        <f ca="1">_xll.IMDP("BND",DF500,DP8,DF3)</f>
        <v>입력오류</v>
      </c>
      <c r="DQ500" s="2"/>
      <c r="EA500" s="21" t="str">
        <f ca="1">_xll.IMDP("BND",DR500,EA8,DR3)</f>
        <v>입력오류</v>
      </c>
      <c r="EB500" s="23" t="str">
        <f ca="1">_xll.IMDP("BND",DR500,EB8,DR3)</f>
        <v>입력오류</v>
      </c>
    </row>
    <row r="501" spans="1:132" ht="13.5" customHeight="1" x14ac:dyDescent="0.3">
      <c r="A501" s="2"/>
      <c r="M501" s="2"/>
      <c r="Y501" s="2"/>
      <c r="AK501" s="2"/>
      <c r="AW501" s="2"/>
      <c r="BI501" s="2"/>
      <c r="BU501" s="2"/>
      <c r="CG501" s="2"/>
      <c r="CS501" s="2"/>
      <c r="DE501" s="2"/>
      <c r="DQ501" s="2"/>
    </row>
    <row r="502" spans="1:132" ht="13.5" customHeight="1" x14ac:dyDescent="0.3">
      <c r="A502" s="2"/>
      <c r="M502" s="2"/>
      <c r="Y502" s="2"/>
      <c r="AK502" s="2"/>
      <c r="AW502" s="2"/>
      <c r="BI502" s="2"/>
      <c r="BU502" s="2"/>
      <c r="CG502" s="2"/>
      <c r="CS502" s="2"/>
      <c r="DE502" s="2"/>
      <c r="DQ502" s="2"/>
    </row>
    <row r="503" spans="1:132" ht="13.5" customHeight="1" x14ac:dyDescent="0.3">
      <c r="A503" s="2"/>
      <c r="M503" s="2"/>
      <c r="Y503" s="2"/>
      <c r="AK503" s="2"/>
      <c r="AW503" s="2"/>
      <c r="BI503" s="2"/>
      <c r="BU503" s="2"/>
      <c r="CG503" s="2"/>
      <c r="CS503" s="2"/>
      <c r="DE503" s="2"/>
      <c r="DQ503" s="2"/>
    </row>
    <row r="504" spans="1:132" ht="13.5" customHeight="1" x14ac:dyDescent="0.3">
      <c r="A504" s="2"/>
      <c r="M504" s="2"/>
      <c r="Y504" s="2"/>
      <c r="AK504" s="2"/>
      <c r="AW504" s="2"/>
      <c r="BI504" s="2"/>
      <c r="BU504" s="2"/>
      <c r="CG504" s="2"/>
      <c r="CS504" s="2"/>
      <c r="DE504" s="2"/>
      <c r="DQ504" s="2"/>
    </row>
    <row r="505" spans="1:132" ht="13.5" customHeight="1" x14ac:dyDescent="0.3">
      <c r="A505" s="2"/>
      <c r="M505" s="2"/>
      <c r="Y505" s="2"/>
      <c r="AK505" s="2"/>
      <c r="AW505" s="2"/>
      <c r="BI505" s="2"/>
      <c r="BU505" s="2"/>
      <c r="CG505" s="2"/>
      <c r="CS505" s="2"/>
      <c r="DE505" s="2"/>
      <c r="DQ505" s="2"/>
    </row>
    <row r="506" spans="1:132" ht="13.5" customHeight="1" x14ac:dyDescent="0.3">
      <c r="A506" s="2"/>
      <c r="M506" s="2"/>
      <c r="Y506" s="2"/>
      <c r="AK506" s="2"/>
      <c r="AW506" s="2"/>
      <c r="BI506" s="2"/>
      <c r="BU506" s="2"/>
      <c r="CG506" s="2"/>
      <c r="CS506" s="2"/>
      <c r="DE506" s="2"/>
      <c r="DQ506" s="2"/>
    </row>
    <row r="507" spans="1:132" ht="13.5" customHeight="1" x14ac:dyDescent="0.3">
      <c r="A507" s="2"/>
      <c r="M507" s="2"/>
      <c r="Y507" s="2"/>
      <c r="AK507" s="2"/>
      <c r="AW507" s="2"/>
      <c r="BI507" s="2"/>
      <c r="BU507" s="2"/>
      <c r="CG507" s="2"/>
      <c r="CS507" s="2"/>
      <c r="DE507" s="2"/>
      <c r="DQ507" s="2"/>
    </row>
    <row r="508" spans="1:132" ht="13.5" customHeight="1" x14ac:dyDescent="0.3">
      <c r="A508" s="2"/>
      <c r="M508" s="2"/>
      <c r="Y508" s="2"/>
      <c r="AK508" s="2"/>
      <c r="AW508" s="2"/>
      <c r="BI508" s="2"/>
      <c r="BU508" s="2"/>
      <c r="CG508" s="2"/>
      <c r="CS508" s="2"/>
      <c r="DE508" s="2"/>
      <c r="DQ508" s="2"/>
    </row>
    <row r="509" spans="1:132" ht="13.5" customHeight="1" x14ac:dyDescent="0.3">
      <c r="A509" s="2"/>
      <c r="M509" s="2"/>
      <c r="Y509" s="2"/>
      <c r="AK509" s="2"/>
      <c r="AW509" s="2"/>
      <c r="BI509" s="2"/>
      <c r="BU509" s="2"/>
      <c r="CG509" s="2"/>
      <c r="CS509" s="2"/>
      <c r="DE509" s="2"/>
      <c r="DQ509" s="2"/>
    </row>
    <row r="510" spans="1:132" ht="13.5" customHeight="1" x14ac:dyDescent="0.3">
      <c r="A510" s="2"/>
      <c r="M510" s="2"/>
      <c r="Y510" s="2"/>
      <c r="AK510" s="2"/>
      <c r="AW510" s="2"/>
      <c r="BI510" s="2"/>
      <c r="BU510" s="2"/>
      <c r="CG510" s="2"/>
      <c r="CS510" s="2"/>
      <c r="DE510" s="2"/>
      <c r="DQ510" s="2"/>
    </row>
    <row r="511" spans="1:132" ht="13.5" customHeight="1" x14ac:dyDescent="0.3">
      <c r="A511" s="2"/>
      <c r="M511" s="2"/>
      <c r="Y511" s="2"/>
      <c r="AK511" s="2"/>
      <c r="AW511" s="2"/>
      <c r="BI511" s="2"/>
      <c r="BU511" s="2"/>
      <c r="CG511" s="2"/>
      <c r="CS511" s="2"/>
      <c r="DE511" s="2"/>
      <c r="DQ511" s="2"/>
    </row>
    <row r="512" spans="1:132" ht="13.5" customHeight="1" x14ac:dyDescent="0.3">
      <c r="A512" s="2"/>
      <c r="M512" s="2"/>
      <c r="Y512" s="2"/>
      <c r="AK512" s="2"/>
      <c r="AW512" s="2"/>
      <c r="BI512" s="2"/>
      <c r="BU512" s="2"/>
      <c r="CG512" s="2"/>
      <c r="CS512" s="2"/>
      <c r="DE512" s="2"/>
      <c r="DQ512" s="2"/>
    </row>
    <row r="513" spans="1:121" ht="13.5" customHeight="1" x14ac:dyDescent="0.3">
      <c r="A513" s="2"/>
      <c r="M513" s="2"/>
      <c r="Y513" s="2"/>
      <c r="AK513" s="2"/>
      <c r="AW513" s="2"/>
      <c r="BI513" s="2"/>
      <c r="BU513" s="2"/>
      <c r="CG513" s="2"/>
      <c r="CS513" s="2"/>
      <c r="DE513" s="2"/>
      <c r="DQ513" s="2"/>
    </row>
    <row r="514" spans="1:121" ht="13.5" customHeight="1" x14ac:dyDescent="0.3">
      <c r="A514" s="2"/>
      <c r="M514" s="2"/>
      <c r="Y514" s="2"/>
      <c r="AK514" s="2"/>
      <c r="AW514" s="2"/>
      <c r="BI514" s="2"/>
      <c r="BU514" s="2"/>
      <c r="CG514" s="2"/>
      <c r="CS514" s="2"/>
      <c r="DE514" s="2"/>
      <c r="DQ514" s="2"/>
    </row>
    <row r="515" spans="1:121" ht="13.5" customHeight="1" x14ac:dyDescent="0.3">
      <c r="A515" s="2"/>
      <c r="M515" s="2"/>
      <c r="Y515" s="2"/>
      <c r="AK515" s="2"/>
      <c r="AW515" s="2"/>
      <c r="BI515" s="2"/>
      <c r="BU515" s="2"/>
      <c r="CG515" s="2"/>
      <c r="CS515" s="2"/>
      <c r="DE515" s="2"/>
      <c r="DQ515" s="2"/>
    </row>
    <row r="516" spans="1:121" ht="13.5" customHeight="1" x14ac:dyDescent="0.3">
      <c r="A516" s="2"/>
      <c r="M516" s="2"/>
      <c r="Y516" s="2"/>
      <c r="AK516" s="2"/>
      <c r="AW516" s="2"/>
      <c r="BI516" s="2"/>
      <c r="BU516" s="2"/>
      <c r="CG516" s="2"/>
      <c r="CS516" s="2"/>
      <c r="DE516" s="2"/>
      <c r="DQ516" s="2"/>
    </row>
    <row r="517" spans="1:121" ht="13.5" customHeight="1" x14ac:dyDescent="0.3">
      <c r="A517" s="2"/>
      <c r="M517" s="2"/>
      <c r="Y517" s="2"/>
      <c r="AK517" s="2"/>
      <c r="AW517" s="2"/>
      <c r="BI517" s="2"/>
      <c r="BU517" s="2"/>
      <c r="CG517" s="2"/>
      <c r="CS517" s="2"/>
      <c r="DE517" s="2"/>
      <c r="DQ517" s="2"/>
    </row>
    <row r="518" spans="1:121" ht="13.5" customHeight="1" x14ac:dyDescent="0.3">
      <c r="A518" s="2"/>
      <c r="M518" s="2"/>
      <c r="Y518" s="2"/>
      <c r="AK518" s="2"/>
      <c r="AW518" s="2"/>
      <c r="BI518" s="2"/>
      <c r="BU518" s="2"/>
      <c r="CG518" s="2"/>
      <c r="CS518" s="2"/>
      <c r="DE518" s="2"/>
      <c r="DQ518" s="2"/>
    </row>
    <row r="519" spans="1:121" ht="13.5" customHeight="1" x14ac:dyDescent="0.3">
      <c r="A519" s="2"/>
      <c r="M519" s="2"/>
      <c r="Y519" s="2"/>
      <c r="AK519" s="2"/>
      <c r="AW519" s="2"/>
      <c r="BI519" s="2"/>
      <c r="BU519" s="2"/>
      <c r="CG519" s="2"/>
      <c r="CS519" s="2"/>
      <c r="DE519" s="2"/>
      <c r="DQ519" s="2"/>
    </row>
    <row r="520" spans="1:121" ht="13.5" customHeight="1" x14ac:dyDescent="0.3">
      <c r="A520" s="2"/>
      <c r="M520" s="2"/>
      <c r="Y520" s="2"/>
      <c r="AK520" s="2"/>
      <c r="AW520" s="2"/>
      <c r="BI520" s="2"/>
      <c r="BU520" s="2"/>
      <c r="CG520" s="2"/>
      <c r="CS520" s="2"/>
      <c r="DE520" s="2"/>
      <c r="DQ520" s="2"/>
    </row>
    <row r="521" spans="1:121" ht="13.5" customHeight="1" x14ac:dyDescent="0.3">
      <c r="A521" s="2"/>
      <c r="M521" s="2"/>
      <c r="Y521" s="2"/>
      <c r="AK521" s="2"/>
      <c r="AW521" s="2"/>
      <c r="BI521" s="2"/>
      <c r="BU521" s="2"/>
      <c r="CG521" s="2"/>
      <c r="CS521" s="2"/>
      <c r="DE521" s="2"/>
      <c r="DQ521" s="2"/>
    </row>
    <row r="522" spans="1:121" ht="13.5" customHeight="1" x14ac:dyDescent="0.3">
      <c r="A522" s="2"/>
      <c r="M522" s="2"/>
      <c r="Y522" s="2"/>
      <c r="AK522" s="2"/>
      <c r="AW522" s="2"/>
      <c r="BI522" s="2"/>
      <c r="BU522" s="2"/>
      <c r="CG522" s="2"/>
      <c r="CS522" s="2"/>
      <c r="DE522" s="2"/>
      <c r="DQ522" s="2"/>
    </row>
    <row r="523" spans="1:121" ht="13.5" customHeight="1" x14ac:dyDescent="0.3">
      <c r="A523" s="2"/>
      <c r="M523" s="2"/>
      <c r="Y523" s="2"/>
      <c r="AK523" s="2"/>
      <c r="AW523" s="2"/>
      <c r="BI523" s="2"/>
      <c r="BU523" s="2"/>
      <c r="CG523" s="2"/>
      <c r="CS523" s="2"/>
      <c r="DE523" s="2"/>
      <c r="DQ523" s="2"/>
    </row>
    <row r="524" spans="1:121" ht="13.5" customHeight="1" x14ac:dyDescent="0.3">
      <c r="A524" s="2"/>
      <c r="M524" s="2"/>
      <c r="Y524" s="2"/>
      <c r="AK524" s="2"/>
      <c r="AW524" s="2"/>
      <c r="BI524" s="2"/>
      <c r="BU524" s="2"/>
      <c r="CG524" s="2"/>
      <c r="CS524" s="2"/>
      <c r="DE524" s="2"/>
      <c r="DQ524" s="2"/>
    </row>
    <row r="525" spans="1:121" ht="13.5" customHeight="1" x14ac:dyDescent="0.3">
      <c r="A525" s="2"/>
      <c r="M525" s="2"/>
      <c r="Y525" s="2"/>
      <c r="AK525" s="2"/>
      <c r="AW525" s="2"/>
      <c r="BI525" s="2"/>
      <c r="BU525" s="2"/>
      <c r="CG525" s="2"/>
      <c r="CS525" s="2"/>
      <c r="DE525" s="2"/>
      <c r="DQ525" s="2"/>
    </row>
    <row r="526" spans="1:121" ht="13.5" customHeight="1" x14ac:dyDescent="0.3">
      <c r="A526" s="2"/>
      <c r="M526" s="2"/>
      <c r="Y526" s="2"/>
      <c r="AK526" s="2"/>
      <c r="AW526" s="2"/>
      <c r="BI526" s="2"/>
      <c r="BU526" s="2"/>
      <c r="CG526" s="2"/>
      <c r="CS526" s="2"/>
      <c r="DE526" s="2"/>
      <c r="DQ526" s="2"/>
    </row>
    <row r="527" spans="1:121" ht="13.5" customHeight="1" x14ac:dyDescent="0.3">
      <c r="A527" s="2"/>
      <c r="M527" s="2"/>
      <c r="Y527" s="2"/>
      <c r="AK527" s="2"/>
      <c r="AW527" s="2"/>
      <c r="BI527" s="2"/>
      <c r="BU527" s="2"/>
      <c r="CG527" s="2"/>
      <c r="CS527" s="2"/>
      <c r="DE527" s="2"/>
      <c r="DQ527" s="2"/>
    </row>
    <row r="528" spans="1:121" ht="13.5" customHeight="1" x14ac:dyDescent="0.3">
      <c r="A528" s="2"/>
      <c r="M528" s="2"/>
      <c r="Y528" s="2"/>
      <c r="AK528" s="2"/>
      <c r="AW528" s="2"/>
      <c r="BI528" s="2"/>
      <c r="BU528" s="2"/>
      <c r="CG528" s="2"/>
      <c r="CS528" s="2"/>
      <c r="DE528" s="2"/>
      <c r="DQ528" s="2"/>
    </row>
    <row r="529" spans="1:121" ht="13.5" customHeight="1" x14ac:dyDescent="0.3">
      <c r="A529" s="2"/>
      <c r="M529" s="2"/>
      <c r="Y529" s="2"/>
      <c r="AK529" s="2"/>
      <c r="AW529" s="2"/>
      <c r="BI529" s="2"/>
      <c r="BU529" s="2"/>
      <c r="CG529" s="2"/>
      <c r="CS529" s="2"/>
      <c r="DE529" s="2"/>
      <c r="DQ529" s="2"/>
    </row>
    <row r="530" spans="1:121" ht="13.5" customHeight="1" x14ac:dyDescent="0.3">
      <c r="A530" s="2"/>
      <c r="M530" s="2"/>
      <c r="Y530" s="2"/>
      <c r="AK530" s="2"/>
      <c r="AW530" s="2"/>
      <c r="BI530" s="2"/>
      <c r="BU530" s="2"/>
      <c r="CG530" s="2"/>
      <c r="CS530" s="2"/>
      <c r="DE530" s="2"/>
      <c r="DQ530" s="2"/>
    </row>
    <row r="531" spans="1:121" ht="13.5" customHeight="1" x14ac:dyDescent="0.3">
      <c r="A531" s="2"/>
      <c r="M531" s="2"/>
      <c r="Y531" s="2"/>
      <c r="AK531" s="2"/>
      <c r="AW531" s="2"/>
      <c r="BI531" s="2"/>
      <c r="BU531" s="2"/>
      <c r="CG531" s="2"/>
      <c r="CS531" s="2"/>
      <c r="DE531" s="2"/>
      <c r="DQ531" s="2"/>
    </row>
    <row r="532" spans="1:121" ht="13.5" customHeight="1" x14ac:dyDescent="0.3">
      <c r="A532" s="2"/>
      <c r="M532" s="2"/>
      <c r="Y532" s="2"/>
      <c r="AK532" s="2"/>
      <c r="AW532" s="2"/>
      <c r="BI532" s="2"/>
      <c r="BU532" s="2"/>
      <c r="CG532" s="2"/>
      <c r="CS532" s="2"/>
      <c r="DE532" s="2"/>
      <c r="DQ532" s="2"/>
    </row>
    <row r="533" spans="1:121" ht="13.5" customHeight="1" x14ac:dyDescent="0.3">
      <c r="A533" s="2"/>
      <c r="M533" s="2"/>
      <c r="Y533" s="2"/>
      <c r="AK533" s="2"/>
      <c r="AW533" s="2"/>
      <c r="BI533" s="2"/>
      <c r="BU533" s="2"/>
      <c r="CG533" s="2"/>
      <c r="CS533" s="2"/>
      <c r="DE533" s="2"/>
      <c r="DQ533" s="2"/>
    </row>
    <row r="534" spans="1:121" ht="13.5" customHeight="1" x14ac:dyDescent="0.3">
      <c r="A534" s="2"/>
      <c r="M534" s="2"/>
      <c r="Y534" s="2"/>
      <c r="AK534" s="2"/>
      <c r="AW534" s="2"/>
      <c r="BI534" s="2"/>
      <c r="BU534" s="2"/>
      <c r="CG534" s="2"/>
      <c r="CS534" s="2"/>
      <c r="DE534" s="2"/>
      <c r="DQ534" s="2"/>
    </row>
    <row r="535" spans="1:121" ht="13.5" customHeight="1" x14ac:dyDescent="0.3">
      <c r="A535" s="2"/>
      <c r="M535" s="2"/>
      <c r="Y535" s="2"/>
      <c r="AK535" s="2"/>
      <c r="AW535" s="2"/>
      <c r="BI535" s="2"/>
      <c r="BU535" s="2"/>
      <c r="CG535" s="2"/>
      <c r="CS535" s="2"/>
      <c r="DE535" s="2"/>
      <c r="DQ535" s="2"/>
    </row>
    <row r="536" spans="1:121" ht="13.5" customHeight="1" x14ac:dyDescent="0.3">
      <c r="A536" s="2"/>
      <c r="M536" s="2"/>
      <c r="Y536" s="2"/>
      <c r="AK536" s="2"/>
      <c r="AW536" s="2"/>
      <c r="BI536" s="2"/>
      <c r="BU536" s="2"/>
      <c r="CG536" s="2"/>
      <c r="CS536" s="2"/>
      <c r="DE536" s="2"/>
      <c r="DQ536" s="2"/>
    </row>
    <row r="537" spans="1:121" ht="13.5" customHeight="1" x14ac:dyDescent="0.3">
      <c r="A537" s="2"/>
      <c r="M537" s="2"/>
      <c r="Y537" s="2"/>
      <c r="AK537" s="2"/>
      <c r="AW537" s="2"/>
      <c r="BI537" s="2"/>
      <c r="BU537" s="2"/>
      <c r="CG537" s="2"/>
      <c r="CS537" s="2"/>
      <c r="DE537" s="2"/>
      <c r="DQ537" s="2"/>
    </row>
    <row r="538" spans="1:121" ht="13.5" customHeight="1" x14ac:dyDescent="0.3">
      <c r="A538" s="2"/>
      <c r="M538" s="2"/>
      <c r="Y538" s="2"/>
      <c r="AK538" s="2"/>
      <c r="AW538" s="2"/>
      <c r="BI538" s="2"/>
      <c r="BU538" s="2"/>
      <c r="CG538" s="2"/>
      <c r="CS538" s="2"/>
      <c r="DE538" s="2"/>
      <c r="DQ538" s="2"/>
    </row>
    <row r="539" spans="1:121" ht="13.5" customHeight="1" x14ac:dyDescent="0.3">
      <c r="A539" s="2"/>
      <c r="M539" s="2"/>
      <c r="Y539" s="2"/>
      <c r="AK539" s="2"/>
      <c r="AW539" s="2"/>
      <c r="BI539" s="2"/>
      <c r="BU539" s="2"/>
      <c r="CG539" s="2"/>
      <c r="CS539" s="2"/>
      <c r="DE539" s="2"/>
      <c r="DQ539" s="2"/>
    </row>
    <row r="540" spans="1:121" ht="13.5" customHeight="1" x14ac:dyDescent="0.3">
      <c r="A540" s="2"/>
      <c r="M540" s="2"/>
      <c r="Y540" s="2"/>
      <c r="AK540" s="2"/>
      <c r="AW540" s="2"/>
      <c r="BI540" s="2"/>
      <c r="BU540" s="2"/>
      <c r="CG540" s="2"/>
      <c r="CS540" s="2"/>
      <c r="DE540" s="2"/>
      <c r="DQ540" s="2"/>
    </row>
    <row r="541" spans="1:121" ht="13.5" customHeight="1" x14ac:dyDescent="0.3">
      <c r="A541" s="2"/>
      <c r="M541" s="2"/>
      <c r="Y541" s="2"/>
      <c r="AK541" s="2"/>
      <c r="AW541" s="2"/>
      <c r="BI541" s="2"/>
      <c r="BU541" s="2"/>
      <c r="CG541" s="2"/>
      <c r="CS541" s="2"/>
      <c r="DE541" s="2"/>
      <c r="DQ541" s="2"/>
    </row>
    <row r="542" spans="1:121" ht="13.5" customHeight="1" x14ac:dyDescent="0.3">
      <c r="A542" s="2"/>
      <c r="M542" s="2"/>
      <c r="Y542" s="2"/>
      <c r="AK542" s="2"/>
      <c r="AW542" s="2"/>
      <c r="BI542" s="2"/>
      <c r="BU542" s="2"/>
      <c r="CG542" s="2"/>
      <c r="CS542" s="2"/>
      <c r="DE542" s="2"/>
      <c r="DQ542" s="2"/>
    </row>
    <row r="543" spans="1:121" ht="13.5" customHeight="1" x14ac:dyDescent="0.3">
      <c r="A543" s="2"/>
      <c r="M543" s="2"/>
      <c r="Y543" s="2"/>
      <c r="AK543" s="2"/>
      <c r="AW543" s="2"/>
      <c r="BI543" s="2"/>
      <c r="BU543" s="2"/>
      <c r="CG543" s="2"/>
      <c r="CS543" s="2"/>
      <c r="DE543" s="2"/>
      <c r="DQ543" s="2"/>
    </row>
    <row r="544" spans="1:121" ht="13.5" customHeight="1" x14ac:dyDescent="0.3">
      <c r="A544" s="2"/>
      <c r="M544" s="2"/>
      <c r="Y544" s="2"/>
      <c r="AK544" s="2"/>
      <c r="AW544" s="2"/>
      <c r="BI544" s="2"/>
      <c r="BU544" s="2"/>
      <c r="CG544" s="2"/>
      <c r="CS544" s="2"/>
      <c r="DE544" s="2"/>
      <c r="DQ544" s="2"/>
    </row>
    <row r="545" spans="1:121" ht="13.5" customHeight="1" x14ac:dyDescent="0.3">
      <c r="A545" s="2"/>
      <c r="M545" s="2"/>
      <c r="Y545" s="2"/>
      <c r="AK545" s="2"/>
      <c r="AW545" s="2"/>
      <c r="BI545" s="2"/>
      <c r="BU545" s="2"/>
      <c r="CG545" s="2"/>
      <c r="CS545" s="2"/>
      <c r="DE545" s="2"/>
      <c r="DQ545" s="2"/>
    </row>
    <row r="546" spans="1:121" ht="13.5" customHeight="1" x14ac:dyDescent="0.3">
      <c r="A546" s="2"/>
      <c r="M546" s="2"/>
      <c r="Y546" s="2"/>
      <c r="AK546" s="2"/>
      <c r="AW546" s="2"/>
      <c r="BI546" s="2"/>
      <c r="BU546" s="2"/>
      <c r="CG546" s="2"/>
      <c r="CS546" s="2"/>
      <c r="DE546" s="2"/>
      <c r="DQ546" s="2"/>
    </row>
    <row r="547" spans="1:121" ht="13.5" customHeight="1" x14ac:dyDescent="0.3">
      <c r="A547" s="2"/>
      <c r="M547" s="2"/>
      <c r="Y547" s="2"/>
      <c r="AK547" s="2"/>
      <c r="AW547" s="2"/>
      <c r="BI547" s="2"/>
      <c r="BU547" s="2"/>
      <c r="CG547" s="2"/>
      <c r="CS547" s="2"/>
      <c r="DE547" s="2"/>
      <c r="DQ547" s="2"/>
    </row>
    <row r="548" spans="1:121" ht="13.5" customHeight="1" x14ac:dyDescent="0.3">
      <c r="A548" s="2"/>
      <c r="M548" s="2"/>
      <c r="Y548" s="2"/>
      <c r="AK548" s="2"/>
      <c r="AW548" s="2"/>
      <c r="BI548" s="2"/>
      <c r="BU548" s="2"/>
      <c r="CG548" s="2"/>
      <c r="CS548" s="2"/>
      <c r="DE548" s="2"/>
      <c r="DQ548" s="2"/>
    </row>
    <row r="549" spans="1:121" ht="13.5" customHeight="1" x14ac:dyDescent="0.3">
      <c r="A549" s="2"/>
      <c r="M549" s="2"/>
      <c r="Y549" s="2"/>
      <c r="AK549" s="2"/>
      <c r="AW549" s="2"/>
      <c r="BI549" s="2"/>
      <c r="BU549" s="2"/>
      <c r="CG549" s="2"/>
      <c r="CS549" s="2"/>
      <c r="DE549" s="2"/>
      <c r="DQ549" s="2"/>
    </row>
    <row r="550" spans="1:121" ht="13.5" customHeight="1" x14ac:dyDescent="0.3">
      <c r="A550" s="2"/>
      <c r="M550" s="2"/>
      <c r="Y550" s="2"/>
      <c r="AK550" s="2"/>
      <c r="AW550" s="2"/>
      <c r="BI550" s="2"/>
      <c r="BU550" s="2"/>
      <c r="CG550" s="2"/>
      <c r="CS550" s="2"/>
      <c r="DE550" s="2"/>
      <c r="DQ550" s="2"/>
    </row>
    <row r="551" spans="1:121" ht="13.5" customHeight="1" x14ac:dyDescent="0.3">
      <c r="A551" s="2"/>
      <c r="M551" s="2"/>
      <c r="Y551" s="2"/>
      <c r="AK551" s="2"/>
      <c r="AW551" s="2"/>
      <c r="BI551" s="2"/>
      <c r="BU551" s="2"/>
      <c r="CG551" s="2"/>
      <c r="CS551" s="2"/>
      <c r="DE551" s="2"/>
      <c r="DQ551" s="2"/>
    </row>
    <row r="552" spans="1:121" ht="13.5" customHeight="1" x14ac:dyDescent="0.3">
      <c r="A552" s="2"/>
      <c r="M552" s="2"/>
      <c r="Y552" s="2"/>
      <c r="AK552" s="2"/>
      <c r="AW552" s="2"/>
      <c r="BI552" s="2"/>
      <c r="BU552" s="2"/>
      <c r="CG552" s="2"/>
      <c r="CS552" s="2"/>
      <c r="DE552" s="2"/>
      <c r="DQ552" s="2"/>
    </row>
    <row r="553" spans="1:121" ht="13.5" customHeight="1" x14ac:dyDescent="0.3">
      <c r="A553" s="2"/>
      <c r="M553" s="2"/>
      <c r="Y553" s="2"/>
      <c r="AK553" s="2"/>
      <c r="AW553" s="2"/>
      <c r="BI553" s="2"/>
      <c r="BU553" s="2"/>
      <c r="CG553" s="2"/>
      <c r="CS553" s="2"/>
      <c r="DE553" s="2"/>
      <c r="DQ553" s="2"/>
    </row>
    <row r="554" spans="1:121" ht="13.5" customHeight="1" x14ac:dyDescent="0.3">
      <c r="A554" s="2"/>
      <c r="M554" s="2"/>
      <c r="Y554" s="2"/>
      <c r="AK554" s="2"/>
      <c r="AW554" s="2"/>
      <c r="BI554" s="2"/>
      <c r="BU554" s="2"/>
      <c r="CG554" s="2"/>
      <c r="CS554" s="2"/>
      <c r="DE554" s="2"/>
      <c r="DQ554" s="2"/>
    </row>
    <row r="555" spans="1:121" ht="13.5" customHeight="1" x14ac:dyDescent="0.3">
      <c r="A555" s="2"/>
      <c r="M555" s="2"/>
      <c r="Y555" s="2"/>
      <c r="AK555" s="2"/>
      <c r="AW555" s="2"/>
      <c r="BI555" s="2"/>
      <c r="BU555" s="2"/>
      <c r="CG555" s="2"/>
      <c r="CS555" s="2"/>
      <c r="DE555" s="2"/>
      <c r="DQ555" s="2"/>
    </row>
    <row r="556" spans="1:121" ht="13.5" customHeight="1" x14ac:dyDescent="0.3">
      <c r="A556" s="2"/>
      <c r="M556" s="2"/>
      <c r="Y556" s="2"/>
      <c r="AK556" s="2"/>
      <c r="AW556" s="2"/>
      <c r="BI556" s="2"/>
      <c r="BU556" s="2"/>
      <c r="CG556" s="2"/>
      <c r="CS556" s="2"/>
      <c r="DE556" s="2"/>
      <c r="DQ556" s="2"/>
    </row>
    <row r="557" spans="1:121" ht="13.5" customHeight="1" x14ac:dyDescent="0.3">
      <c r="A557" s="2"/>
      <c r="M557" s="2"/>
      <c r="Y557" s="2"/>
      <c r="AK557" s="2"/>
      <c r="AW557" s="2"/>
      <c r="BI557" s="2"/>
      <c r="BU557" s="2"/>
      <c r="CG557" s="2"/>
      <c r="CS557" s="2"/>
      <c r="DE557" s="2"/>
      <c r="DQ557" s="2"/>
    </row>
    <row r="558" spans="1:121" ht="13.5" customHeight="1" x14ac:dyDescent="0.3">
      <c r="A558" s="2"/>
      <c r="M558" s="2"/>
      <c r="Y558" s="2"/>
      <c r="AK558" s="2"/>
      <c r="AW558" s="2"/>
      <c r="BI558" s="2"/>
      <c r="BU558" s="2"/>
      <c r="CG558" s="2"/>
      <c r="CS558" s="2"/>
      <c r="DE558" s="2"/>
      <c r="DQ558" s="2"/>
    </row>
    <row r="559" spans="1:121" ht="13.5" customHeight="1" x14ac:dyDescent="0.3">
      <c r="A559" s="2"/>
      <c r="M559" s="2"/>
      <c r="Y559" s="2"/>
      <c r="AK559" s="2"/>
      <c r="AW559" s="2"/>
      <c r="BI559" s="2"/>
      <c r="BU559" s="2"/>
      <c r="CG559" s="2"/>
      <c r="CS559" s="2"/>
      <c r="DE559" s="2"/>
      <c r="DQ559" s="2"/>
    </row>
    <row r="560" spans="1:121" ht="13.5" customHeight="1" x14ac:dyDescent="0.3">
      <c r="A560" s="2"/>
      <c r="M560" s="2"/>
      <c r="Y560" s="2"/>
      <c r="AK560" s="2"/>
      <c r="AW560" s="2"/>
      <c r="BI560" s="2"/>
      <c r="BU560" s="2"/>
      <c r="CG560" s="2"/>
      <c r="CS560" s="2"/>
      <c r="DE560" s="2"/>
      <c r="DQ560" s="2"/>
    </row>
    <row r="561" spans="1:121" ht="13.5" customHeight="1" x14ac:dyDescent="0.3">
      <c r="A561" s="2"/>
      <c r="M561" s="2"/>
      <c r="Y561" s="2"/>
      <c r="AK561" s="2"/>
      <c r="AW561" s="2"/>
      <c r="BI561" s="2"/>
      <c r="BU561" s="2"/>
      <c r="CG561" s="2"/>
      <c r="CS561" s="2"/>
      <c r="DE561" s="2"/>
      <c r="DQ561" s="2"/>
    </row>
    <row r="562" spans="1:121" ht="13.5" customHeight="1" x14ac:dyDescent="0.3">
      <c r="A562" s="2"/>
      <c r="M562" s="2"/>
      <c r="Y562" s="2"/>
      <c r="AK562" s="2"/>
      <c r="AW562" s="2"/>
      <c r="BI562" s="2"/>
      <c r="BU562" s="2"/>
      <c r="CG562" s="2"/>
      <c r="CS562" s="2"/>
      <c r="DE562" s="2"/>
      <c r="DQ562" s="2"/>
    </row>
    <row r="563" spans="1:121" ht="13.5" customHeight="1" x14ac:dyDescent="0.3">
      <c r="A563" s="2"/>
      <c r="M563" s="2"/>
      <c r="Y563" s="2"/>
      <c r="AK563" s="2"/>
      <c r="AW563" s="2"/>
      <c r="BI563" s="2"/>
      <c r="BU563" s="2"/>
      <c r="CG563" s="2"/>
      <c r="CS563" s="2"/>
      <c r="DE563" s="2"/>
      <c r="DQ563" s="2"/>
    </row>
    <row r="564" spans="1:121" ht="13.5" customHeight="1" x14ac:dyDescent="0.3">
      <c r="A564" s="2"/>
      <c r="M564" s="2"/>
      <c r="Y564" s="2"/>
      <c r="AK564" s="2"/>
      <c r="AW564" s="2"/>
      <c r="BI564" s="2"/>
      <c r="BU564" s="2"/>
      <c r="CG564" s="2"/>
      <c r="CS564" s="2"/>
      <c r="DE564" s="2"/>
      <c r="DQ564" s="2"/>
    </row>
    <row r="565" spans="1:121" ht="13.5" customHeight="1" x14ac:dyDescent="0.3">
      <c r="A565" s="2"/>
      <c r="M565" s="2"/>
      <c r="Y565" s="2"/>
      <c r="AK565" s="2"/>
      <c r="AW565" s="2"/>
      <c r="BI565" s="2"/>
      <c r="BU565" s="2"/>
      <c r="CG565" s="2"/>
      <c r="CS565" s="2"/>
      <c r="DE565" s="2"/>
      <c r="DQ565" s="2"/>
    </row>
    <row r="566" spans="1:121" ht="13.5" customHeight="1" x14ac:dyDescent="0.3">
      <c r="A566" s="2"/>
      <c r="M566" s="2"/>
      <c r="Y566" s="2"/>
      <c r="AK566" s="2"/>
      <c r="AW566" s="2"/>
      <c r="BI566" s="2"/>
      <c r="BU566" s="2"/>
      <c r="CG566" s="2"/>
      <c r="CS566" s="2"/>
      <c r="DE566" s="2"/>
      <c r="DQ566" s="2"/>
    </row>
    <row r="567" spans="1:121" ht="13.5" customHeight="1" x14ac:dyDescent="0.3">
      <c r="A567" s="2"/>
      <c r="M567" s="2"/>
      <c r="Y567" s="2"/>
      <c r="AK567" s="2"/>
      <c r="AW567" s="2"/>
      <c r="BI567" s="2"/>
      <c r="BU567" s="2"/>
      <c r="CG567" s="2"/>
      <c r="CS567" s="2"/>
      <c r="DE567" s="2"/>
      <c r="DQ567" s="2"/>
    </row>
    <row r="568" spans="1:121" ht="13.5" customHeight="1" x14ac:dyDescent="0.3">
      <c r="A568" s="2"/>
      <c r="M568" s="2"/>
      <c r="Y568" s="2"/>
      <c r="AK568" s="2"/>
      <c r="AW568" s="2"/>
      <c r="BI568" s="2"/>
      <c r="BU568" s="2"/>
      <c r="CG568" s="2"/>
      <c r="CS568" s="2"/>
      <c r="DE568" s="2"/>
      <c r="DQ568" s="2"/>
    </row>
    <row r="569" spans="1:121" ht="13.5" customHeight="1" x14ac:dyDescent="0.3">
      <c r="A569" s="2"/>
      <c r="M569" s="2"/>
      <c r="Y569" s="2"/>
      <c r="AK569" s="2"/>
      <c r="AW569" s="2"/>
      <c r="BI569" s="2"/>
      <c r="BU569" s="2"/>
      <c r="CG569" s="2"/>
      <c r="CS569" s="2"/>
      <c r="DE569" s="2"/>
      <c r="DQ569" s="2"/>
    </row>
    <row r="570" spans="1:121" ht="13.5" customHeight="1" x14ac:dyDescent="0.3">
      <c r="A570" s="2"/>
      <c r="M570" s="2"/>
      <c r="Y570" s="2"/>
      <c r="AK570" s="2"/>
      <c r="AW570" s="2"/>
      <c r="BI570" s="2"/>
      <c r="BU570" s="2"/>
      <c r="CG570" s="2"/>
      <c r="CS570" s="2"/>
      <c r="DE570" s="2"/>
      <c r="DQ570" s="2"/>
    </row>
    <row r="571" spans="1:121" ht="13.5" customHeight="1" x14ac:dyDescent="0.3">
      <c r="A571" s="2"/>
      <c r="M571" s="2"/>
      <c r="Y571" s="2"/>
      <c r="AK571" s="2"/>
      <c r="AW571" s="2"/>
      <c r="BI571" s="2"/>
      <c r="BU571" s="2"/>
      <c r="CG571" s="2"/>
      <c r="CS571" s="2"/>
      <c r="DE571" s="2"/>
      <c r="DQ571" s="2"/>
    </row>
    <row r="572" spans="1:121" ht="13.5" customHeight="1" x14ac:dyDescent="0.3">
      <c r="A572" s="2"/>
      <c r="M572" s="2"/>
      <c r="Y572" s="2"/>
      <c r="AK572" s="2"/>
      <c r="AW572" s="2"/>
      <c r="BI572" s="2"/>
      <c r="BU572" s="2"/>
      <c r="CG572" s="2"/>
      <c r="CS572" s="2"/>
      <c r="DE572" s="2"/>
      <c r="DQ572" s="2"/>
    </row>
    <row r="573" spans="1:121" ht="13.5" customHeight="1" x14ac:dyDescent="0.3">
      <c r="A573" s="2"/>
      <c r="M573" s="2"/>
      <c r="Y573" s="2"/>
      <c r="AK573" s="2"/>
      <c r="AW573" s="2"/>
      <c r="BI573" s="2"/>
      <c r="BU573" s="2"/>
      <c r="CG573" s="2"/>
      <c r="CS573" s="2"/>
      <c r="DE573" s="2"/>
      <c r="DQ573" s="2"/>
    </row>
    <row r="574" spans="1:121" ht="13.5" customHeight="1" x14ac:dyDescent="0.3">
      <c r="A574" s="2"/>
      <c r="M574" s="2"/>
      <c r="Y574" s="2"/>
      <c r="AK574" s="2"/>
      <c r="AW574" s="2"/>
      <c r="BI574" s="2"/>
      <c r="BU574" s="2"/>
      <c r="CG574" s="2"/>
      <c r="CS574" s="2"/>
      <c r="DE574" s="2"/>
      <c r="DQ574" s="2"/>
    </row>
    <row r="575" spans="1:121" ht="13.5" customHeight="1" x14ac:dyDescent="0.3">
      <c r="A575" s="2"/>
      <c r="M575" s="2"/>
      <c r="Y575" s="2"/>
      <c r="AK575" s="2"/>
      <c r="AW575" s="2"/>
      <c r="BI575" s="2"/>
      <c r="BU575" s="2"/>
      <c r="CG575" s="2"/>
      <c r="CS575" s="2"/>
      <c r="DE575" s="2"/>
      <c r="DQ575" s="2"/>
    </row>
    <row r="576" spans="1:121" ht="13.5" customHeight="1" x14ac:dyDescent="0.3">
      <c r="A576" s="2"/>
      <c r="M576" s="2"/>
      <c r="Y576" s="2"/>
      <c r="AK576" s="2"/>
      <c r="AW576" s="2"/>
      <c r="BI576" s="2"/>
      <c r="BU576" s="2"/>
      <c r="CG576" s="2"/>
      <c r="CS576" s="2"/>
      <c r="DE576" s="2"/>
      <c r="DQ576" s="2"/>
    </row>
    <row r="577" spans="1:121" ht="13.5" customHeight="1" x14ac:dyDescent="0.3">
      <c r="A577" s="2"/>
      <c r="M577" s="2"/>
      <c r="Y577" s="2"/>
      <c r="AK577" s="2"/>
      <c r="AW577" s="2"/>
      <c r="BI577" s="2"/>
      <c r="BU577" s="2"/>
      <c r="CG577" s="2"/>
      <c r="CS577" s="2"/>
      <c r="DE577" s="2"/>
      <c r="DQ577" s="2"/>
    </row>
    <row r="578" spans="1:121" ht="13.5" customHeight="1" x14ac:dyDescent="0.3">
      <c r="A578" s="2"/>
      <c r="M578" s="2"/>
      <c r="Y578" s="2"/>
      <c r="AK578" s="2"/>
      <c r="AW578" s="2"/>
      <c r="BI578" s="2"/>
      <c r="BU578" s="2"/>
      <c r="CG578" s="2"/>
      <c r="CS578" s="2"/>
      <c r="DE578" s="2"/>
      <c r="DQ578" s="2"/>
    </row>
    <row r="579" spans="1:121" ht="13.5" customHeight="1" x14ac:dyDescent="0.3">
      <c r="A579" s="2"/>
      <c r="M579" s="2"/>
      <c r="Y579" s="2"/>
      <c r="AK579" s="2"/>
      <c r="AW579" s="2"/>
      <c r="BI579" s="2"/>
      <c r="BU579" s="2"/>
      <c r="CG579" s="2"/>
      <c r="CS579" s="2"/>
      <c r="DE579" s="2"/>
      <c r="DQ579" s="2"/>
    </row>
    <row r="580" spans="1:121" ht="13.5" customHeight="1" x14ac:dyDescent="0.3">
      <c r="A580" s="2"/>
      <c r="M580" s="2"/>
      <c r="Y580" s="2"/>
      <c r="AK580" s="2"/>
      <c r="AW580" s="2"/>
      <c r="BI580" s="2"/>
      <c r="BU580" s="2"/>
      <c r="CG580" s="2"/>
      <c r="CS580" s="2"/>
      <c r="DE580" s="2"/>
      <c r="DQ580" s="2"/>
    </row>
    <row r="581" spans="1:121" ht="13.5" customHeight="1" x14ac:dyDescent="0.3">
      <c r="A581" s="2"/>
      <c r="M581" s="2"/>
      <c r="Y581" s="2"/>
      <c r="AK581" s="2"/>
      <c r="AW581" s="2"/>
      <c r="BI581" s="2"/>
      <c r="BU581" s="2"/>
      <c r="CG581" s="2"/>
      <c r="CS581" s="2"/>
      <c r="DE581" s="2"/>
      <c r="DQ581" s="2"/>
    </row>
    <row r="582" spans="1:121" ht="13.5" customHeight="1" x14ac:dyDescent="0.3">
      <c r="A582" s="2"/>
      <c r="M582" s="2"/>
      <c r="Y582" s="2"/>
      <c r="AK582" s="2"/>
      <c r="AW582" s="2"/>
      <c r="BI582" s="2"/>
      <c r="BU582" s="2"/>
      <c r="CG582" s="2"/>
      <c r="CS582" s="2"/>
      <c r="DE582" s="2"/>
      <c r="DQ582" s="2"/>
    </row>
    <row r="583" spans="1:121" ht="13.5" customHeight="1" x14ac:dyDescent="0.3">
      <c r="A583" s="2"/>
      <c r="M583" s="2"/>
      <c r="Y583" s="2"/>
      <c r="AK583" s="2"/>
      <c r="AW583" s="2"/>
      <c r="BI583" s="2"/>
      <c r="BU583" s="2"/>
      <c r="CG583" s="2"/>
      <c r="CS583" s="2"/>
      <c r="DE583" s="2"/>
      <c r="DQ583" s="2"/>
    </row>
    <row r="584" spans="1:121" ht="13.5" customHeight="1" x14ac:dyDescent="0.3">
      <c r="A584" s="2"/>
      <c r="M584" s="2"/>
      <c r="Y584" s="2"/>
      <c r="AK584" s="2"/>
      <c r="AW584" s="2"/>
      <c r="BI584" s="2"/>
      <c r="BU584" s="2"/>
      <c r="CG584" s="2"/>
      <c r="CS584" s="2"/>
      <c r="DE584" s="2"/>
      <c r="DQ584" s="2"/>
    </row>
    <row r="585" spans="1:121" ht="13.5" customHeight="1" x14ac:dyDescent="0.3">
      <c r="A585" s="2"/>
      <c r="M585" s="2"/>
      <c r="Y585" s="2"/>
      <c r="AK585" s="2"/>
      <c r="AW585" s="2"/>
      <c r="BI585" s="2"/>
      <c r="BU585" s="2"/>
      <c r="CG585" s="2"/>
      <c r="CS585" s="2"/>
      <c r="DE585" s="2"/>
      <c r="DQ585" s="2"/>
    </row>
    <row r="586" spans="1:121" ht="13.5" customHeight="1" x14ac:dyDescent="0.3">
      <c r="A586" s="2"/>
      <c r="M586" s="2"/>
      <c r="Y586" s="2"/>
      <c r="AK586" s="2"/>
      <c r="AW586" s="2"/>
      <c r="BI586" s="2"/>
      <c r="BU586" s="2"/>
      <c r="CG586" s="2"/>
      <c r="CS586" s="2"/>
      <c r="DE586" s="2"/>
      <c r="DQ586" s="2"/>
    </row>
    <row r="587" spans="1:121" ht="13.5" customHeight="1" x14ac:dyDescent="0.3">
      <c r="A587" s="2"/>
      <c r="M587" s="2"/>
      <c r="Y587" s="2"/>
      <c r="AK587" s="2"/>
      <c r="AW587" s="2"/>
      <c r="BI587" s="2"/>
      <c r="BU587" s="2"/>
      <c r="CG587" s="2"/>
      <c r="CS587" s="2"/>
      <c r="DE587" s="2"/>
      <c r="DQ587" s="2"/>
    </row>
    <row r="588" spans="1:121" ht="13.5" customHeight="1" x14ac:dyDescent="0.3">
      <c r="A588" s="2"/>
      <c r="M588" s="2"/>
      <c r="Y588" s="2"/>
      <c r="AK588" s="2"/>
      <c r="AW588" s="2"/>
      <c r="BI588" s="2"/>
      <c r="BU588" s="2"/>
      <c r="CG588" s="2"/>
      <c r="CS588" s="2"/>
      <c r="DE588" s="2"/>
      <c r="DQ588" s="2"/>
    </row>
    <row r="589" spans="1:121" ht="13.5" customHeight="1" x14ac:dyDescent="0.3">
      <c r="A589" s="2"/>
      <c r="M589" s="2"/>
      <c r="Y589" s="2"/>
      <c r="AK589" s="2"/>
      <c r="AW589" s="2"/>
      <c r="BI589" s="2"/>
      <c r="BU589" s="2"/>
      <c r="CG589" s="2"/>
      <c r="CS589" s="2"/>
      <c r="DE589" s="2"/>
      <c r="DQ589" s="2"/>
    </row>
    <row r="590" spans="1:121" ht="13.5" customHeight="1" x14ac:dyDescent="0.3">
      <c r="A590" s="2"/>
      <c r="M590" s="2"/>
      <c r="Y590" s="2"/>
      <c r="AK590" s="2"/>
      <c r="AW590" s="2"/>
      <c r="BI590" s="2"/>
      <c r="BU590" s="2"/>
      <c r="CG590" s="2"/>
      <c r="CS590" s="2"/>
      <c r="DE590" s="2"/>
      <c r="DQ590" s="2"/>
    </row>
    <row r="591" spans="1:121" ht="13.5" customHeight="1" x14ac:dyDescent="0.3">
      <c r="A591" s="2"/>
      <c r="M591" s="2"/>
      <c r="Y591" s="2"/>
      <c r="AK591" s="2"/>
      <c r="AW591" s="2"/>
      <c r="BI591" s="2"/>
      <c r="BU591" s="2"/>
      <c r="CG591" s="2"/>
      <c r="CS591" s="2"/>
      <c r="DE591" s="2"/>
      <c r="DQ591" s="2"/>
    </row>
    <row r="592" spans="1:121" ht="13.5" customHeight="1" x14ac:dyDescent="0.3">
      <c r="A592" s="2"/>
      <c r="M592" s="2"/>
      <c r="Y592" s="2"/>
      <c r="AK592" s="2"/>
      <c r="AW592" s="2"/>
      <c r="BI592" s="2"/>
      <c r="BU592" s="2"/>
      <c r="CG592" s="2"/>
      <c r="CS592" s="2"/>
      <c r="DE592" s="2"/>
      <c r="DQ592" s="2"/>
    </row>
    <row r="593" spans="1:121" ht="13.5" customHeight="1" x14ac:dyDescent="0.3">
      <c r="A593" s="2"/>
      <c r="M593" s="2"/>
      <c r="Y593" s="2"/>
      <c r="AK593" s="2"/>
      <c r="AW593" s="2"/>
      <c r="BI593" s="2"/>
      <c r="BU593" s="2"/>
      <c r="CG593" s="2"/>
      <c r="CS593" s="2"/>
      <c r="DE593" s="2"/>
      <c r="DQ593" s="2"/>
    </row>
    <row r="594" spans="1:121" ht="13.5" customHeight="1" x14ac:dyDescent="0.3">
      <c r="A594" s="2"/>
      <c r="M594" s="2"/>
      <c r="Y594" s="2"/>
      <c r="AK594" s="2"/>
      <c r="AW594" s="2"/>
      <c r="BI594" s="2"/>
      <c r="BU594" s="2"/>
      <c r="CG594" s="2"/>
      <c r="CS594" s="2"/>
      <c r="DE594" s="2"/>
      <c r="DQ594" s="2"/>
    </row>
    <row r="595" spans="1:121" ht="13.5" customHeight="1" x14ac:dyDescent="0.3">
      <c r="A595" s="2"/>
      <c r="M595" s="2"/>
      <c r="Y595" s="2"/>
      <c r="AK595" s="2"/>
      <c r="AW595" s="2"/>
      <c r="BI595" s="2"/>
      <c r="BU595" s="2"/>
      <c r="CG595" s="2"/>
      <c r="CS595" s="2"/>
      <c r="DE595" s="2"/>
      <c r="DQ595" s="2"/>
    </row>
    <row r="596" spans="1:121" ht="13.5" customHeight="1" x14ac:dyDescent="0.3">
      <c r="A596" s="2"/>
      <c r="M596" s="2"/>
      <c r="Y596" s="2"/>
      <c r="AK596" s="2"/>
      <c r="AW596" s="2"/>
      <c r="BI596" s="2"/>
      <c r="BU596" s="2"/>
      <c r="CG596" s="2"/>
      <c r="CS596" s="2"/>
      <c r="DE596" s="2"/>
      <c r="DQ596" s="2"/>
    </row>
    <row r="597" spans="1:121" ht="13.5" customHeight="1" x14ac:dyDescent="0.3">
      <c r="A597" s="2"/>
      <c r="M597" s="2"/>
      <c r="Y597" s="2"/>
      <c r="AK597" s="2"/>
      <c r="AW597" s="2"/>
      <c r="BI597" s="2"/>
      <c r="BU597" s="2"/>
      <c r="CG597" s="2"/>
      <c r="CS597" s="2"/>
      <c r="DE597" s="2"/>
      <c r="DQ597" s="2"/>
    </row>
    <row r="598" spans="1:121" ht="13.5" customHeight="1" x14ac:dyDescent="0.3">
      <c r="A598" s="2"/>
      <c r="M598" s="2"/>
      <c r="Y598" s="2"/>
      <c r="AK598" s="2"/>
      <c r="AW598" s="2"/>
      <c r="BI598" s="2"/>
      <c r="BU598" s="2"/>
      <c r="CG598" s="2"/>
      <c r="CS598" s="2"/>
      <c r="DE598" s="2"/>
      <c r="DQ598" s="2"/>
    </row>
    <row r="599" spans="1:121" ht="13.5" customHeight="1" x14ac:dyDescent="0.3">
      <c r="A599" s="2"/>
      <c r="M599" s="2"/>
      <c r="Y599" s="2"/>
      <c r="AK599" s="2"/>
      <c r="AW599" s="2"/>
      <c r="BI599" s="2"/>
      <c r="BU599" s="2"/>
      <c r="CG599" s="2"/>
      <c r="CS599" s="2"/>
      <c r="DE599" s="2"/>
      <c r="DQ599" s="2"/>
    </row>
    <row r="600" spans="1:121" ht="13.5" customHeight="1" x14ac:dyDescent="0.3">
      <c r="A600" s="2"/>
      <c r="M600" s="2"/>
      <c r="Y600" s="2"/>
      <c r="AK600" s="2"/>
      <c r="AW600" s="2"/>
      <c r="BI600" s="2"/>
      <c r="BU600" s="2"/>
      <c r="CG600" s="2"/>
      <c r="CS600" s="2"/>
      <c r="DE600" s="2"/>
      <c r="DQ600" s="2"/>
    </row>
    <row r="601" spans="1:121" ht="13.5" customHeight="1" x14ac:dyDescent="0.3">
      <c r="A601" s="2"/>
      <c r="M601" s="2"/>
      <c r="Y601" s="2"/>
      <c r="AK601" s="2"/>
      <c r="AW601" s="2"/>
      <c r="BI601" s="2"/>
      <c r="BU601" s="2"/>
      <c r="CG601" s="2"/>
      <c r="CS601" s="2"/>
      <c r="DE601" s="2"/>
      <c r="DQ601" s="2"/>
    </row>
    <row r="602" spans="1:121" ht="13.5" customHeight="1" x14ac:dyDescent="0.3">
      <c r="A602" s="2"/>
      <c r="M602" s="2"/>
      <c r="Y602" s="2"/>
      <c r="AK602" s="2"/>
      <c r="AW602" s="2"/>
      <c r="BI602" s="2"/>
      <c r="BU602" s="2"/>
      <c r="CG602" s="2"/>
      <c r="CS602" s="2"/>
      <c r="DE602" s="2"/>
      <c r="DQ602" s="2"/>
    </row>
    <row r="603" spans="1:121" ht="13.5" customHeight="1" x14ac:dyDescent="0.3">
      <c r="A603" s="2"/>
      <c r="M603" s="2"/>
      <c r="Y603" s="2"/>
      <c r="AK603" s="2"/>
      <c r="AW603" s="2"/>
      <c r="BI603" s="2"/>
      <c r="BU603" s="2"/>
      <c r="CG603" s="2"/>
      <c r="CS603" s="2"/>
      <c r="DE603" s="2"/>
      <c r="DQ603" s="2"/>
    </row>
    <row r="604" spans="1:121" ht="13.5" customHeight="1" x14ac:dyDescent="0.3">
      <c r="A604" s="2"/>
      <c r="M604" s="2"/>
      <c r="Y604" s="2"/>
      <c r="AK604" s="2"/>
      <c r="AW604" s="2"/>
      <c r="BI604" s="2"/>
      <c r="BU604" s="2"/>
      <c r="CG604" s="2"/>
      <c r="CS604" s="2"/>
      <c r="DE604" s="2"/>
      <c r="DQ604" s="2"/>
    </row>
    <row r="605" spans="1:121" ht="13.5" customHeight="1" x14ac:dyDescent="0.3">
      <c r="A605" s="2"/>
      <c r="M605" s="2"/>
      <c r="Y605" s="2"/>
      <c r="AK605" s="2"/>
      <c r="AW605" s="2"/>
      <c r="BI605" s="2"/>
      <c r="BU605" s="2"/>
      <c r="CG605" s="2"/>
      <c r="CS605" s="2"/>
      <c r="DE605" s="2"/>
      <c r="DQ605" s="2"/>
    </row>
    <row r="606" spans="1:121" ht="13.5" customHeight="1" x14ac:dyDescent="0.3">
      <c r="A606" s="2"/>
      <c r="M606" s="2"/>
      <c r="Y606" s="2"/>
      <c r="AK606" s="2"/>
      <c r="AW606" s="2"/>
      <c r="BI606" s="2"/>
      <c r="BU606" s="2"/>
      <c r="CG606" s="2"/>
      <c r="CS606" s="2"/>
      <c r="DE606" s="2"/>
      <c r="DQ606" s="2"/>
    </row>
    <row r="607" spans="1:121" ht="13.5" customHeight="1" x14ac:dyDescent="0.3">
      <c r="A607" s="2"/>
      <c r="M607" s="2"/>
      <c r="Y607" s="2"/>
      <c r="AK607" s="2"/>
      <c r="AW607" s="2"/>
      <c r="BI607" s="2"/>
      <c r="BU607" s="2"/>
      <c r="CG607" s="2"/>
      <c r="CS607" s="2"/>
      <c r="DE607" s="2"/>
      <c r="DQ607" s="2"/>
    </row>
    <row r="608" spans="1:121" ht="13.5" customHeight="1" x14ac:dyDescent="0.3">
      <c r="A608" s="2"/>
      <c r="M608" s="2"/>
      <c r="Y608" s="2"/>
      <c r="AK608" s="2"/>
      <c r="AW608" s="2"/>
      <c r="BI608" s="2"/>
      <c r="BU608" s="2"/>
      <c r="CG608" s="2"/>
      <c r="CS608" s="2"/>
      <c r="DE608" s="2"/>
      <c r="DQ608" s="2"/>
    </row>
    <row r="609" spans="1:121" ht="13.5" customHeight="1" x14ac:dyDescent="0.3">
      <c r="A609" s="2"/>
      <c r="M609" s="2"/>
      <c r="Y609" s="2"/>
      <c r="AK609" s="2"/>
      <c r="AW609" s="2"/>
      <c r="BI609" s="2"/>
      <c r="BU609" s="2"/>
      <c r="CG609" s="2"/>
      <c r="CS609" s="2"/>
      <c r="DE609" s="2"/>
      <c r="DQ609" s="2"/>
    </row>
    <row r="610" spans="1:121" ht="13.5" customHeight="1" x14ac:dyDescent="0.3">
      <c r="A610" s="2"/>
      <c r="M610" s="2"/>
      <c r="Y610" s="2"/>
      <c r="AK610" s="2"/>
      <c r="AW610" s="2"/>
      <c r="BI610" s="2"/>
      <c r="BU610" s="2"/>
      <c r="CG610" s="2"/>
      <c r="CS610" s="2"/>
      <c r="DE610" s="2"/>
      <c r="DQ610" s="2"/>
    </row>
    <row r="611" spans="1:121" ht="13.5" customHeight="1" x14ac:dyDescent="0.3">
      <c r="A611" s="2"/>
      <c r="M611" s="2"/>
      <c r="Y611" s="2"/>
      <c r="AK611" s="2"/>
      <c r="AW611" s="2"/>
      <c r="BI611" s="2"/>
      <c r="BU611" s="2"/>
      <c r="CG611" s="2"/>
      <c r="CS611" s="2"/>
      <c r="DE611" s="2"/>
      <c r="DQ611" s="2"/>
    </row>
    <row r="612" spans="1:121" ht="13.5" customHeight="1" x14ac:dyDescent="0.3">
      <c r="A612" s="2"/>
      <c r="M612" s="2"/>
      <c r="Y612" s="2"/>
      <c r="AK612" s="2"/>
      <c r="AW612" s="2"/>
      <c r="BI612" s="2"/>
      <c r="BU612" s="2"/>
      <c r="CG612" s="2"/>
      <c r="CS612" s="2"/>
      <c r="DE612" s="2"/>
      <c r="DQ612" s="2"/>
    </row>
    <row r="613" spans="1:121" ht="13.5" customHeight="1" x14ac:dyDescent="0.3">
      <c r="A613" s="2"/>
      <c r="M613" s="2"/>
      <c r="Y613" s="2"/>
      <c r="AK613" s="2"/>
      <c r="AW613" s="2"/>
      <c r="BI613" s="2"/>
      <c r="BU613" s="2"/>
      <c r="CG613" s="2"/>
      <c r="CS613" s="2"/>
      <c r="DE613" s="2"/>
      <c r="DQ613" s="2"/>
    </row>
    <row r="614" spans="1:121" ht="13.5" customHeight="1" x14ac:dyDescent="0.3">
      <c r="A614" s="2"/>
      <c r="M614" s="2"/>
      <c r="Y614" s="2"/>
      <c r="AK614" s="2"/>
      <c r="AW614" s="2"/>
      <c r="BI614" s="2"/>
      <c r="BU614" s="2"/>
      <c r="CG614" s="2"/>
      <c r="CS614" s="2"/>
      <c r="DE614" s="2"/>
      <c r="DQ614" s="2"/>
    </row>
    <row r="615" spans="1:121" ht="13.5" customHeight="1" x14ac:dyDescent="0.3">
      <c r="A615" s="2"/>
      <c r="M615" s="2"/>
      <c r="Y615" s="2"/>
      <c r="AK615" s="2"/>
      <c r="AW615" s="2"/>
      <c r="BI615" s="2"/>
      <c r="BU615" s="2"/>
      <c r="CG615" s="2"/>
      <c r="CS615" s="2"/>
      <c r="DE615" s="2"/>
      <c r="DQ615" s="2"/>
    </row>
    <row r="616" spans="1:121" ht="13.5" customHeight="1" x14ac:dyDescent="0.3">
      <c r="A616" s="2"/>
      <c r="M616" s="2"/>
      <c r="Y616" s="2"/>
      <c r="AK616" s="2"/>
      <c r="AW616" s="2"/>
      <c r="BI616" s="2"/>
      <c r="BU616" s="2"/>
      <c r="CG616" s="2"/>
      <c r="CS616" s="2"/>
      <c r="DE616" s="2"/>
      <c r="DQ616" s="2"/>
    </row>
    <row r="617" spans="1:121" ht="13.5" customHeight="1" x14ac:dyDescent="0.3">
      <c r="A617" s="2"/>
      <c r="M617" s="2"/>
      <c r="Y617" s="2"/>
      <c r="AK617" s="2"/>
      <c r="AW617" s="2"/>
      <c r="BI617" s="2"/>
      <c r="BU617" s="2"/>
      <c r="CG617" s="2"/>
      <c r="CS617" s="2"/>
      <c r="DE617" s="2"/>
      <c r="DQ617" s="2"/>
    </row>
    <row r="618" spans="1:121" ht="13.5" customHeight="1" x14ac:dyDescent="0.3">
      <c r="A618" s="2"/>
      <c r="M618" s="2"/>
      <c r="Y618" s="2"/>
      <c r="AK618" s="2"/>
      <c r="AW618" s="2"/>
      <c r="BI618" s="2"/>
      <c r="BU618" s="2"/>
      <c r="CG618" s="2"/>
      <c r="CS618" s="2"/>
      <c r="DE618" s="2"/>
      <c r="DQ618" s="2"/>
    </row>
    <row r="619" spans="1:121" ht="13.5" customHeight="1" x14ac:dyDescent="0.3">
      <c r="A619" s="2"/>
      <c r="M619" s="2"/>
      <c r="Y619" s="2"/>
      <c r="AK619" s="2"/>
      <c r="AW619" s="2"/>
      <c r="BI619" s="2"/>
      <c r="BU619" s="2"/>
      <c r="CG619" s="2"/>
      <c r="CS619" s="2"/>
      <c r="DE619" s="2"/>
      <c r="DQ619" s="2"/>
    </row>
    <row r="620" spans="1:121" ht="13.5" customHeight="1" x14ac:dyDescent="0.3">
      <c r="A620" s="2"/>
      <c r="M620" s="2"/>
      <c r="Y620" s="2"/>
      <c r="AK620" s="2"/>
      <c r="AW620" s="2"/>
      <c r="BI620" s="2"/>
      <c r="BU620" s="2"/>
      <c r="CG620" s="2"/>
      <c r="CS620" s="2"/>
      <c r="DE620" s="2"/>
      <c r="DQ620" s="2"/>
    </row>
    <row r="621" spans="1:121" ht="13.5" customHeight="1" x14ac:dyDescent="0.3">
      <c r="A621" s="2"/>
      <c r="M621" s="2"/>
      <c r="Y621" s="2"/>
      <c r="AK621" s="2"/>
      <c r="AW621" s="2"/>
      <c r="BI621" s="2"/>
      <c r="BU621" s="2"/>
      <c r="CG621" s="2"/>
      <c r="CS621" s="2"/>
      <c r="DE621" s="2"/>
      <c r="DQ621" s="2"/>
    </row>
    <row r="622" spans="1:121" ht="13.5" customHeight="1" x14ac:dyDescent="0.3">
      <c r="A622" s="2"/>
      <c r="M622" s="2"/>
      <c r="Y622" s="2"/>
      <c r="AK622" s="2"/>
      <c r="AW622" s="2"/>
      <c r="BI622" s="2"/>
      <c r="BU622" s="2"/>
      <c r="CG622" s="2"/>
      <c r="CS622" s="2"/>
      <c r="DE622" s="2"/>
      <c r="DQ622" s="2"/>
    </row>
    <row r="623" spans="1:121" ht="13.5" customHeight="1" x14ac:dyDescent="0.3">
      <c r="A623" s="2"/>
      <c r="M623" s="2"/>
      <c r="Y623" s="2"/>
      <c r="AK623" s="2"/>
      <c r="AW623" s="2"/>
      <c r="BI623" s="2"/>
      <c r="BU623" s="2"/>
      <c r="CG623" s="2"/>
      <c r="CS623" s="2"/>
      <c r="DE623" s="2"/>
      <c r="DQ623" s="2"/>
    </row>
    <row r="624" spans="1:121" ht="13.5" customHeight="1" x14ac:dyDescent="0.3">
      <c r="A624" s="2"/>
      <c r="M624" s="2"/>
      <c r="Y624" s="2"/>
      <c r="AK624" s="2"/>
      <c r="AW624" s="2"/>
      <c r="BI624" s="2"/>
      <c r="BU624" s="2"/>
      <c r="CG624" s="2"/>
      <c r="CS624" s="2"/>
      <c r="DE624" s="2"/>
      <c r="DQ624" s="2"/>
    </row>
    <row r="625" spans="1:121" ht="13.5" customHeight="1" x14ac:dyDescent="0.3">
      <c r="A625" s="2"/>
      <c r="M625" s="2"/>
      <c r="Y625" s="2"/>
      <c r="AK625" s="2"/>
      <c r="AW625" s="2"/>
      <c r="BI625" s="2"/>
      <c r="BU625" s="2"/>
      <c r="CG625" s="2"/>
      <c r="CS625" s="2"/>
      <c r="DE625" s="2"/>
      <c r="DQ625" s="2"/>
    </row>
    <row r="626" spans="1:121" ht="13.5" customHeight="1" x14ac:dyDescent="0.3">
      <c r="A626" s="2"/>
      <c r="M626" s="2"/>
      <c r="Y626" s="2"/>
      <c r="AK626" s="2"/>
      <c r="AW626" s="2"/>
      <c r="BI626" s="2"/>
      <c r="BU626" s="2"/>
      <c r="CG626" s="2"/>
      <c r="CS626" s="2"/>
      <c r="DE626" s="2"/>
      <c r="DQ626" s="2"/>
    </row>
    <row r="627" spans="1:121" ht="13.5" customHeight="1" x14ac:dyDescent="0.3">
      <c r="A627" s="2"/>
      <c r="M627" s="2"/>
      <c r="Y627" s="2"/>
      <c r="AK627" s="2"/>
      <c r="AW627" s="2"/>
      <c r="BI627" s="2"/>
      <c r="BU627" s="2"/>
      <c r="CG627" s="2"/>
      <c r="CS627" s="2"/>
      <c r="DE627" s="2"/>
      <c r="DQ627" s="2"/>
    </row>
    <row r="628" spans="1:121" ht="13.5" customHeight="1" x14ac:dyDescent="0.3">
      <c r="A628" s="2"/>
      <c r="M628" s="2"/>
      <c r="Y628" s="2"/>
      <c r="AK628" s="2"/>
      <c r="AW628" s="2"/>
      <c r="BI628" s="2"/>
      <c r="BU628" s="2"/>
      <c r="CG628" s="2"/>
      <c r="CS628" s="2"/>
      <c r="DE628" s="2"/>
      <c r="DQ628" s="2"/>
    </row>
    <row r="629" spans="1:121" ht="13.5" customHeight="1" x14ac:dyDescent="0.3">
      <c r="A629" s="2"/>
      <c r="M629" s="2"/>
      <c r="Y629" s="2"/>
      <c r="AK629" s="2"/>
      <c r="AW629" s="2"/>
      <c r="BI629" s="2"/>
      <c r="BU629" s="2"/>
      <c r="CG629" s="2"/>
      <c r="CS629" s="2"/>
      <c r="DE629" s="2"/>
      <c r="DQ629" s="2"/>
    </row>
    <row r="630" spans="1:121" ht="13.5" customHeight="1" x14ac:dyDescent="0.3">
      <c r="A630" s="2"/>
      <c r="M630" s="2"/>
      <c r="Y630" s="2"/>
      <c r="AK630" s="2"/>
      <c r="AW630" s="2"/>
      <c r="BI630" s="2"/>
      <c r="BU630" s="2"/>
      <c r="CG630" s="2"/>
      <c r="CS630" s="2"/>
      <c r="DE630" s="2"/>
      <c r="DQ630" s="2"/>
    </row>
    <row r="631" spans="1:121" ht="13.5" customHeight="1" x14ac:dyDescent="0.3">
      <c r="A631" s="2"/>
      <c r="M631" s="2"/>
      <c r="Y631" s="2"/>
      <c r="AK631" s="2"/>
      <c r="AW631" s="2"/>
      <c r="BI631" s="2"/>
      <c r="BU631" s="2"/>
      <c r="CG631" s="2"/>
      <c r="CS631" s="2"/>
      <c r="DE631" s="2"/>
      <c r="DQ631" s="2"/>
    </row>
    <row r="632" spans="1:121" ht="13.5" customHeight="1" x14ac:dyDescent="0.3">
      <c r="A632" s="2"/>
      <c r="M632" s="2"/>
      <c r="Y632" s="2"/>
      <c r="AK632" s="2"/>
      <c r="AW632" s="2"/>
      <c r="BI632" s="2"/>
      <c r="BU632" s="2"/>
      <c r="CG632" s="2"/>
      <c r="CS632" s="2"/>
      <c r="DE632" s="2"/>
      <c r="DQ632" s="2"/>
    </row>
    <row r="633" spans="1:121" ht="13.5" customHeight="1" x14ac:dyDescent="0.3">
      <c r="A633" s="2"/>
      <c r="M633" s="2"/>
      <c r="Y633" s="2"/>
      <c r="AK633" s="2"/>
      <c r="AW633" s="2"/>
      <c r="BI633" s="2"/>
      <c r="BU633" s="2"/>
      <c r="CG633" s="2"/>
      <c r="CS633" s="2"/>
      <c r="DE633" s="2"/>
      <c r="DQ633" s="2"/>
    </row>
    <row r="634" spans="1:121" ht="13.5" customHeight="1" x14ac:dyDescent="0.3">
      <c r="A634" s="2"/>
      <c r="M634" s="2"/>
      <c r="Y634" s="2"/>
      <c r="AK634" s="2"/>
      <c r="AW634" s="2"/>
      <c r="BI634" s="2"/>
      <c r="BU634" s="2"/>
      <c r="CG634" s="2"/>
      <c r="CS634" s="2"/>
      <c r="DE634" s="2"/>
      <c r="DQ634" s="2"/>
    </row>
    <row r="635" spans="1:121" ht="13.5" customHeight="1" x14ac:dyDescent="0.3">
      <c r="A635" s="2"/>
      <c r="M635" s="2"/>
      <c r="Y635" s="2"/>
      <c r="AK635" s="2"/>
      <c r="AW635" s="2"/>
      <c r="BI635" s="2"/>
      <c r="BU635" s="2"/>
      <c r="CG635" s="2"/>
      <c r="CS635" s="2"/>
      <c r="DE635" s="2"/>
      <c r="DQ635" s="2"/>
    </row>
    <row r="636" spans="1:121" ht="13.5" customHeight="1" x14ac:dyDescent="0.3">
      <c r="A636" s="2"/>
      <c r="M636" s="2"/>
      <c r="Y636" s="2"/>
      <c r="AK636" s="2"/>
      <c r="AW636" s="2"/>
      <c r="BI636" s="2"/>
      <c r="BU636" s="2"/>
      <c r="CG636" s="2"/>
      <c r="CS636" s="2"/>
      <c r="DE636" s="2"/>
      <c r="DQ636" s="2"/>
    </row>
    <row r="637" spans="1:121" ht="13.5" customHeight="1" x14ac:dyDescent="0.3">
      <c r="A637" s="2"/>
      <c r="M637" s="2"/>
      <c r="Y637" s="2"/>
      <c r="AK637" s="2"/>
      <c r="AW637" s="2"/>
      <c r="BI637" s="2"/>
      <c r="BU637" s="2"/>
      <c r="CG637" s="2"/>
      <c r="CS637" s="2"/>
      <c r="DE637" s="2"/>
      <c r="DQ637" s="2"/>
    </row>
    <row r="638" spans="1:121" ht="13.5" customHeight="1" x14ac:dyDescent="0.3">
      <c r="A638" s="2"/>
      <c r="M638" s="2"/>
      <c r="Y638" s="2"/>
      <c r="AK638" s="2"/>
      <c r="AW638" s="2"/>
      <c r="BI638" s="2"/>
      <c r="BU638" s="2"/>
      <c r="CG638" s="2"/>
      <c r="CS638" s="2"/>
      <c r="DE638" s="2"/>
      <c r="DQ638" s="2"/>
    </row>
    <row r="639" spans="1:121" ht="13.5" customHeight="1" x14ac:dyDescent="0.3">
      <c r="A639" s="2"/>
      <c r="M639" s="2"/>
      <c r="Y639" s="2"/>
      <c r="AK639" s="2"/>
      <c r="AW639" s="2"/>
      <c r="BI639" s="2"/>
      <c r="BU639" s="2"/>
      <c r="CG639" s="2"/>
      <c r="CS639" s="2"/>
      <c r="DE639" s="2"/>
      <c r="DQ639" s="2"/>
    </row>
    <row r="640" spans="1:121" ht="13.5" customHeight="1" x14ac:dyDescent="0.3">
      <c r="A640" s="2"/>
      <c r="M640" s="2"/>
      <c r="Y640" s="2"/>
      <c r="AK640" s="2"/>
      <c r="AW640" s="2"/>
      <c r="BI640" s="2"/>
      <c r="BU640" s="2"/>
      <c r="CG640" s="2"/>
      <c r="CS640" s="2"/>
      <c r="DE640" s="2"/>
      <c r="DQ640" s="2"/>
    </row>
    <row r="641" spans="1:121" ht="13.5" customHeight="1" x14ac:dyDescent="0.3">
      <c r="A641" s="2"/>
      <c r="M641" s="2"/>
      <c r="Y641" s="2"/>
      <c r="AK641" s="2"/>
      <c r="AW641" s="2"/>
      <c r="BI641" s="2"/>
      <c r="BU641" s="2"/>
      <c r="CG641" s="2"/>
      <c r="CS641" s="2"/>
      <c r="DE641" s="2"/>
      <c r="DQ641" s="2"/>
    </row>
    <row r="642" spans="1:121" ht="13.5" customHeight="1" x14ac:dyDescent="0.3">
      <c r="A642" s="2"/>
      <c r="M642" s="2"/>
      <c r="Y642" s="2"/>
      <c r="AK642" s="2"/>
      <c r="AW642" s="2"/>
      <c r="BI642" s="2"/>
      <c r="BU642" s="2"/>
      <c r="CG642" s="2"/>
      <c r="CS642" s="2"/>
      <c r="DE642" s="2"/>
      <c r="DQ642" s="2"/>
    </row>
    <row r="643" spans="1:121" ht="13.5" customHeight="1" x14ac:dyDescent="0.3">
      <c r="A643" s="2"/>
      <c r="M643" s="2"/>
      <c r="Y643" s="2"/>
      <c r="AK643" s="2"/>
      <c r="AW643" s="2"/>
      <c r="BI643" s="2"/>
      <c r="BU643" s="2"/>
      <c r="CG643" s="2"/>
      <c r="CS643" s="2"/>
      <c r="DE643" s="2"/>
      <c r="DQ643" s="2"/>
    </row>
    <row r="644" spans="1:121" ht="13.5" customHeight="1" x14ac:dyDescent="0.3">
      <c r="A644" s="2"/>
      <c r="M644" s="2"/>
      <c r="Y644" s="2"/>
      <c r="AK644" s="2"/>
      <c r="AW644" s="2"/>
      <c r="BI644" s="2"/>
      <c r="BU644" s="2"/>
      <c r="CG644" s="2"/>
      <c r="CS644" s="2"/>
      <c r="DE644" s="2"/>
      <c r="DQ644" s="2"/>
    </row>
    <row r="645" spans="1:121" ht="13.5" customHeight="1" x14ac:dyDescent="0.3">
      <c r="A645" s="2"/>
      <c r="M645" s="2"/>
      <c r="Y645" s="2"/>
      <c r="AK645" s="2"/>
      <c r="AW645" s="2"/>
      <c r="BI645" s="2"/>
      <c r="BU645" s="2"/>
      <c r="CG645" s="2"/>
      <c r="CS645" s="2"/>
      <c r="DE645" s="2"/>
      <c r="DQ645" s="2"/>
    </row>
    <row r="646" spans="1:121" ht="13.5" customHeight="1" x14ac:dyDescent="0.3">
      <c r="A646" s="2"/>
      <c r="M646" s="2"/>
      <c r="Y646" s="2"/>
      <c r="AK646" s="2"/>
      <c r="AW646" s="2"/>
      <c r="BI646" s="2"/>
      <c r="BU646" s="2"/>
      <c r="CG646" s="2"/>
      <c r="CS646" s="2"/>
      <c r="DE646" s="2"/>
      <c r="DQ646" s="2"/>
    </row>
    <row r="647" spans="1:121" ht="13.5" customHeight="1" x14ac:dyDescent="0.3">
      <c r="A647" s="2"/>
      <c r="M647" s="2"/>
      <c r="Y647" s="2"/>
      <c r="AK647" s="2"/>
      <c r="AW647" s="2"/>
      <c r="BI647" s="2"/>
      <c r="BU647" s="2"/>
      <c r="CG647" s="2"/>
      <c r="CS647" s="2"/>
      <c r="DE647" s="2"/>
      <c r="DQ647" s="2"/>
    </row>
    <row r="648" spans="1:121" ht="13.5" customHeight="1" x14ac:dyDescent="0.3">
      <c r="A648" s="2"/>
      <c r="M648" s="2"/>
      <c r="Y648" s="2"/>
      <c r="AK648" s="2"/>
      <c r="AW648" s="2"/>
      <c r="BI648" s="2"/>
      <c r="BU648" s="2"/>
      <c r="CG648" s="2"/>
      <c r="CS648" s="2"/>
      <c r="DE648" s="2"/>
      <c r="DQ648" s="2"/>
    </row>
    <row r="649" spans="1:121" ht="13.5" customHeight="1" x14ac:dyDescent="0.3">
      <c r="A649" s="2"/>
      <c r="M649" s="2"/>
      <c r="Y649" s="2"/>
      <c r="AK649" s="2"/>
      <c r="AW649" s="2"/>
      <c r="BI649" s="2"/>
      <c r="BU649" s="2"/>
      <c r="CG649" s="2"/>
      <c r="CS649" s="2"/>
      <c r="DE649" s="2"/>
      <c r="DQ649" s="2"/>
    </row>
    <row r="650" spans="1:121" ht="13.5" customHeight="1" x14ac:dyDescent="0.3">
      <c r="A650" s="2"/>
      <c r="M650" s="2"/>
      <c r="Y650" s="2"/>
      <c r="AK650" s="2"/>
      <c r="AW650" s="2"/>
      <c r="BI650" s="2"/>
      <c r="BU650" s="2"/>
      <c r="CG650" s="2"/>
      <c r="CS650" s="2"/>
      <c r="DE650" s="2"/>
      <c r="DQ650" s="2"/>
    </row>
    <row r="651" spans="1:121" ht="13.5" customHeight="1" x14ac:dyDescent="0.3">
      <c r="A651" s="2"/>
      <c r="M651" s="2"/>
      <c r="Y651" s="2"/>
      <c r="AK651" s="2"/>
      <c r="AW651" s="2"/>
      <c r="BI651" s="2"/>
      <c r="BU651" s="2"/>
      <c r="CG651" s="2"/>
      <c r="CS651" s="2"/>
      <c r="DE651" s="2"/>
      <c r="DQ651" s="2"/>
    </row>
    <row r="652" spans="1:121" ht="13.5" customHeight="1" x14ac:dyDescent="0.3">
      <c r="A652" s="2"/>
      <c r="M652" s="2"/>
      <c r="Y652" s="2"/>
      <c r="AK652" s="2"/>
      <c r="AW652" s="2"/>
      <c r="BI652" s="2"/>
      <c r="BU652" s="2"/>
      <c r="CG652" s="2"/>
      <c r="CS652" s="2"/>
      <c r="DE652" s="2"/>
      <c r="DQ652" s="2"/>
    </row>
    <row r="653" spans="1:121" ht="13.5" customHeight="1" x14ac:dyDescent="0.3">
      <c r="A653" s="2"/>
      <c r="M653" s="2"/>
      <c r="Y653" s="2"/>
      <c r="AK653" s="2"/>
      <c r="AW653" s="2"/>
      <c r="BI653" s="2"/>
      <c r="BU653" s="2"/>
      <c r="CG653" s="2"/>
      <c r="CS653" s="2"/>
      <c r="DE653" s="2"/>
      <c r="DQ653" s="2"/>
    </row>
    <row r="654" spans="1:121" ht="13.5" customHeight="1" x14ac:dyDescent="0.3">
      <c r="A654" s="2"/>
      <c r="M654" s="2"/>
      <c r="Y654" s="2"/>
      <c r="AK654" s="2"/>
      <c r="AW654" s="2"/>
      <c r="BI654" s="2"/>
      <c r="BU654" s="2"/>
      <c r="CG654" s="2"/>
      <c r="CS654" s="2"/>
      <c r="DE654" s="2"/>
      <c r="DQ654" s="2"/>
    </row>
    <row r="655" spans="1:121" ht="13.5" customHeight="1" x14ac:dyDescent="0.3">
      <c r="A655" s="2"/>
      <c r="M655" s="2"/>
      <c r="Y655" s="2"/>
      <c r="AK655" s="2"/>
      <c r="AW655" s="2"/>
      <c r="BI655" s="2"/>
      <c r="BU655" s="2"/>
      <c r="CG655" s="2"/>
      <c r="CS655" s="2"/>
      <c r="DE655" s="2"/>
      <c r="DQ655" s="2"/>
    </row>
    <row r="656" spans="1:121" ht="13.5" customHeight="1" x14ac:dyDescent="0.3">
      <c r="A656" s="2"/>
      <c r="M656" s="2"/>
      <c r="Y656" s="2"/>
      <c r="AK656" s="2"/>
      <c r="AW656" s="2"/>
      <c r="BI656" s="2"/>
      <c r="BU656" s="2"/>
      <c r="CG656" s="2"/>
      <c r="CS656" s="2"/>
      <c r="DE656" s="2"/>
      <c r="DQ656" s="2"/>
    </row>
    <row r="657" spans="1:121" ht="13.5" customHeight="1" x14ac:dyDescent="0.3">
      <c r="A657" s="2"/>
      <c r="M657" s="2"/>
      <c r="Y657" s="2"/>
      <c r="AK657" s="2"/>
      <c r="AW657" s="2"/>
      <c r="BI657" s="2"/>
      <c r="BU657" s="2"/>
      <c r="CG657" s="2"/>
      <c r="CS657" s="2"/>
      <c r="DE657" s="2"/>
      <c r="DQ657" s="2"/>
    </row>
    <row r="658" spans="1:121" ht="13.5" customHeight="1" x14ac:dyDescent="0.3">
      <c r="A658" s="2"/>
      <c r="M658" s="2"/>
      <c r="Y658" s="2"/>
      <c r="AK658" s="2"/>
      <c r="AW658" s="2"/>
      <c r="BI658" s="2"/>
      <c r="BU658" s="2"/>
      <c r="CG658" s="2"/>
      <c r="CS658" s="2"/>
      <c r="DE658" s="2"/>
      <c r="DQ658" s="2"/>
    </row>
    <row r="659" spans="1:121" ht="13.5" customHeight="1" x14ac:dyDescent="0.3">
      <c r="A659" s="2"/>
      <c r="M659" s="2"/>
      <c r="Y659" s="2"/>
      <c r="AK659" s="2"/>
      <c r="AW659" s="2"/>
      <c r="BI659" s="2"/>
      <c r="BU659" s="2"/>
      <c r="CG659" s="2"/>
      <c r="CS659" s="2"/>
      <c r="DE659" s="2"/>
      <c r="DQ659" s="2"/>
    </row>
    <row r="660" spans="1:121" ht="13.5" customHeight="1" x14ac:dyDescent="0.3">
      <c r="A660" s="2"/>
      <c r="M660" s="2"/>
      <c r="Y660" s="2"/>
      <c r="AK660" s="2"/>
      <c r="AW660" s="2"/>
      <c r="BI660" s="2"/>
      <c r="BU660" s="2"/>
      <c r="CG660" s="2"/>
      <c r="CS660" s="2"/>
      <c r="DE660" s="2"/>
      <c r="DQ660" s="2"/>
    </row>
    <row r="661" spans="1:121" ht="13.5" customHeight="1" x14ac:dyDescent="0.3">
      <c r="A661" s="2"/>
      <c r="M661" s="2"/>
      <c r="Y661" s="2"/>
      <c r="AK661" s="2"/>
      <c r="AW661" s="2"/>
      <c r="BI661" s="2"/>
      <c r="BU661" s="2"/>
      <c r="CG661" s="2"/>
      <c r="CS661" s="2"/>
      <c r="DE661" s="2"/>
      <c r="DQ661" s="2"/>
    </row>
    <row r="662" spans="1:121" ht="13.5" customHeight="1" x14ac:dyDescent="0.3">
      <c r="A662" s="2"/>
      <c r="M662" s="2"/>
      <c r="Y662" s="2"/>
      <c r="AK662" s="2"/>
      <c r="AW662" s="2"/>
      <c r="BI662" s="2"/>
      <c r="BU662" s="2"/>
      <c r="CG662" s="2"/>
      <c r="CS662" s="2"/>
      <c r="DE662" s="2"/>
      <c r="DQ662" s="2"/>
    </row>
    <row r="663" spans="1:121" ht="13.5" customHeight="1" x14ac:dyDescent="0.3">
      <c r="A663" s="2"/>
      <c r="M663" s="2"/>
      <c r="Y663" s="2"/>
      <c r="AK663" s="2"/>
      <c r="AW663" s="2"/>
      <c r="BI663" s="2"/>
      <c r="BU663" s="2"/>
      <c r="CG663" s="2"/>
      <c r="CS663" s="2"/>
      <c r="DE663" s="2"/>
      <c r="DQ663" s="2"/>
    </row>
    <row r="664" spans="1:121" ht="13.5" customHeight="1" x14ac:dyDescent="0.3">
      <c r="A664" s="2"/>
      <c r="M664" s="2"/>
      <c r="Y664" s="2"/>
      <c r="AK664" s="2"/>
      <c r="AW664" s="2"/>
      <c r="BI664" s="2"/>
      <c r="BU664" s="2"/>
      <c r="CG664" s="2"/>
      <c r="CS664" s="2"/>
      <c r="DE664" s="2"/>
      <c r="DQ664" s="2"/>
    </row>
    <row r="665" spans="1:121" ht="13.5" customHeight="1" x14ac:dyDescent="0.3">
      <c r="A665" s="2"/>
      <c r="M665" s="2"/>
      <c r="Y665" s="2"/>
      <c r="AK665" s="2"/>
      <c r="AW665" s="2"/>
      <c r="BI665" s="2"/>
      <c r="BU665" s="2"/>
      <c r="CG665" s="2"/>
      <c r="CS665" s="2"/>
      <c r="DE665" s="2"/>
      <c r="DQ665" s="2"/>
    </row>
    <row r="666" spans="1:121" ht="13.5" customHeight="1" x14ac:dyDescent="0.3">
      <c r="A666" s="2"/>
      <c r="M666" s="2"/>
      <c r="Y666" s="2"/>
      <c r="AK666" s="2"/>
      <c r="AW666" s="2"/>
      <c r="BI666" s="2"/>
      <c r="BU666" s="2"/>
      <c r="CG666" s="2"/>
      <c r="CS666" s="2"/>
      <c r="DE666" s="2"/>
      <c r="DQ666" s="2"/>
    </row>
    <row r="667" spans="1:121" ht="13.5" customHeight="1" x14ac:dyDescent="0.3">
      <c r="A667" s="2"/>
      <c r="M667" s="2"/>
      <c r="Y667" s="2"/>
      <c r="AK667" s="2"/>
      <c r="AW667" s="2"/>
      <c r="BI667" s="2"/>
      <c r="BU667" s="2"/>
      <c r="CG667" s="2"/>
      <c r="CS667" s="2"/>
      <c r="DE667" s="2"/>
      <c r="DQ667" s="2"/>
    </row>
    <row r="668" spans="1:121" ht="13.5" customHeight="1" x14ac:dyDescent="0.3">
      <c r="A668" s="2"/>
      <c r="M668" s="2"/>
      <c r="Y668" s="2"/>
      <c r="AK668" s="2"/>
      <c r="AW668" s="2"/>
      <c r="BI668" s="2"/>
      <c r="BU668" s="2"/>
      <c r="CG668" s="2"/>
      <c r="CS668" s="2"/>
      <c r="DE668" s="2"/>
      <c r="DQ668" s="2"/>
    </row>
    <row r="669" spans="1:121" ht="13.5" customHeight="1" x14ac:dyDescent="0.3">
      <c r="A669" s="2"/>
      <c r="M669" s="2"/>
      <c r="Y669" s="2"/>
      <c r="AK669" s="2"/>
      <c r="AW669" s="2"/>
      <c r="BI669" s="2"/>
      <c r="BU669" s="2"/>
      <c r="CG669" s="2"/>
      <c r="CS669" s="2"/>
      <c r="DE669" s="2"/>
      <c r="DQ669" s="2"/>
    </row>
    <row r="670" spans="1:121" ht="13.5" customHeight="1" x14ac:dyDescent="0.3">
      <c r="A670" s="2"/>
      <c r="M670" s="2"/>
      <c r="Y670" s="2"/>
      <c r="AK670" s="2"/>
      <c r="AW670" s="2"/>
      <c r="BI670" s="2"/>
      <c r="BU670" s="2"/>
      <c r="CG670" s="2"/>
      <c r="CS670" s="2"/>
      <c r="DE670" s="2"/>
      <c r="DQ670" s="2"/>
    </row>
    <row r="671" spans="1:121" ht="13.5" customHeight="1" x14ac:dyDescent="0.3">
      <c r="A671" s="2"/>
      <c r="M671" s="2"/>
      <c r="Y671" s="2"/>
      <c r="AK671" s="2"/>
      <c r="AW671" s="2"/>
      <c r="BI671" s="2"/>
      <c r="BU671" s="2"/>
      <c r="CG671" s="2"/>
      <c r="CS671" s="2"/>
      <c r="DE671" s="2"/>
      <c r="DQ671" s="2"/>
    </row>
    <row r="672" spans="1:121" ht="13.5" customHeight="1" x14ac:dyDescent="0.3">
      <c r="A672" s="2"/>
      <c r="M672" s="2"/>
      <c r="Y672" s="2"/>
      <c r="AK672" s="2"/>
      <c r="AW672" s="2"/>
      <c r="BI672" s="2"/>
      <c r="BU672" s="2"/>
      <c r="CG672" s="2"/>
      <c r="CS672" s="2"/>
      <c r="DE672" s="2"/>
      <c r="DQ672" s="2"/>
    </row>
    <row r="673" spans="1:121" ht="13.5" customHeight="1" x14ac:dyDescent="0.3">
      <c r="A673" s="2"/>
      <c r="M673" s="2"/>
      <c r="Y673" s="2"/>
      <c r="AK673" s="2"/>
      <c r="AW673" s="2"/>
      <c r="BI673" s="2"/>
      <c r="BU673" s="2"/>
      <c r="CG673" s="2"/>
      <c r="CS673" s="2"/>
      <c r="DE673" s="2"/>
      <c r="DQ673" s="2"/>
    </row>
    <row r="674" spans="1:121" ht="13.5" customHeight="1" x14ac:dyDescent="0.3">
      <c r="A674" s="2"/>
      <c r="M674" s="2"/>
      <c r="Y674" s="2"/>
      <c r="AK674" s="2"/>
      <c r="AW674" s="2"/>
      <c r="BI674" s="2"/>
      <c r="BU674" s="2"/>
      <c r="CG674" s="2"/>
      <c r="CS674" s="2"/>
      <c r="DE674" s="2"/>
      <c r="DQ674" s="2"/>
    </row>
    <row r="675" spans="1:121" ht="13.5" customHeight="1" x14ac:dyDescent="0.3">
      <c r="A675" s="2"/>
      <c r="M675" s="2"/>
      <c r="Y675" s="2"/>
      <c r="AK675" s="2"/>
      <c r="AW675" s="2"/>
      <c r="BI675" s="2"/>
      <c r="BU675" s="2"/>
      <c r="CG675" s="2"/>
      <c r="CS675" s="2"/>
      <c r="DE675" s="2"/>
      <c r="DQ675" s="2"/>
    </row>
    <row r="676" spans="1:121" ht="13.5" customHeight="1" x14ac:dyDescent="0.3">
      <c r="A676" s="2"/>
      <c r="M676" s="2"/>
      <c r="Y676" s="2"/>
      <c r="AK676" s="2"/>
      <c r="AW676" s="2"/>
      <c r="BI676" s="2"/>
      <c r="BU676" s="2"/>
      <c r="CG676" s="2"/>
      <c r="CS676" s="2"/>
      <c r="DE676" s="2"/>
      <c r="DQ676" s="2"/>
    </row>
    <row r="677" spans="1:121" ht="13.5" customHeight="1" x14ac:dyDescent="0.3">
      <c r="A677" s="2"/>
      <c r="M677" s="2"/>
      <c r="Y677" s="2"/>
      <c r="AK677" s="2"/>
      <c r="AW677" s="2"/>
      <c r="BI677" s="2"/>
      <c r="BU677" s="2"/>
      <c r="CG677" s="2"/>
      <c r="CS677" s="2"/>
      <c r="DE677" s="2"/>
      <c r="DQ677" s="2"/>
    </row>
    <row r="678" spans="1:121" ht="13.5" customHeight="1" x14ac:dyDescent="0.3">
      <c r="A678" s="2"/>
      <c r="M678" s="2"/>
      <c r="Y678" s="2"/>
      <c r="AK678" s="2"/>
      <c r="AW678" s="2"/>
      <c r="BI678" s="2"/>
      <c r="BU678" s="2"/>
      <c r="CG678" s="2"/>
      <c r="CS678" s="2"/>
      <c r="DE678" s="2"/>
      <c r="DQ678" s="2"/>
    </row>
    <row r="679" spans="1:121" ht="13.5" customHeight="1" x14ac:dyDescent="0.3">
      <c r="A679" s="2"/>
      <c r="M679" s="2"/>
      <c r="Y679" s="2"/>
      <c r="AK679" s="2"/>
      <c r="AW679" s="2"/>
      <c r="BI679" s="2"/>
      <c r="BU679" s="2"/>
      <c r="CG679" s="2"/>
      <c r="CS679" s="2"/>
      <c r="DE679" s="2"/>
      <c r="DQ679" s="2"/>
    </row>
    <row r="680" spans="1:121" ht="13.5" customHeight="1" x14ac:dyDescent="0.3">
      <c r="A680" s="2"/>
      <c r="M680" s="2"/>
      <c r="Y680" s="2"/>
      <c r="AK680" s="2"/>
      <c r="AW680" s="2"/>
      <c r="BI680" s="2"/>
      <c r="BU680" s="2"/>
      <c r="CG680" s="2"/>
      <c r="CS680" s="2"/>
      <c r="DE680" s="2"/>
      <c r="DQ680" s="2"/>
    </row>
    <row r="681" spans="1:121" ht="13.5" customHeight="1" x14ac:dyDescent="0.3">
      <c r="A681" s="2"/>
      <c r="M681" s="2"/>
      <c r="Y681" s="2"/>
      <c r="AK681" s="2"/>
      <c r="AW681" s="2"/>
      <c r="BI681" s="2"/>
      <c r="BU681" s="2"/>
      <c r="CG681" s="2"/>
      <c r="CS681" s="2"/>
      <c r="DE681" s="2"/>
      <c r="DQ681" s="2"/>
    </row>
    <row r="682" spans="1:121" ht="13.5" customHeight="1" x14ac:dyDescent="0.3">
      <c r="A682" s="2"/>
      <c r="M682" s="2"/>
      <c r="Y682" s="2"/>
      <c r="AK682" s="2"/>
      <c r="AW682" s="2"/>
      <c r="BI682" s="2"/>
      <c r="BU682" s="2"/>
      <c r="CG682" s="2"/>
      <c r="CS682" s="2"/>
      <c r="DE682" s="2"/>
      <c r="DQ682" s="2"/>
    </row>
    <row r="683" spans="1:121" ht="13.5" customHeight="1" x14ac:dyDescent="0.3">
      <c r="A683" s="2"/>
      <c r="M683" s="2"/>
      <c r="Y683" s="2"/>
      <c r="AK683" s="2"/>
      <c r="AW683" s="2"/>
      <c r="BI683" s="2"/>
      <c r="BU683" s="2"/>
      <c r="CG683" s="2"/>
      <c r="CS683" s="2"/>
      <c r="DE683" s="2"/>
      <c r="DQ683" s="2"/>
    </row>
    <row r="684" spans="1:121" ht="13.5" customHeight="1" x14ac:dyDescent="0.3">
      <c r="A684" s="2"/>
      <c r="M684" s="2"/>
      <c r="Y684" s="2"/>
      <c r="AK684" s="2"/>
      <c r="AW684" s="2"/>
      <c r="BI684" s="2"/>
      <c r="BU684" s="2"/>
      <c r="CG684" s="2"/>
      <c r="CS684" s="2"/>
      <c r="DE684" s="2"/>
      <c r="DQ684" s="2"/>
    </row>
    <row r="685" spans="1:121" ht="13.5" customHeight="1" x14ac:dyDescent="0.3">
      <c r="A685" s="2"/>
      <c r="M685" s="2"/>
      <c r="Y685" s="2"/>
      <c r="AK685" s="2"/>
      <c r="AW685" s="2"/>
      <c r="BI685" s="2"/>
      <c r="BU685" s="2"/>
      <c r="CG685" s="2"/>
      <c r="CS685" s="2"/>
      <c r="DE685" s="2"/>
      <c r="DQ685" s="2"/>
    </row>
    <row r="686" spans="1:121" ht="13.5" customHeight="1" x14ac:dyDescent="0.3">
      <c r="A686" s="2"/>
      <c r="M686" s="2"/>
      <c r="Y686" s="2"/>
      <c r="AK686" s="2"/>
      <c r="AW686" s="2"/>
      <c r="BI686" s="2"/>
      <c r="BU686" s="2"/>
      <c r="CG686" s="2"/>
      <c r="CS686" s="2"/>
      <c r="DE686" s="2"/>
      <c r="DQ686" s="2"/>
    </row>
    <row r="687" spans="1:121" ht="13.5" customHeight="1" x14ac:dyDescent="0.3">
      <c r="A687" s="2"/>
      <c r="M687" s="2"/>
      <c r="Y687" s="2"/>
      <c r="AK687" s="2"/>
      <c r="AW687" s="2"/>
      <c r="BI687" s="2"/>
      <c r="BU687" s="2"/>
      <c r="CG687" s="2"/>
      <c r="CS687" s="2"/>
      <c r="DE687" s="2"/>
      <c r="DQ687" s="2"/>
    </row>
    <row r="688" spans="1:121" ht="13.5" customHeight="1" x14ac:dyDescent="0.3">
      <c r="A688" s="2"/>
      <c r="M688" s="2"/>
      <c r="Y688" s="2"/>
      <c r="AK688" s="2"/>
      <c r="AW688" s="2"/>
      <c r="BI688" s="2"/>
      <c r="BU688" s="2"/>
      <c r="CG688" s="2"/>
      <c r="CS688" s="2"/>
      <c r="DE688" s="2"/>
      <c r="DQ688" s="2"/>
    </row>
    <row r="689" spans="1:121" ht="13.5" customHeight="1" x14ac:dyDescent="0.3">
      <c r="A689" s="2"/>
      <c r="M689" s="2"/>
      <c r="Y689" s="2"/>
      <c r="AK689" s="2"/>
      <c r="AW689" s="2"/>
      <c r="BI689" s="2"/>
      <c r="BU689" s="2"/>
      <c r="CG689" s="2"/>
      <c r="CS689" s="2"/>
      <c r="DE689" s="2"/>
      <c r="DQ689" s="2"/>
    </row>
    <row r="690" spans="1:121" ht="13.5" customHeight="1" x14ac:dyDescent="0.3">
      <c r="A690" s="2"/>
      <c r="M690" s="2"/>
      <c r="Y690" s="2"/>
      <c r="AK690" s="2"/>
      <c r="AW690" s="2"/>
      <c r="BI690" s="2"/>
      <c r="BU690" s="2"/>
      <c r="CG690" s="2"/>
      <c r="CS690" s="2"/>
      <c r="DE690" s="2"/>
      <c r="DQ690" s="2"/>
    </row>
    <row r="691" spans="1:121" ht="13.5" customHeight="1" x14ac:dyDescent="0.3">
      <c r="A691" s="2"/>
      <c r="M691" s="2"/>
      <c r="Y691" s="2"/>
      <c r="AK691" s="2"/>
      <c r="AW691" s="2"/>
      <c r="BI691" s="2"/>
      <c r="BU691" s="2"/>
      <c r="CG691" s="2"/>
      <c r="CS691" s="2"/>
      <c r="DE691" s="2"/>
      <c r="DQ691" s="2"/>
    </row>
    <row r="692" spans="1:121" ht="13.5" customHeight="1" x14ac:dyDescent="0.3">
      <c r="A692" s="2"/>
      <c r="M692" s="2"/>
      <c r="Y692" s="2"/>
      <c r="AK692" s="2"/>
      <c r="AW692" s="2"/>
      <c r="BI692" s="2"/>
      <c r="BU692" s="2"/>
      <c r="CG692" s="2"/>
      <c r="CS692" s="2"/>
      <c r="DE692" s="2"/>
      <c r="DQ692" s="2"/>
    </row>
    <row r="693" spans="1:121" ht="13.5" customHeight="1" x14ac:dyDescent="0.3">
      <c r="A693" s="2"/>
      <c r="M693" s="2"/>
      <c r="Y693" s="2"/>
      <c r="AK693" s="2"/>
      <c r="AW693" s="2"/>
      <c r="BI693" s="2"/>
      <c r="BU693" s="2"/>
      <c r="CG693" s="2"/>
      <c r="CS693" s="2"/>
      <c r="DE693" s="2"/>
      <c r="DQ693" s="2"/>
    </row>
    <row r="694" spans="1:121" ht="13.5" customHeight="1" x14ac:dyDescent="0.3">
      <c r="A694" s="2"/>
      <c r="M694" s="2"/>
      <c r="Y694" s="2"/>
      <c r="AK694" s="2"/>
      <c r="AW694" s="2"/>
      <c r="BI694" s="2"/>
      <c r="BU694" s="2"/>
      <c r="CG694" s="2"/>
      <c r="CS694" s="2"/>
      <c r="DE694" s="2"/>
      <c r="DQ694" s="2"/>
    </row>
    <row r="695" spans="1:121" ht="13.5" customHeight="1" x14ac:dyDescent="0.3">
      <c r="A695" s="2"/>
      <c r="M695" s="2"/>
      <c r="Y695" s="2"/>
      <c r="AK695" s="2"/>
      <c r="AW695" s="2"/>
      <c r="BI695" s="2"/>
      <c r="BU695" s="2"/>
      <c r="CG695" s="2"/>
      <c r="CS695" s="2"/>
      <c r="DE695" s="2"/>
      <c r="DQ695" s="2"/>
    </row>
    <row r="696" spans="1:121" ht="13.5" customHeight="1" x14ac:dyDescent="0.3">
      <c r="A696" s="2"/>
      <c r="M696" s="2"/>
      <c r="Y696" s="2"/>
      <c r="AK696" s="2"/>
      <c r="AW696" s="2"/>
      <c r="BI696" s="2"/>
      <c r="BU696" s="2"/>
      <c r="CG696" s="2"/>
      <c r="CS696" s="2"/>
      <c r="DE696" s="2"/>
      <c r="DQ696" s="2"/>
    </row>
    <row r="697" spans="1:121" ht="13.5" customHeight="1" x14ac:dyDescent="0.3">
      <c r="A697" s="2"/>
      <c r="M697" s="2"/>
      <c r="Y697" s="2"/>
      <c r="AK697" s="2"/>
      <c r="AW697" s="2"/>
      <c r="BI697" s="2"/>
      <c r="BU697" s="2"/>
      <c r="CG697" s="2"/>
      <c r="CS697" s="2"/>
      <c r="DE697" s="2"/>
      <c r="DQ697" s="2"/>
    </row>
    <row r="698" spans="1:121" ht="13.5" customHeight="1" x14ac:dyDescent="0.3">
      <c r="A698" s="2"/>
      <c r="M698" s="2"/>
      <c r="Y698" s="2"/>
      <c r="AK698" s="2"/>
      <c r="AW698" s="2"/>
      <c r="BI698" s="2"/>
      <c r="BU698" s="2"/>
      <c r="CG698" s="2"/>
      <c r="CS698" s="2"/>
      <c r="DE698" s="2"/>
      <c r="DQ698" s="2"/>
    </row>
    <row r="699" spans="1:121" ht="13.5" customHeight="1" x14ac:dyDescent="0.3">
      <c r="A699" s="2"/>
      <c r="M699" s="2"/>
      <c r="Y699" s="2"/>
      <c r="AK699" s="2"/>
      <c r="AW699" s="2"/>
      <c r="BI699" s="2"/>
      <c r="BU699" s="2"/>
      <c r="CG699" s="2"/>
      <c r="CS699" s="2"/>
      <c r="DE699" s="2"/>
      <c r="DQ699" s="2"/>
    </row>
    <row r="700" spans="1:121" ht="13.5" customHeight="1" x14ac:dyDescent="0.3">
      <c r="A700" s="2"/>
      <c r="M700" s="2"/>
      <c r="Y700" s="2"/>
      <c r="AK700" s="2"/>
      <c r="AW700" s="2"/>
      <c r="BI700" s="2"/>
      <c r="BU700" s="2"/>
      <c r="CG700" s="2"/>
      <c r="CS700" s="2"/>
      <c r="DE700" s="2"/>
      <c r="DQ700" s="2"/>
    </row>
    <row r="701" spans="1:121" ht="13.5" customHeight="1" x14ac:dyDescent="0.3">
      <c r="A701" s="2"/>
      <c r="M701" s="2"/>
      <c r="Y701" s="2"/>
      <c r="AK701" s="2"/>
      <c r="AW701" s="2"/>
      <c r="BI701" s="2"/>
      <c r="BU701" s="2"/>
      <c r="CG701" s="2"/>
      <c r="CS701" s="2"/>
      <c r="DE701" s="2"/>
      <c r="DQ701" s="2"/>
    </row>
    <row r="702" spans="1:121" ht="13.5" customHeight="1" x14ac:dyDescent="0.3">
      <c r="A702" s="2"/>
      <c r="M702" s="2"/>
      <c r="Y702" s="2"/>
      <c r="AK702" s="2"/>
      <c r="AW702" s="2"/>
      <c r="BI702" s="2"/>
      <c r="BU702" s="2"/>
      <c r="CG702" s="2"/>
      <c r="CS702" s="2"/>
      <c r="DE702" s="2"/>
      <c r="DQ702" s="2"/>
    </row>
    <row r="703" spans="1:121" ht="13.5" customHeight="1" x14ac:dyDescent="0.3">
      <c r="A703" s="2"/>
      <c r="M703" s="2"/>
      <c r="Y703" s="2"/>
      <c r="AK703" s="2"/>
      <c r="AW703" s="2"/>
      <c r="BI703" s="2"/>
      <c r="BU703" s="2"/>
      <c r="CG703" s="2"/>
      <c r="CS703" s="2"/>
      <c r="DE703" s="2"/>
      <c r="DQ703" s="2"/>
    </row>
    <row r="704" spans="1:121" ht="13.5" customHeight="1" x14ac:dyDescent="0.3">
      <c r="A704" s="2"/>
      <c r="M704" s="2"/>
      <c r="Y704" s="2"/>
      <c r="AK704" s="2"/>
      <c r="AW704" s="2"/>
      <c r="BI704" s="2"/>
      <c r="BU704" s="2"/>
      <c r="CG704" s="2"/>
      <c r="CS704" s="2"/>
      <c r="DE704" s="2"/>
      <c r="DQ704" s="2"/>
    </row>
    <row r="705" spans="1:121" ht="13.5" customHeight="1" x14ac:dyDescent="0.3">
      <c r="A705" s="2"/>
      <c r="M705" s="2"/>
      <c r="Y705" s="2"/>
      <c r="AK705" s="2"/>
      <c r="AW705" s="2"/>
      <c r="BI705" s="2"/>
      <c r="BU705" s="2"/>
      <c r="CG705" s="2"/>
      <c r="CS705" s="2"/>
      <c r="DE705" s="2"/>
      <c r="DQ705" s="2"/>
    </row>
    <row r="706" spans="1:121" ht="13.5" customHeight="1" x14ac:dyDescent="0.3">
      <c r="A706" s="2"/>
      <c r="M706" s="2"/>
      <c r="Y706" s="2"/>
      <c r="AK706" s="2"/>
      <c r="AW706" s="2"/>
      <c r="BI706" s="2"/>
      <c r="BU706" s="2"/>
      <c r="CG706" s="2"/>
      <c r="CS706" s="2"/>
      <c r="DE706" s="2"/>
      <c r="DQ706" s="2"/>
    </row>
    <row r="707" spans="1:121" ht="13.5" customHeight="1" x14ac:dyDescent="0.3">
      <c r="A707" s="2"/>
      <c r="M707" s="2"/>
      <c r="Y707" s="2"/>
      <c r="AK707" s="2"/>
      <c r="AW707" s="2"/>
      <c r="BI707" s="2"/>
      <c r="BU707" s="2"/>
      <c r="CG707" s="2"/>
      <c r="CS707" s="2"/>
      <c r="DE707" s="2"/>
      <c r="DQ707" s="2"/>
    </row>
    <row r="708" spans="1:121" ht="13.5" customHeight="1" x14ac:dyDescent="0.3">
      <c r="A708" s="2"/>
      <c r="M708" s="2"/>
      <c r="Y708" s="2"/>
      <c r="AK708" s="2"/>
      <c r="AW708" s="2"/>
      <c r="BI708" s="2"/>
      <c r="BU708" s="2"/>
      <c r="CG708" s="2"/>
      <c r="CS708" s="2"/>
      <c r="DE708" s="2"/>
      <c r="DQ708" s="2"/>
    </row>
    <row r="709" spans="1:121" ht="13.5" customHeight="1" x14ac:dyDescent="0.3">
      <c r="A709" s="2"/>
      <c r="M709" s="2"/>
      <c r="Y709" s="2"/>
      <c r="AK709" s="2"/>
      <c r="AW709" s="2"/>
      <c r="BI709" s="2"/>
      <c r="BU709" s="2"/>
      <c r="CG709" s="2"/>
      <c r="CS709" s="2"/>
      <c r="DE709" s="2"/>
      <c r="DQ709" s="2"/>
    </row>
    <row r="710" spans="1:121" ht="13.5" customHeight="1" x14ac:dyDescent="0.3">
      <c r="A710" s="2"/>
      <c r="M710" s="2"/>
      <c r="Y710" s="2"/>
      <c r="AK710" s="2"/>
      <c r="AW710" s="2"/>
      <c r="BI710" s="2"/>
      <c r="BU710" s="2"/>
      <c r="CG710" s="2"/>
      <c r="CS710" s="2"/>
      <c r="DE710" s="2"/>
      <c r="DQ710" s="2"/>
    </row>
    <row r="711" spans="1:121" ht="13.5" customHeight="1" x14ac:dyDescent="0.3">
      <c r="A711" s="2"/>
      <c r="M711" s="2"/>
      <c r="Y711" s="2"/>
      <c r="AK711" s="2"/>
      <c r="AW711" s="2"/>
      <c r="BI711" s="2"/>
      <c r="BU711" s="2"/>
      <c r="CG711" s="2"/>
      <c r="CS711" s="2"/>
      <c r="DE711" s="2"/>
      <c r="DQ711" s="2"/>
    </row>
    <row r="712" spans="1:121" ht="13.5" customHeight="1" x14ac:dyDescent="0.3">
      <c r="A712" s="2"/>
      <c r="M712" s="2"/>
      <c r="Y712" s="2"/>
      <c r="AK712" s="2"/>
      <c r="AW712" s="2"/>
      <c r="BI712" s="2"/>
      <c r="BU712" s="2"/>
      <c r="CG712" s="2"/>
      <c r="CS712" s="2"/>
      <c r="DE712" s="2"/>
      <c r="DQ712" s="2"/>
    </row>
    <row r="713" spans="1:121" ht="13.5" customHeight="1" x14ac:dyDescent="0.3">
      <c r="A713" s="2"/>
      <c r="M713" s="2"/>
      <c r="Y713" s="2"/>
      <c r="AK713" s="2"/>
      <c r="AW713" s="2"/>
      <c r="BI713" s="2"/>
      <c r="BU713" s="2"/>
      <c r="CG713" s="2"/>
      <c r="CS713" s="2"/>
      <c r="DE713" s="2"/>
      <c r="DQ713" s="2"/>
    </row>
    <row r="714" spans="1:121" ht="13.5" customHeight="1" x14ac:dyDescent="0.3">
      <c r="A714" s="2"/>
      <c r="M714" s="2"/>
      <c r="Y714" s="2"/>
      <c r="AK714" s="2"/>
      <c r="AW714" s="2"/>
      <c r="BI714" s="2"/>
      <c r="BU714" s="2"/>
      <c r="CG714" s="2"/>
      <c r="CS714" s="2"/>
      <c r="DE714" s="2"/>
      <c r="DQ714" s="2"/>
    </row>
    <row r="715" spans="1:121" ht="13.5" customHeight="1" x14ac:dyDescent="0.3">
      <c r="A715" s="2"/>
      <c r="M715" s="2"/>
      <c r="Y715" s="2"/>
      <c r="AK715" s="2"/>
      <c r="AW715" s="2"/>
      <c r="BI715" s="2"/>
      <c r="BU715" s="2"/>
      <c r="CG715" s="2"/>
      <c r="CS715" s="2"/>
      <c r="DE715" s="2"/>
      <c r="DQ715" s="2"/>
    </row>
    <row r="716" spans="1:121" ht="13.5" customHeight="1" x14ac:dyDescent="0.3">
      <c r="A716" s="2"/>
      <c r="M716" s="2"/>
      <c r="Y716" s="2"/>
      <c r="AK716" s="2"/>
      <c r="AW716" s="2"/>
      <c r="BI716" s="2"/>
      <c r="BU716" s="2"/>
      <c r="CG716" s="2"/>
      <c r="CS716" s="2"/>
      <c r="DE716" s="2"/>
      <c r="DQ716" s="2"/>
    </row>
    <row r="717" spans="1:121" ht="13.5" customHeight="1" x14ac:dyDescent="0.3">
      <c r="A717" s="2"/>
      <c r="M717" s="2"/>
      <c r="Y717" s="2"/>
      <c r="AK717" s="2"/>
      <c r="AW717" s="2"/>
      <c r="BI717" s="2"/>
      <c r="BU717" s="2"/>
      <c r="CG717" s="2"/>
      <c r="CS717" s="2"/>
      <c r="DE717" s="2"/>
      <c r="DQ717" s="2"/>
    </row>
    <row r="718" spans="1:121" ht="13.5" customHeight="1" x14ac:dyDescent="0.3">
      <c r="A718" s="2"/>
      <c r="M718" s="2"/>
      <c r="Y718" s="2"/>
      <c r="AK718" s="2"/>
      <c r="AW718" s="2"/>
      <c r="BI718" s="2"/>
      <c r="BU718" s="2"/>
      <c r="CG718" s="2"/>
      <c r="CS718" s="2"/>
      <c r="DE718" s="2"/>
      <c r="DQ718" s="2"/>
    </row>
    <row r="719" spans="1:121" ht="13.5" customHeight="1" x14ac:dyDescent="0.3">
      <c r="A719" s="2"/>
      <c r="M719" s="2"/>
      <c r="Y719" s="2"/>
      <c r="AK719" s="2"/>
      <c r="AW719" s="2"/>
      <c r="BI719" s="2"/>
      <c r="BU719" s="2"/>
      <c r="CG719" s="2"/>
      <c r="CS719" s="2"/>
      <c r="DE719" s="2"/>
      <c r="DQ719" s="2"/>
    </row>
    <row r="720" spans="1:121" ht="13.5" customHeight="1" x14ac:dyDescent="0.3">
      <c r="A720" s="2"/>
      <c r="M720" s="2"/>
      <c r="Y720" s="2"/>
      <c r="AK720" s="2"/>
      <c r="AW720" s="2"/>
      <c r="BI720" s="2"/>
      <c r="BU720" s="2"/>
      <c r="CG720" s="2"/>
      <c r="CS720" s="2"/>
      <c r="DE720" s="2"/>
      <c r="DQ720" s="2"/>
    </row>
    <row r="721" spans="1:121" ht="13.5" customHeight="1" x14ac:dyDescent="0.3">
      <c r="A721" s="2"/>
      <c r="M721" s="2"/>
      <c r="Y721" s="2"/>
      <c r="AK721" s="2"/>
      <c r="AW721" s="2"/>
      <c r="BI721" s="2"/>
      <c r="BU721" s="2"/>
      <c r="CG721" s="2"/>
      <c r="CS721" s="2"/>
      <c r="DE721" s="2"/>
      <c r="DQ721" s="2"/>
    </row>
    <row r="722" spans="1:121" ht="13.5" customHeight="1" x14ac:dyDescent="0.3">
      <c r="A722" s="2"/>
      <c r="M722" s="2"/>
      <c r="Y722" s="2"/>
      <c r="AK722" s="2"/>
      <c r="AW722" s="2"/>
      <c r="BI722" s="2"/>
      <c r="BU722" s="2"/>
      <c r="CG722" s="2"/>
      <c r="CS722" s="2"/>
      <c r="DE722" s="2"/>
      <c r="DQ722" s="2"/>
    </row>
    <row r="723" spans="1:121" ht="13.5" customHeight="1" x14ac:dyDescent="0.3">
      <c r="A723" s="2"/>
      <c r="M723" s="2"/>
      <c r="Y723" s="2"/>
      <c r="AK723" s="2"/>
      <c r="AW723" s="2"/>
      <c r="BI723" s="2"/>
      <c r="BU723" s="2"/>
      <c r="CG723" s="2"/>
      <c r="CS723" s="2"/>
      <c r="DE723" s="2"/>
      <c r="DQ723" s="2"/>
    </row>
    <row r="724" spans="1:121" ht="13.5" customHeight="1" x14ac:dyDescent="0.3">
      <c r="A724" s="2"/>
      <c r="M724" s="2"/>
      <c r="Y724" s="2"/>
      <c r="AK724" s="2"/>
      <c r="AW724" s="2"/>
      <c r="BI724" s="2"/>
      <c r="BU724" s="2"/>
      <c r="CG724" s="2"/>
      <c r="CS724" s="2"/>
      <c r="DE724" s="2"/>
      <c r="DQ724" s="2"/>
    </row>
    <row r="725" spans="1:121" ht="13.5" customHeight="1" x14ac:dyDescent="0.3">
      <c r="A725" s="2"/>
      <c r="M725" s="2"/>
      <c r="Y725" s="2"/>
      <c r="AK725" s="2"/>
      <c r="AW725" s="2"/>
      <c r="BI725" s="2"/>
      <c r="BU725" s="2"/>
      <c r="CG725" s="2"/>
      <c r="CS725" s="2"/>
      <c r="DE725" s="2"/>
      <c r="DQ725" s="2"/>
    </row>
    <row r="726" spans="1:121" ht="13.5" customHeight="1" x14ac:dyDescent="0.3">
      <c r="A726" s="2"/>
      <c r="M726" s="2"/>
      <c r="Y726" s="2"/>
      <c r="AK726" s="2"/>
      <c r="AW726" s="2"/>
      <c r="BI726" s="2"/>
      <c r="BU726" s="2"/>
      <c r="CG726" s="2"/>
      <c r="CS726" s="2"/>
      <c r="DE726" s="2"/>
      <c r="DQ726" s="2"/>
    </row>
    <row r="727" spans="1:121" ht="13.5" customHeight="1" x14ac:dyDescent="0.3">
      <c r="A727" s="2"/>
      <c r="M727" s="2"/>
      <c r="Y727" s="2"/>
      <c r="AK727" s="2"/>
      <c r="AW727" s="2"/>
      <c r="BI727" s="2"/>
      <c r="BU727" s="2"/>
      <c r="CG727" s="2"/>
      <c r="CS727" s="2"/>
      <c r="DE727" s="2"/>
      <c r="DQ727" s="2"/>
    </row>
    <row r="728" spans="1:121" ht="13.5" customHeight="1" x14ac:dyDescent="0.3">
      <c r="A728" s="2"/>
      <c r="M728" s="2"/>
      <c r="Y728" s="2"/>
      <c r="AK728" s="2"/>
      <c r="AW728" s="2"/>
      <c r="BI728" s="2"/>
      <c r="BU728" s="2"/>
      <c r="CG728" s="2"/>
      <c r="CS728" s="2"/>
      <c r="DE728" s="2"/>
      <c r="DQ728" s="2"/>
    </row>
    <row r="729" spans="1:121" ht="13.5" customHeight="1" x14ac:dyDescent="0.3">
      <c r="A729" s="2"/>
      <c r="M729" s="2"/>
      <c r="Y729" s="2"/>
      <c r="AK729" s="2"/>
      <c r="AW729" s="2"/>
      <c r="BI729" s="2"/>
      <c r="BU729" s="2"/>
      <c r="CG729" s="2"/>
      <c r="CS729" s="2"/>
      <c r="DE729" s="2"/>
      <c r="DQ729" s="2"/>
    </row>
    <row r="730" spans="1:121" ht="13.5" customHeight="1" x14ac:dyDescent="0.3">
      <c r="A730" s="2"/>
      <c r="M730" s="2"/>
      <c r="Y730" s="2"/>
      <c r="AK730" s="2"/>
      <c r="AW730" s="2"/>
      <c r="BI730" s="2"/>
      <c r="BU730" s="2"/>
      <c r="CG730" s="2"/>
      <c r="CS730" s="2"/>
      <c r="DE730" s="2"/>
      <c r="DQ730" s="2"/>
    </row>
    <row r="731" spans="1:121" ht="13.5" customHeight="1" x14ac:dyDescent="0.3">
      <c r="A731" s="2"/>
      <c r="M731" s="2"/>
      <c r="Y731" s="2"/>
      <c r="AK731" s="2"/>
      <c r="AW731" s="2"/>
      <c r="BI731" s="2"/>
      <c r="BU731" s="2"/>
      <c r="CG731" s="2"/>
      <c r="CS731" s="2"/>
      <c r="DE731" s="2"/>
      <c r="DQ731" s="2"/>
    </row>
    <row r="732" spans="1:121" ht="13.5" customHeight="1" x14ac:dyDescent="0.3">
      <c r="A732" s="2"/>
      <c r="M732" s="2"/>
      <c r="Y732" s="2"/>
      <c r="AK732" s="2"/>
      <c r="AW732" s="2"/>
      <c r="BI732" s="2"/>
      <c r="BU732" s="2"/>
      <c r="CG732" s="2"/>
      <c r="CS732" s="2"/>
      <c r="DE732" s="2"/>
      <c r="DQ732" s="2"/>
    </row>
    <row r="733" spans="1:121" ht="13.5" customHeight="1" x14ac:dyDescent="0.3">
      <c r="A733" s="2"/>
      <c r="M733" s="2"/>
      <c r="Y733" s="2"/>
      <c r="AK733" s="2"/>
      <c r="AW733" s="2"/>
      <c r="BI733" s="2"/>
      <c r="BU733" s="2"/>
      <c r="CG733" s="2"/>
      <c r="CS733" s="2"/>
      <c r="DE733" s="2"/>
      <c r="DQ733" s="2"/>
    </row>
    <row r="734" spans="1:121" ht="13.5" customHeight="1" x14ac:dyDescent="0.3">
      <c r="A734" s="2"/>
      <c r="M734" s="2"/>
      <c r="Y734" s="2"/>
      <c r="AK734" s="2"/>
      <c r="AW734" s="2"/>
      <c r="BI734" s="2"/>
      <c r="BU734" s="2"/>
      <c r="CG734" s="2"/>
      <c r="CS734" s="2"/>
      <c r="DE734" s="2"/>
      <c r="DQ734" s="2"/>
    </row>
    <row r="735" spans="1:121" ht="13.5" customHeight="1" x14ac:dyDescent="0.3">
      <c r="A735" s="2"/>
      <c r="M735" s="2"/>
      <c r="Y735" s="2"/>
      <c r="AK735" s="2"/>
      <c r="AW735" s="2"/>
      <c r="BI735" s="2"/>
      <c r="BU735" s="2"/>
      <c r="CG735" s="2"/>
      <c r="CS735" s="2"/>
      <c r="DE735" s="2"/>
      <c r="DQ735" s="2"/>
    </row>
    <row r="736" spans="1:121" ht="13.5" customHeight="1" x14ac:dyDescent="0.3">
      <c r="A736" s="2"/>
      <c r="M736" s="2"/>
      <c r="Y736" s="2"/>
      <c r="AK736" s="2"/>
      <c r="AW736" s="2"/>
      <c r="BI736" s="2"/>
      <c r="BU736" s="2"/>
      <c r="CG736" s="2"/>
      <c r="CS736" s="2"/>
      <c r="DE736" s="2"/>
      <c r="DQ736" s="2"/>
    </row>
    <row r="737" spans="1:121" ht="13.5" customHeight="1" x14ac:dyDescent="0.3">
      <c r="A737" s="2"/>
      <c r="M737" s="2"/>
      <c r="Y737" s="2"/>
      <c r="AK737" s="2"/>
      <c r="AW737" s="2"/>
      <c r="BI737" s="2"/>
      <c r="BU737" s="2"/>
      <c r="CG737" s="2"/>
      <c r="CS737" s="2"/>
      <c r="DE737" s="2"/>
      <c r="DQ737" s="2"/>
    </row>
    <row r="738" spans="1:121" ht="13.5" customHeight="1" x14ac:dyDescent="0.3">
      <c r="A738" s="2"/>
      <c r="M738" s="2"/>
      <c r="Y738" s="2"/>
      <c r="AK738" s="2"/>
      <c r="AW738" s="2"/>
      <c r="BI738" s="2"/>
      <c r="BU738" s="2"/>
      <c r="CG738" s="2"/>
      <c r="CS738" s="2"/>
      <c r="DE738" s="2"/>
      <c r="DQ738" s="2"/>
    </row>
    <row r="739" spans="1:121" ht="13.5" customHeight="1" x14ac:dyDescent="0.3">
      <c r="A739" s="2"/>
      <c r="M739" s="2"/>
      <c r="Y739" s="2"/>
      <c r="AK739" s="2"/>
      <c r="AW739" s="2"/>
      <c r="BI739" s="2"/>
      <c r="BU739" s="2"/>
      <c r="CG739" s="2"/>
      <c r="CS739" s="2"/>
      <c r="DE739" s="2"/>
      <c r="DQ739" s="2"/>
    </row>
    <row r="740" spans="1:121" ht="13.5" customHeight="1" x14ac:dyDescent="0.3">
      <c r="A740" s="2"/>
      <c r="M740" s="2"/>
      <c r="Y740" s="2"/>
      <c r="AK740" s="2"/>
      <c r="AW740" s="2"/>
      <c r="BI740" s="2"/>
      <c r="BU740" s="2"/>
      <c r="CG740" s="2"/>
      <c r="CS740" s="2"/>
      <c r="DE740" s="2"/>
      <c r="DQ740" s="2"/>
    </row>
    <row r="741" spans="1:121" ht="13.5" customHeight="1" x14ac:dyDescent="0.3">
      <c r="A741" s="2"/>
      <c r="M741" s="2"/>
      <c r="Y741" s="2"/>
      <c r="AK741" s="2"/>
      <c r="AW741" s="2"/>
      <c r="BI741" s="2"/>
      <c r="BU741" s="2"/>
      <c r="CG741" s="2"/>
      <c r="CS741" s="2"/>
      <c r="DE741" s="2"/>
      <c r="DQ741" s="2"/>
    </row>
    <row r="742" spans="1:121" ht="13.5" customHeight="1" x14ac:dyDescent="0.3">
      <c r="A742" s="2"/>
      <c r="M742" s="2"/>
      <c r="Y742" s="2"/>
      <c r="AK742" s="2"/>
      <c r="AW742" s="2"/>
      <c r="BI742" s="2"/>
      <c r="BU742" s="2"/>
      <c r="CG742" s="2"/>
      <c r="CS742" s="2"/>
      <c r="DE742" s="2"/>
      <c r="DQ742" s="2"/>
    </row>
    <row r="743" spans="1:121" ht="13.5" customHeight="1" x14ac:dyDescent="0.3">
      <c r="A743" s="2"/>
      <c r="M743" s="2"/>
      <c r="Y743" s="2"/>
      <c r="AK743" s="2"/>
      <c r="AW743" s="2"/>
      <c r="BI743" s="2"/>
      <c r="BU743" s="2"/>
      <c r="CG743" s="2"/>
      <c r="CS743" s="2"/>
      <c r="DE743" s="2"/>
      <c r="DQ743" s="2"/>
    </row>
    <row r="744" spans="1:121" ht="13.5" customHeight="1" x14ac:dyDescent="0.3">
      <c r="A744" s="2"/>
      <c r="M744" s="2"/>
      <c r="Y744" s="2"/>
      <c r="AK744" s="2"/>
      <c r="AW744" s="2"/>
      <c r="BI744" s="2"/>
      <c r="BU744" s="2"/>
      <c r="CG744" s="2"/>
      <c r="CS744" s="2"/>
      <c r="DE744" s="2"/>
      <c r="DQ744" s="2"/>
    </row>
    <row r="745" spans="1:121" ht="13.5" customHeight="1" x14ac:dyDescent="0.3">
      <c r="A745" s="2"/>
      <c r="M745" s="2"/>
      <c r="Y745" s="2"/>
      <c r="AK745" s="2"/>
      <c r="AW745" s="2"/>
      <c r="BI745" s="2"/>
      <c r="BU745" s="2"/>
      <c r="CG745" s="2"/>
      <c r="CS745" s="2"/>
      <c r="DE745" s="2"/>
      <c r="DQ745" s="2"/>
    </row>
    <row r="746" spans="1:121" ht="13.5" customHeight="1" x14ac:dyDescent="0.3">
      <c r="A746" s="2"/>
      <c r="M746" s="2"/>
      <c r="Y746" s="2"/>
      <c r="AK746" s="2"/>
      <c r="AW746" s="2"/>
      <c r="BI746" s="2"/>
      <c r="BU746" s="2"/>
      <c r="CG746" s="2"/>
      <c r="CS746" s="2"/>
      <c r="DE746" s="2"/>
      <c r="DQ746" s="2"/>
    </row>
    <row r="747" spans="1:121" ht="13.5" customHeight="1" x14ac:dyDescent="0.3">
      <c r="A747" s="2"/>
      <c r="M747" s="2"/>
      <c r="Y747" s="2"/>
      <c r="AK747" s="2"/>
      <c r="AW747" s="2"/>
      <c r="BI747" s="2"/>
      <c r="BU747" s="2"/>
      <c r="CG747" s="2"/>
      <c r="CS747" s="2"/>
      <c r="DE747" s="2"/>
      <c r="DQ747" s="2"/>
    </row>
    <row r="748" spans="1:121" ht="13.5" customHeight="1" x14ac:dyDescent="0.3">
      <c r="A748" s="2"/>
      <c r="M748" s="2"/>
      <c r="Y748" s="2"/>
      <c r="AK748" s="2"/>
      <c r="AW748" s="2"/>
      <c r="BI748" s="2"/>
      <c r="BU748" s="2"/>
      <c r="CG748" s="2"/>
      <c r="CS748" s="2"/>
      <c r="DE748" s="2"/>
      <c r="DQ748" s="2"/>
    </row>
    <row r="749" spans="1:121" ht="13.5" customHeight="1" x14ac:dyDescent="0.3">
      <c r="A749" s="2"/>
      <c r="M749" s="2"/>
      <c r="Y749" s="2"/>
      <c r="AK749" s="2"/>
      <c r="AW749" s="2"/>
      <c r="BI749" s="2"/>
      <c r="BU749" s="2"/>
      <c r="CG749" s="2"/>
      <c r="CS749" s="2"/>
      <c r="DE749" s="2"/>
      <c r="DQ749" s="2"/>
    </row>
    <row r="750" spans="1:121" ht="13.5" customHeight="1" x14ac:dyDescent="0.3">
      <c r="A750" s="2"/>
      <c r="M750" s="2"/>
      <c r="Y750" s="2"/>
      <c r="AK750" s="2"/>
      <c r="AW750" s="2"/>
      <c r="BI750" s="2"/>
      <c r="BU750" s="2"/>
      <c r="CG750" s="2"/>
      <c r="CS750" s="2"/>
      <c r="DE750" s="2"/>
      <c r="DQ750" s="2"/>
    </row>
    <row r="751" spans="1:121" ht="13.5" customHeight="1" x14ac:dyDescent="0.3">
      <c r="A751" s="2"/>
      <c r="M751" s="2"/>
      <c r="Y751" s="2"/>
      <c r="AK751" s="2"/>
      <c r="AW751" s="2"/>
      <c r="BI751" s="2"/>
      <c r="BU751" s="2"/>
      <c r="CG751" s="2"/>
      <c r="CS751" s="2"/>
      <c r="DE751" s="2"/>
      <c r="DQ751" s="2"/>
    </row>
    <row r="752" spans="1:121" ht="13.5" customHeight="1" x14ac:dyDescent="0.3">
      <c r="A752" s="2"/>
      <c r="M752" s="2"/>
      <c r="Y752" s="2"/>
      <c r="AK752" s="2"/>
      <c r="AW752" s="2"/>
      <c r="BI752" s="2"/>
      <c r="BU752" s="2"/>
      <c r="CG752" s="2"/>
      <c r="CS752" s="2"/>
      <c r="DE752" s="2"/>
      <c r="DQ752" s="2"/>
    </row>
    <row r="753" spans="1:121" ht="13.5" customHeight="1" x14ac:dyDescent="0.3">
      <c r="A753" s="2"/>
      <c r="M753" s="2"/>
      <c r="Y753" s="2"/>
      <c r="AK753" s="2"/>
      <c r="AW753" s="2"/>
      <c r="BI753" s="2"/>
      <c r="BU753" s="2"/>
      <c r="CG753" s="2"/>
      <c r="CS753" s="2"/>
      <c r="DE753" s="2"/>
      <c r="DQ753" s="2"/>
    </row>
    <row r="754" spans="1:121" ht="13.5" customHeight="1" x14ac:dyDescent="0.3">
      <c r="A754" s="2"/>
      <c r="M754" s="2"/>
      <c r="Y754" s="2"/>
      <c r="AK754" s="2"/>
      <c r="AW754" s="2"/>
      <c r="BI754" s="2"/>
      <c r="BU754" s="2"/>
      <c r="CG754" s="2"/>
      <c r="CS754" s="2"/>
      <c r="DE754" s="2"/>
      <c r="DQ754" s="2"/>
    </row>
    <row r="755" spans="1:121" ht="13.5" customHeight="1" x14ac:dyDescent="0.3">
      <c r="A755" s="2"/>
      <c r="M755" s="2"/>
      <c r="Y755" s="2"/>
      <c r="AK755" s="2"/>
      <c r="AW755" s="2"/>
      <c r="BI755" s="2"/>
      <c r="BU755" s="2"/>
      <c r="CG755" s="2"/>
      <c r="CS755" s="2"/>
      <c r="DE755" s="2"/>
      <c r="DQ755" s="2"/>
    </row>
    <row r="756" spans="1:121" ht="13.5" customHeight="1" x14ac:dyDescent="0.3">
      <c r="A756" s="2"/>
      <c r="M756" s="2"/>
      <c r="Y756" s="2"/>
      <c r="AK756" s="2"/>
      <c r="AW756" s="2"/>
      <c r="BI756" s="2"/>
      <c r="BU756" s="2"/>
      <c r="CG756" s="2"/>
      <c r="CS756" s="2"/>
      <c r="DE756" s="2"/>
      <c r="DQ756" s="2"/>
    </row>
    <row r="757" spans="1:121" ht="13.5" customHeight="1" x14ac:dyDescent="0.3">
      <c r="A757" s="2"/>
      <c r="M757" s="2"/>
      <c r="Y757" s="2"/>
      <c r="AK757" s="2"/>
      <c r="AW757" s="2"/>
      <c r="BI757" s="2"/>
      <c r="BU757" s="2"/>
      <c r="CG757" s="2"/>
      <c r="CS757" s="2"/>
      <c r="DE757" s="2"/>
      <c r="DQ757" s="2"/>
    </row>
    <row r="758" spans="1:121" ht="13.5" customHeight="1" x14ac:dyDescent="0.3">
      <c r="A758" s="2"/>
      <c r="M758" s="2"/>
      <c r="Y758" s="2"/>
      <c r="AK758" s="2"/>
      <c r="AW758" s="2"/>
      <c r="BI758" s="2"/>
      <c r="BU758" s="2"/>
      <c r="CG758" s="2"/>
      <c r="CS758" s="2"/>
      <c r="DE758" s="2"/>
      <c r="DQ758" s="2"/>
    </row>
    <row r="759" spans="1:121" ht="13.5" customHeight="1" x14ac:dyDescent="0.3">
      <c r="A759" s="2"/>
      <c r="M759" s="2"/>
      <c r="Y759" s="2"/>
      <c r="AK759" s="2"/>
      <c r="AW759" s="2"/>
      <c r="BI759" s="2"/>
      <c r="BU759" s="2"/>
      <c r="CG759" s="2"/>
      <c r="CS759" s="2"/>
      <c r="DE759" s="2"/>
      <c r="DQ759" s="2"/>
    </row>
    <row r="760" spans="1:121" ht="13.5" customHeight="1" x14ac:dyDescent="0.3">
      <c r="A760" s="2"/>
      <c r="M760" s="2"/>
      <c r="Y760" s="2"/>
      <c r="AK760" s="2"/>
      <c r="AW760" s="2"/>
      <c r="BI760" s="2"/>
      <c r="BU760" s="2"/>
      <c r="CG760" s="2"/>
      <c r="CS760" s="2"/>
      <c r="DE760" s="2"/>
      <c r="DQ760" s="2"/>
    </row>
    <row r="761" spans="1:121" ht="13.5" customHeight="1" x14ac:dyDescent="0.3">
      <c r="A761" s="2"/>
      <c r="M761" s="2"/>
      <c r="Y761" s="2"/>
      <c r="AK761" s="2"/>
      <c r="AW761" s="2"/>
      <c r="BI761" s="2"/>
      <c r="BU761" s="2"/>
      <c r="CG761" s="2"/>
      <c r="CS761" s="2"/>
      <c r="DE761" s="2"/>
      <c r="DQ761" s="2"/>
    </row>
    <row r="762" spans="1:121" ht="13.5" customHeight="1" x14ac:dyDescent="0.3">
      <c r="A762" s="2"/>
      <c r="M762" s="2"/>
      <c r="Y762" s="2"/>
      <c r="AK762" s="2"/>
      <c r="AW762" s="2"/>
      <c r="BI762" s="2"/>
      <c r="BU762" s="2"/>
      <c r="CG762" s="2"/>
      <c r="CS762" s="2"/>
      <c r="DE762" s="2"/>
      <c r="DQ762" s="2"/>
    </row>
    <row r="763" spans="1:121" ht="13.5" customHeight="1" x14ac:dyDescent="0.3">
      <c r="A763" s="2"/>
      <c r="M763" s="2"/>
      <c r="Y763" s="2"/>
      <c r="AK763" s="2"/>
      <c r="AW763" s="2"/>
      <c r="BI763" s="2"/>
      <c r="BU763" s="2"/>
      <c r="CG763" s="2"/>
      <c r="CS763" s="2"/>
      <c r="DE763" s="2"/>
      <c r="DQ763" s="2"/>
    </row>
    <row r="764" spans="1:121" ht="13.5" customHeight="1" x14ac:dyDescent="0.3">
      <c r="A764" s="2"/>
      <c r="M764" s="2"/>
      <c r="Y764" s="2"/>
      <c r="AK764" s="2"/>
      <c r="AW764" s="2"/>
      <c r="BI764" s="2"/>
      <c r="BU764" s="2"/>
      <c r="CG764" s="2"/>
      <c r="CS764" s="2"/>
      <c r="DE764" s="2"/>
      <c r="DQ764" s="2"/>
    </row>
    <row r="765" spans="1:121" ht="13.5" customHeight="1" x14ac:dyDescent="0.3">
      <c r="A765" s="2"/>
      <c r="M765" s="2"/>
      <c r="Y765" s="2"/>
      <c r="AK765" s="2"/>
      <c r="AW765" s="2"/>
      <c r="BI765" s="2"/>
      <c r="BU765" s="2"/>
      <c r="CG765" s="2"/>
      <c r="CS765" s="2"/>
      <c r="DE765" s="2"/>
      <c r="DQ765" s="2"/>
    </row>
    <row r="766" spans="1:121" ht="13.5" customHeight="1" x14ac:dyDescent="0.3">
      <c r="A766" s="2"/>
      <c r="M766" s="2"/>
      <c r="Y766" s="2"/>
      <c r="AK766" s="2"/>
      <c r="AW766" s="2"/>
      <c r="BI766" s="2"/>
      <c r="BU766" s="2"/>
      <c r="CG766" s="2"/>
      <c r="CS766" s="2"/>
      <c r="DE766" s="2"/>
      <c r="DQ766" s="2"/>
    </row>
    <row r="767" spans="1:121" ht="13.5" customHeight="1" x14ac:dyDescent="0.3">
      <c r="A767" s="2"/>
      <c r="M767" s="2"/>
      <c r="Y767" s="2"/>
      <c r="AK767" s="2"/>
      <c r="AW767" s="2"/>
      <c r="BI767" s="2"/>
      <c r="BU767" s="2"/>
      <c r="CG767" s="2"/>
      <c r="CS767" s="2"/>
      <c r="DE767" s="2"/>
      <c r="DQ767" s="2"/>
    </row>
    <row r="768" spans="1:121" ht="13.5" customHeight="1" x14ac:dyDescent="0.3">
      <c r="A768" s="2"/>
      <c r="M768" s="2"/>
      <c r="Y768" s="2"/>
      <c r="AK768" s="2"/>
      <c r="AW768" s="2"/>
      <c r="BI768" s="2"/>
      <c r="BU768" s="2"/>
      <c r="CG768" s="2"/>
      <c r="CS768" s="2"/>
      <c r="DE768" s="2"/>
      <c r="DQ768" s="2"/>
    </row>
    <row r="769" spans="1:121" ht="13.5" customHeight="1" x14ac:dyDescent="0.3">
      <c r="A769" s="2"/>
      <c r="M769" s="2"/>
      <c r="Y769" s="2"/>
      <c r="AK769" s="2"/>
      <c r="AW769" s="2"/>
      <c r="BI769" s="2"/>
      <c r="BU769" s="2"/>
      <c r="CG769" s="2"/>
      <c r="CS769" s="2"/>
      <c r="DE769" s="2"/>
      <c r="DQ769" s="2"/>
    </row>
    <row r="770" spans="1:121" ht="13.5" customHeight="1" x14ac:dyDescent="0.3">
      <c r="A770" s="2"/>
      <c r="M770" s="2"/>
      <c r="Y770" s="2"/>
      <c r="AK770" s="2"/>
      <c r="AW770" s="2"/>
      <c r="BI770" s="2"/>
      <c r="BU770" s="2"/>
      <c r="CG770" s="2"/>
      <c r="CS770" s="2"/>
      <c r="DE770" s="2"/>
      <c r="DQ770" s="2"/>
    </row>
    <row r="771" spans="1:121" ht="13.5" customHeight="1" x14ac:dyDescent="0.3">
      <c r="A771" s="2"/>
      <c r="M771" s="2"/>
      <c r="Y771" s="2"/>
      <c r="AK771" s="2"/>
      <c r="AW771" s="2"/>
      <c r="BI771" s="2"/>
      <c r="BU771" s="2"/>
      <c r="CG771" s="2"/>
      <c r="CS771" s="2"/>
      <c r="DE771" s="2"/>
      <c r="DQ771" s="2"/>
    </row>
    <row r="772" spans="1:121" ht="13.5" customHeight="1" x14ac:dyDescent="0.3">
      <c r="A772" s="2"/>
      <c r="M772" s="2"/>
      <c r="Y772" s="2"/>
      <c r="AK772" s="2"/>
      <c r="AW772" s="2"/>
      <c r="BI772" s="2"/>
      <c r="BU772" s="2"/>
      <c r="CG772" s="2"/>
      <c r="CS772" s="2"/>
      <c r="DE772" s="2"/>
      <c r="DQ772" s="2"/>
    </row>
    <row r="773" spans="1:121" ht="13.5" customHeight="1" x14ac:dyDescent="0.3">
      <c r="A773" s="2"/>
      <c r="M773" s="2"/>
      <c r="Y773" s="2"/>
      <c r="AK773" s="2"/>
      <c r="AW773" s="2"/>
      <c r="BI773" s="2"/>
      <c r="BU773" s="2"/>
      <c r="CG773" s="2"/>
      <c r="CS773" s="2"/>
      <c r="DE773" s="2"/>
      <c r="DQ773" s="2"/>
    </row>
    <row r="774" spans="1:121" ht="13.5" customHeight="1" x14ac:dyDescent="0.3">
      <c r="A774" s="2"/>
      <c r="M774" s="2"/>
      <c r="Y774" s="2"/>
      <c r="AK774" s="2"/>
      <c r="AW774" s="2"/>
      <c r="BI774" s="2"/>
      <c r="BU774" s="2"/>
      <c r="CG774" s="2"/>
      <c r="CS774" s="2"/>
      <c r="DE774" s="2"/>
      <c r="DQ774" s="2"/>
    </row>
    <row r="775" spans="1:121" ht="13.5" customHeight="1" x14ac:dyDescent="0.3">
      <c r="A775" s="2"/>
      <c r="M775" s="2"/>
      <c r="Y775" s="2"/>
      <c r="AK775" s="2"/>
      <c r="AW775" s="2"/>
      <c r="BI775" s="2"/>
      <c r="BU775" s="2"/>
      <c r="CG775" s="2"/>
      <c r="CS775" s="2"/>
      <c r="DE775" s="2"/>
      <c r="DQ775" s="2"/>
    </row>
    <row r="776" spans="1:121" ht="13.5" customHeight="1" x14ac:dyDescent="0.3">
      <c r="A776" s="2"/>
      <c r="M776" s="2"/>
      <c r="Y776" s="2"/>
      <c r="AK776" s="2"/>
      <c r="AW776" s="2"/>
      <c r="BI776" s="2"/>
      <c r="BU776" s="2"/>
      <c r="CG776" s="2"/>
      <c r="CS776" s="2"/>
      <c r="DE776" s="2"/>
      <c r="DQ776" s="2"/>
    </row>
    <row r="777" spans="1:121" ht="13.5" customHeight="1" x14ac:dyDescent="0.3">
      <c r="A777" s="2"/>
      <c r="M777" s="2"/>
      <c r="Y777" s="2"/>
      <c r="AK777" s="2"/>
      <c r="AW777" s="2"/>
      <c r="BI777" s="2"/>
      <c r="BU777" s="2"/>
      <c r="CG777" s="2"/>
      <c r="CS777" s="2"/>
      <c r="DE777" s="2"/>
      <c r="DQ777" s="2"/>
    </row>
    <row r="778" spans="1:121" ht="13.5" customHeight="1" x14ac:dyDescent="0.3">
      <c r="A778" s="2"/>
      <c r="M778" s="2"/>
      <c r="Y778" s="2"/>
      <c r="AK778" s="2"/>
      <c r="AW778" s="2"/>
      <c r="BI778" s="2"/>
      <c r="BU778" s="2"/>
      <c r="CG778" s="2"/>
      <c r="CS778" s="2"/>
      <c r="DE778" s="2"/>
      <c r="DQ778" s="2"/>
    </row>
    <row r="779" spans="1:121" ht="13.5" customHeight="1" x14ac:dyDescent="0.3">
      <c r="A779" s="2"/>
      <c r="M779" s="2"/>
      <c r="Y779" s="2"/>
      <c r="AK779" s="2"/>
      <c r="AW779" s="2"/>
      <c r="BI779" s="2"/>
      <c r="BU779" s="2"/>
      <c r="CG779" s="2"/>
      <c r="CS779" s="2"/>
      <c r="DE779" s="2"/>
      <c r="DQ779" s="2"/>
    </row>
    <row r="780" spans="1:121" ht="13.5" customHeight="1" x14ac:dyDescent="0.3">
      <c r="A780" s="2"/>
      <c r="M780" s="2"/>
      <c r="Y780" s="2"/>
      <c r="AK780" s="2"/>
      <c r="AW780" s="2"/>
      <c r="BI780" s="2"/>
      <c r="BU780" s="2"/>
      <c r="CG780" s="2"/>
      <c r="CS780" s="2"/>
      <c r="DE780" s="2"/>
      <c r="DQ780" s="2"/>
    </row>
    <row r="781" spans="1:121" ht="13.5" customHeight="1" x14ac:dyDescent="0.3">
      <c r="A781" s="2"/>
      <c r="M781" s="2"/>
      <c r="Y781" s="2"/>
      <c r="AK781" s="2"/>
      <c r="AW781" s="2"/>
      <c r="BI781" s="2"/>
      <c r="BU781" s="2"/>
      <c r="CG781" s="2"/>
      <c r="CS781" s="2"/>
      <c r="DE781" s="2"/>
      <c r="DQ781" s="2"/>
    </row>
    <row r="782" spans="1:121" ht="13.5" customHeight="1" x14ac:dyDescent="0.3">
      <c r="A782" s="2"/>
      <c r="M782" s="2"/>
      <c r="Y782" s="2"/>
      <c r="AK782" s="2"/>
      <c r="AW782" s="2"/>
      <c r="BI782" s="2"/>
      <c r="BU782" s="2"/>
      <c r="CG782" s="2"/>
      <c r="CS782" s="2"/>
      <c r="DE782" s="2"/>
      <c r="DQ782" s="2"/>
    </row>
    <row r="783" spans="1:121" ht="13.5" customHeight="1" x14ac:dyDescent="0.3">
      <c r="A783" s="2"/>
      <c r="M783" s="2"/>
      <c r="Y783" s="2"/>
      <c r="AK783" s="2"/>
      <c r="AW783" s="2"/>
      <c r="BI783" s="2"/>
      <c r="BU783" s="2"/>
      <c r="CG783" s="2"/>
      <c r="CS783" s="2"/>
      <c r="DE783" s="2"/>
      <c r="DQ783" s="2"/>
    </row>
    <row r="784" spans="1:121" ht="13.5" customHeight="1" x14ac:dyDescent="0.3">
      <c r="A784" s="2"/>
      <c r="M784" s="2"/>
      <c r="Y784" s="2"/>
      <c r="AK784" s="2"/>
      <c r="AW784" s="2"/>
      <c r="BI784" s="2"/>
      <c r="BU784" s="2"/>
      <c r="CG784" s="2"/>
      <c r="CS784" s="2"/>
      <c r="DE784" s="2"/>
      <c r="DQ784" s="2"/>
    </row>
    <row r="785" spans="1:121" ht="13.5" customHeight="1" x14ac:dyDescent="0.3">
      <c r="A785" s="2"/>
      <c r="M785" s="2"/>
      <c r="Y785" s="2"/>
      <c r="AK785" s="2"/>
      <c r="AW785" s="2"/>
      <c r="BI785" s="2"/>
      <c r="BU785" s="2"/>
      <c r="CG785" s="2"/>
      <c r="CS785" s="2"/>
      <c r="DE785" s="2"/>
      <c r="DQ785" s="2"/>
    </row>
    <row r="786" spans="1:121" ht="13.5" customHeight="1" x14ac:dyDescent="0.3">
      <c r="A786" s="2"/>
      <c r="M786" s="2"/>
      <c r="Y786" s="2"/>
      <c r="AK786" s="2"/>
      <c r="AW786" s="2"/>
      <c r="BI786" s="2"/>
      <c r="BU786" s="2"/>
      <c r="CG786" s="2"/>
      <c r="CS786" s="2"/>
      <c r="DE786" s="2"/>
      <c r="DQ786" s="2"/>
    </row>
    <row r="787" spans="1:121" ht="13.5" customHeight="1" x14ac:dyDescent="0.3">
      <c r="A787" s="2"/>
      <c r="M787" s="2"/>
      <c r="Y787" s="2"/>
      <c r="AK787" s="2"/>
      <c r="AW787" s="2"/>
      <c r="BI787" s="2"/>
      <c r="BU787" s="2"/>
      <c r="CG787" s="2"/>
      <c r="CS787" s="2"/>
      <c r="DE787" s="2"/>
      <c r="DQ787" s="2"/>
    </row>
    <row r="788" spans="1:121" ht="13.5" customHeight="1" x14ac:dyDescent="0.3">
      <c r="A788" s="2"/>
      <c r="M788" s="2"/>
      <c r="Y788" s="2"/>
      <c r="AK788" s="2"/>
      <c r="AW788" s="2"/>
      <c r="BI788" s="2"/>
      <c r="BU788" s="2"/>
      <c r="CG788" s="2"/>
      <c r="CS788" s="2"/>
      <c r="DE788" s="2"/>
      <c r="DQ788" s="2"/>
    </row>
    <row r="789" spans="1:121" ht="13.5" customHeight="1" x14ac:dyDescent="0.3">
      <c r="A789" s="2"/>
      <c r="M789" s="2"/>
      <c r="Y789" s="2"/>
      <c r="AK789" s="2"/>
      <c r="AW789" s="2"/>
      <c r="BI789" s="2"/>
      <c r="BU789" s="2"/>
      <c r="CG789" s="2"/>
      <c r="CS789" s="2"/>
      <c r="DE789" s="2"/>
      <c r="DQ789" s="2"/>
    </row>
    <row r="790" spans="1:121" ht="13.5" customHeight="1" x14ac:dyDescent="0.3">
      <c r="A790" s="2"/>
      <c r="M790" s="2"/>
      <c r="Y790" s="2"/>
      <c r="AK790" s="2"/>
      <c r="AW790" s="2"/>
      <c r="BI790" s="2"/>
      <c r="BU790" s="2"/>
      <c r="CG790" s="2"/>
      <c r="CS790" s="2"/>
      <c r="DE790" s="2"/>
      <c r="DQ790" s="2"/>
    </row>
    <row r="791" spans="1:121" ht="13.5" customHeight="1" x14ac:dyDescent="0.3">
      <c r="A791" s="2"/>
      <c r="M791" s="2"/>
      <c r="Y791" s="2"/>
      <c r="AK791" s="2"/>
      <c r="AW791" s="2"/>
      <c r="BI791" s="2"/>
      <c r="BU791" s="2"/>
      <c r="CG791" s="2"/>
      <c r="CS791" s="2"/>
      <c r="DE791" s="2"/>
      <c r="DQ791" s="2"/>
    </row>
    <row r="792" spans="1:121" ht="13.5" customHeight="1" x14ac:dyDescent="0.3">
      <c r="A792" s="2"/>
      <c r="M792" s="2"/>
      <c r="Y792" s="2"/>
      <c r="AK792" s="2"/>
      <c r="AW792" s="2"/>
      <c r="BI792" s="2"/>
      <c r="BU792" s="2"/>
      <c r="CG792" s="2"/>
      <c r="CS792" s="2"/>
      <c r="DE792" s="2"/>
      <c r="DQ792" s="2"/>
    </row>
    <row r="793" spans="1:121" ht="13.5" customHeight="1" x14ac:dyDescent="0.3">
      <c r="A793" s="2"/>
      <c r="M793" s="2"/>
      <c r="Y793" s="2"/>
      <c r="AK793" s="2"/>
      <c r="AW793" s="2"/>
      <c r="BI793" s="2"/>
      <c r="BU793" s="2"/>
      <c r="CG793" s="2"/>
      <c r="CS793" s="2"/>
      <c r="DE793" s="2"/>
      <c r="DQ793" s="2"/>
    </row>
    <row r="794" spans="1:121" ht="13.5" customHeight="1" x14ac:dyDescent="0.3">
      <c r="A794" s="2"/>
      <c r="M794" s="2"/>
      <c r="Y794" s="2"/>
      <c r="AK794" s="2"/>
      <c r="AW794" s="2"/>
      <c r="BI794" s="2"/>
      <c r="BU794" s="2"/>
      <c r="CG794" s="2"/>
      <c r="CS794" s="2"/>
      <c r="DE794" s="2"/>
      <c r="DQ794" s="2"/>
    </row>
    <row r="795" spans="1:121" ht="13.5" customHeight="1" x14ac:dyDescent="0.3">
      <c r="A795" s="2"/>
      <c r="M795" s="2"/>
      <c r="Y795" s="2"/>
      <c r="AK795" s="2"/>
      <c r="AW795" s="2"/>
      <c r="BI795" s="2"/>
      <c r="BU795" s="2"/>
      <c r="CG795" s="2"/>
      <c r="CS795" s="2"/>
      <c r="DE795" s="2"/>
      <c r="DQ795" s="2"/>
    </row>
    <row r="796" spans="1:121" ht="13.5" customHeight="1" x14ac:dyDescent="0.3">
      <c r="A796" s="2"/>
      <c r="M796" s="2"/>
      <c r="Y796" s="2"/>
      <c r="AK796" s="2"/>
      <c r="AW796" s="2"/>
      <c r="BI796" s="2"/>
      <c r="BU796" s="2"/>
      <c r="CG796" s="2"/>
      <c r="CS796" s="2"/>
      <c r="DE796" s="2"/>
      <c r="DQ796" s="2"/>
    </row>
    <row r="797" spans="1:121" ht="13.5" customHeight="1" x14ac:dyDescent="0.3">
      <c r="A797" s="2"/>
      <c r="M797" s="2"/>
      <c r="Y797" s="2"/>
      <c r="AK797" s="2"/>
      <c r="AW797" s="2"/>
      <c r="BI797" s="2"/>
      <c r="BU797" s="2"/>
      <c r="CG797" s="2"/>
      <c r="CS797" s="2"/>
      <c r="DE797" s="2"/>
      <c r="DQ797" s="2"/>
    </row>
    <row r="798" spans="1:121" ht="13.5" customHeight="1" x14ac:dyDescent="0.3">
      <c r="A798" s="2"/>
      <c r="M798" s="2"/>
      <c r="Y798" s="2"/>
      <c r="AK798" s="2"/>
      <c r="AW798" s="2"/>
      <c r="BI798" s="2"/>
      <c r="BU798" s="2"/>
      <c r="CG798" s="2"/>
      <c r="CS798" s="2"/>
      <c r="DE798" s="2"/>
      <c r="DQ798" s="2"/>
    </row>
    <row r="799" spans="1:121" ht="13.5" customHeight="1" x14ac:dyDescent="0.3">
      <c r="A799" s="2"/>
      <c r="M799" s="2"/>
      <c r="Y799" s="2"/>
      <c r="AK799" s="2"/>
      <c r="AW799" s="2"/>
      <c r="BI799" s="2"/>
      <c r="BU799" s="2"/>
      <c r="CG799" s="2"/>
      <c r="CS799" s="2"/>
      <c r="DE799" s="2"/>
      <c r="DQ799" s="2"/>
    </row>
    <row r="800" spans="1:121" ht="13.5" customHeight="1" x14ac:dyDescent="0.3">
      <c r="A800" s="2"/>
      <c r="M800" s="2"/>
      <c r="Y800" s="2"/>
      <c r="AK800" s="2"/>
      <c r="AW800" s="2"/>
      <c r="BI800" s="2"/>
      <c r="BU800" s="2"/>
      <c r="CG800" s="2"/>
      <c r="CS800" s="2"/>
      <c r="DE800" s="2"/>
      <c r="DQ800" s="2"/>
    </row>
    <row r="801" spans="1:121" ht="13.5" customHeight="1" x14ac:dyDescent="0.3">
      <c r="A801" s="2"/>
      <c r="M801" s="2"/>
      <c r="Y801" s="2"/>
      <c r="AK801" s="2"/>
      <c r="AW801" s="2"/>
      <c r="BI801" s="2"/>
      <c r="BU801" s="2"/>
      <c r="CG801" s="2"/>
      <c r="CS801" s="2"/>
      <c r="DE801" s="2"/>
      <c r="DQ801" s="2"/>
    </row>
    <row r="802" spans="1:121" ht="13.5" customHeight="1" x14ac:dyDescent="0.3">
      <c r="A802" s="2"/>
      <c r="M802" s="2"/>
      <c r="Y802" s="2"/>
      <c r="AK802" s="2"/>
      <c r="AW802" s="2"/>
      <c r="BI802" s="2"/>
      <c r="BU802" s="2"/>
      <c r="CG802" s="2"/>
      <c r="CS802" s="2"/>
      <c r="DE802" s="2"/>
      <c r="DQ802" s="2"/>
    </row>
    <row r="803" spans="1:121" ht="13.5" customHeight="1" x14ac:dyDescent="0.3">
      <c r="A803" s="2"/>
      <c r="M803" s="2"/>
      <c r="Y803" s="2"/>
      <c r="AK803" s="2"/>
      <c r="AW803" s="2"/>
      <c r="BI803" s="2"/>
      <c r="BU803" s="2"/>
      <c r="CG803" s="2"/>
      <c r="CS803" s="2"/>
      <c r="DE803" s="2"/>
      <c r="DQ803" s="2"/>
    </row>
    <row r="804" spans="1:121" ht="13.5" customHeight="1" x14ac:dyDescent="0.3">
      <c r="A804" s="2"/>
      <c r="M804" s="2"/>
      <c r="Y804" s="2"/>
      <c r="AK804" s="2"/>
      <c r="AW804" s="2"/>
      <c r="BI804" s="2"/>
      <c r="BU804" s="2"/>
      <c r="CG804" s="2"/>
      <c r="CS804" s="2"/>
      <c r="DE804" s="2"/>
      <c r="DQ804" s="2"/>
    </row>
    <row r="805" spans="1:121" ht="13.5" customHeight="1" x14ac:dyDescent="0.3">
      <c r="A805" s="2"/>
      <c r="M805" s="2"/>
      <c r="Y805" s="2"/>
      <c r="AK805" s="2"/>
      <c r="AW805" s="2"/>
      <c r="BI805" s="2"/>
      <c r="BU805" s="2"/>
      <c r="CG805" s="2"/>
      <c r="CS805" s="2"/>
      <c r="DE805" s="2"/>
      <c r="DQ805" s="2"/>
    </row>
    <row r="806" spans="1:121" ht="13.5" customHeight="1" x14ac:dyDescent="0.3">
      <c r="A806" s="2"/>
      <c r="M806" s="2"/>
      <c r="Y806" s="2"/>
      <c r="AK806" s="2"/>
      <c r="AW806" s="2"/>
      <c r="BI806" s="2"/>
      <c r="BU806" s="2"/>
      <c r="CG806" s="2"/>
      <c r="CS806" s="2"/>
      <c r="DE806" s="2"/>
      <c r="DQ806" s="2"/>
    </row>
    <row r="807" spans="1:121" ht="13.5" customHeight="1" x14ac:dyDescent="0.3">
      <c r="A807" s="2"/>
      <c r="M807" s="2"/>
      <c r="Y807" s="2"/>
      <c r="AK807" s="2"/>
      <c r="AW807" s="2"/>
      <c r="BI807" s="2"/>
      <c r="BU807" s="2"/>
      <c r="CG807" s="2"/>
      <c r="CS807" s="2"/>
      <c r="DE807" s="2"/>
      <c r="DQ807" s="2"/>
    </row>
    <row r="808" spans="1:121" ht="13.5" customHeight="1" x14ac:dyDescent="0.3">
      <c r="A808" s="2"/>
      <c r="M808" s="2"/>
      <c r="Y808" s="2"/>
      <c r="AK808" s="2"/>
      <c r="AW808" s="2"/>
      <c r="BI808" s="2"/>
      <c r="BU808" s="2"/>
      <c r="CG808" s="2"/>
      <c r="CS808" s="2"/>
      <c r="DE808" s="2"/>
      <c r="DQ808" s="2"/>
    </row>
    <row r="809" spans="1:121" ht="13.5" customHeight="1" x14ac:dyDescent="0.3">
      <c r="A809" s="2"/>
      <c r="M809" s="2"/>
      <c r="Y809" s="2"/>
      <c r="AK809" s="2"/>
      <c r="AW809" s="2"/>
      <c r="BI809" s="2"/>
      <c r="BU809" s="2"/>
      <c r="CG809" s="2"/>
      <c r="CS809" s="2"/>
      <c r="DE809" s="2"/>
      <c r="DQ809" s="2"/>
    </row>
    <row r="810" spans="1:121" ht="13.5" customHeight="1" x14ac:dyDescent="0.3">
      <c r="A810" s="2"/>
      <c r="M810" s="2"/>
      <c r="Y810" s="2"/>
      <c r="AK810" s="2"/>
      <c r="AW810" s="2"/>
      <c r="BI810" s="2"/>
      <c r="BU810" s="2"/>
      <c r="CG810" s="2"/>
      <c r="CS810" s="2"/>
      <c r="DE810" s="2"/>
      <c r="DQ810" s="2"/>
    </row>
    <row r="811" spans="1:121" ht="13.5" customHeight="1" x14ac:dyDescent="0.3">
      <c r="A811" s="2"/>
      <c r="M811" s="2"/>
      <c r="Y811" s="2"/>
      <c r="AK811" s="2"/>
      <c r="AW811" s="2"/>
      <c r="BI811" s="2"/>
      <c r="BU811" s="2"/>
      <c r="CG811" s="2"/>
      <c r="CS811" s="2"/>
      <c r="DE811" s="2"/>
      <c r="DQ811" s="2"/>
    </row>
    <row r="812" spans="1:121" ht="13.5" customHeight="1" x14ac:dyDescent="0.3">
      <c r="A812" s="2"/>
      <c r="M812" s="2"/>
      <c r="Y812" s="2"/>
      <c r="AK812" s="2"/>
      <c r="AW812" s="2"/>
      <c r="BI812" s="2"/>
      <c r="BU812" s="2"/>
      <c r="CG812" s="2"/>
      <c r="CS812" s="2"/>
      <c r="DE812" s="2"/>
      <c r="DQ812" s="2"/>
    </row>
    <row r="813" spans="1:121" ht="13.5" customHeight="1" x14ac:dyDescent="0.3">
      <c r="A813" s="2"/>
      <c r="M813" s="2"/>
      <c r="Y813" s="2"/>
      <c r="AK813" s="2"/>
      <c r="AW813" s="2"/>
      <c r="BI813" s="2"/>
      <c r="BU813" s="2"/>
      <c r="CG813" s="2"/>
      <c r="CS813" s="2"/>
      <c r="DE813" s="2"/>
      <c r="DQ813" s="2"/>
    </row>
    <row r="814" spans="1:121" ht="13.5" customHeight="1" x14ac:dyDescent="0.3">
      <c r="A814" s="2"/>
      <c r="M814" s="2"/>
      <c r="Y814" s="2"/>
      <c r="AK814" s="2"/>
      <c r="AW814" s="2"/>
      <c r="BI814" s="2"/>
      <c r="BU814" s="2"/>
      <c r="CG814" s="2"/>
      <c r="CS814" s="2"/>
      <c r="DE814" s="2"/>
      <c r="DQ814" s="2"/>
    </row>
    <row r="815" spans="1:121" ht="13.5" customHeight="1" x14ac:dyDescent="0.3">
      <c r="A815" s="2"/>
      <c r="M815" s="2"/>
      <c r="Y815" s="2"/>
      <c r="AK815" s="2"/>
      <c r="AW815" s="2"/>
      <c r="BI815" s="2"/>
      <c r="BU815" s="2"/>
      <c r="CG815" s="2"/>
      <c r="CS815" s="2"/>
      <c r="DE815" s="2"/>
      <c r="DQ815" s="2"/>
    </row>
    <row r="816" spans="1:121" ht="13.5" customHeight="1" x14ac:dyDescent="0.3">
      <c r="A816" s="2"/>
      <c r="M816" s="2"/>
      <c r="Y816" s="2"/>
      <c r="AK816" s="2"/>
      <c r="AW816" s="2"/>
      <c r="BI816" s="2"/>
      <c r="BU816" s="2"/>
      <c r="CG816" s="2"/>
      <c r="CS816" s="2"/>
      <c r="DE816" s="2"/>
      <c r="DQ816" s="2"/>
    </row>
    <row r="817" spans="1:121" ht="13.5" customHeight="1" x14ac:dyDescent="0.3">
      <c r="A817" s="2"/>
      <c r="M817" s="2"/>
      <c r="Y817" s="2"/>
      <c r="AK817" s="2"/>
      <c r="AW817" s="2"/>
      <c r="BI817" s="2"/>
      <c r="BU817" s="2"/>
      <c r="CG817" s="2"/>
      <c r="CS817" s="2"/>
      <c r="DE817" s="2"/>
      <c r="DQ817" s="2"/>
    </row>
    <row r="818" spans="1:121" ht="13.5" customHeight="1" x14ac:dyDescent="0.3">
      <c r="A818" s="2"/>
      <c r="M818" s="2"/>
      <c r="Y818" s="2"/>
      <c r="AK818" s="2"/>
      <c r="AW818" s="2"/>
      <c r="BI818" s="2"/>
      <c r="BU818" s="2"/>
      <c r="CG818" s="2"/>
      <c r="CS818" s="2"/>
      <c r="DE818" s="2"/>
      <c r="DQ818" s="2"/>
    </row>
    <row r="819" spans="1:121" ht="13.5" customHeight="1" x14ac:dyDescent="0.3">
      <c r="A819" s="2"/>
      <c r="M819" s="2"/>
      <c r="Y819" s="2"/>
      <c r="AK819" s="2"/>
      <c r="AW819" s="2"/>
      <c r="BI819" s="2"/>
      <c r="BU819" s="2"/>
      <c r="CG819" s="2"/>
      <c r="CS819" s="2"/>
      <c r="DE819" s="2"/>
      <c r="DQ819" s="2"/>
    </row>
    <row r="820" spans="1:121" ht="13.5" customHeight="1" x14ac:dyDescent="0.3">
      <c r="A820" s="2"/>
      <c r="M820" s="2"/>
      <c r="Y820" s="2"/>
      <c r="AK820" s="2"/>
      <c r="AW820" s="2"/>
      <c r="BI820" s="2"/>
      <c r="BU820" s="2"/>
      <c r="CG820" s="2"/>
      <c r="CS820" s="2"/>
      <c r="DE820" s="2"/>
      <c r="DQ820" s="2"/>
    </row>
    <row r="821" spans="1:121" ht="13.5" customHeight="1" x14ac:dyDescent="0.3">
      <c r="A821" s="2"/>
      <c r="M821" s="2"/>
      <c r="Y821" s="2"/>
      <c r="AK821" s="2"/>
      <c r="AW821" s="2"/>
      <c r="BI821" s="2"/>
      <c r="BU821" s="2"/>
      <c r="CG821" s="2"/>
      <c r="CS821" s="2"/>
      <c r="DE821" s="2"/>
      <c r="DQ821" s="2"/>
    </row>
    <row r="822" spans="1:121" ht="13.5" customHeight="1" x14ac:dyDescent="0.3">
      <c r="A822" s="2"/>
      <c r="M822" s="2"/>
      <c r="Y822" s="2"/>
      <c r="AK822" s="2"/>
      <c r="AW822" s="2"/>
      <c r="BI822" s="2"/>
      <c r="BU822" s="2"/>
      <c r="CG822" s="2"/>
      <c r="CS822" s="2"/>
      <c r="DE822" s="2"/>
      <c r="DQ822" s="2"/>
    </row>
    <row r="823" spans="1:121" ht="13.5" customHeight="1" x14ac:dyDescent="0.3">
      <c r="A823" s="2"/>
      <c r="M823" s="2"/>
      <c r="Y823" s="2"/>
      <c r="AK823" s="2"/>
      <c r="AW823" s="2"/>
      <c r="BI823" s="2"/>
      <c r="BU823" s="2"/>
      <c r="CG823" s="2"/>
      <c r="CS823" s="2"/>
      <c r="DE823" s="2"/>
      <c r="DQ823" s="2"/>
    </row>
    <row r="824" spans="1:121" ht="13.5" customHeight="1" x14ac:dyDescent="0.3">
      <c r="A824" s="2"/>
      <c r="M824" s="2"/>
      <c r="Y824" s="2"/>
      <c r="AK824" s="2"/>
      <c r="AW824" s="2"/>
      <c r="BI824" s="2"/>
      <c r="BU824" s="2"/>
      <c r="CG824" s="2"/>
      <c r="CS824" s="2"/>
      <c r="DE824" s="2"/>
      <c r="DQ824" s="2"/>
    </row>
    <row r="825" spans="1:121" ht="13.5" customHeight="1" x14ac:dyDescent="0.3">
      <c r="A825" s="2"/>
      <c r="M825" s="2"/>
      <c r="Y825" s="2"/>
      <c r="AK825" s="2"/>
      <c r="AW825" s="2"/>
      <c r="BI825" s="2"/>
      <c r="BU825" s="2"/>
      <c r="CG825" s="2"/>
      <c r="CS825" s="2"/>
      <c r="DE825" s="2"/>
      <c r="DQ825" s="2"/>
    </row>
    <row r="826" spans="1:121" ht="13.5" customHeight="1" x14ac:dyDescent="0.3">
      <c r="A826" s="2"/>
      <c r="M826" s="2"/>
      <c r="Y826" s="2"/>
      <c r="AK826" s="2"/>
      <c r="AW826" s="2"/>
      <c r="BI826" s="2"/>
      <c r="BU826" s="2"/>
      <c r="CG826" s="2"/>
      <c r="CS826" s="2"/>
      <c r="DE826" s="2"/>
      <c r="DQ826" s="2"/>
    </row>
    <row r="827" spans="1:121" ht="13.5" customHeight="1" x14ac:dyDescent="0.3">
      <c r="A827" s="2"/>
      <c r="M827" s="2"/>
      <c r="Y827" s="2"/>
      <c r="AK827" s="2"/>
      <c r="AW827" s="2"/>
      <c r="BI827" s="2"/>
      <c r="BU827" s="2"/>
      <c r="CG827" s="2"/>
      <c r="CS827" s="2"/>
      <c r="DE827" s="2"/>
      <c r="DQ827" s="2"/>
    </row>
    <row r="828" spans="1:121" ht="13.5" customHeight="1" x14ac:dyDescent="0.3">
      <c r="A828" s="2"/>
      <c r="M828" s="2"/>
      <c r="Y828" s="2"/>
      <c r="AK828" s="2"/>
      <c r="AW828" s="2"/>
      <c r="BI828" s="2"/>
      <c r="BU828" s="2"/>
      <c r="CG828" s="2"/>
      <c r="CS828" s="2"/>
      <c r="DE828" s="2"/>
      <c r="DQ828" s="2"/>
    </row>
    <row r="829" spans="1:121" ht="13.5" customHeight="1" x14ac:dyDescent="0.3">
      <c r="A829" s="2"/>
      <c r="M829" s="2"/>
      <c r="Y829" s="2"/>
      <c r="AK829" s="2"/>
      <c r="AW829" s="2"/>
      <c r="BI829" s="2"/>
      <c r="BU829" s="2"/>
      <c r="CG829" s="2"/>
      <c r="CS829" s="2"/>
      <c r="DE829" s="2"/>
      <c r="DQ829" s="2"/>
    </row>
    <row r="830" spans="1:121" ht="13.5" customHeight="1" x14ac:dyDescent="0.3">
      <c r="A830" s="2"/>
      <c r="M830" s="2"/>
      <c r="Y830" s="2"/>
      <c r="AK830" s="2"/>
      <c r="AW830" s="2"/>
      <c r="BI830" s="2"/>
      <c r="BU830" s="2"/>
      <c r="CG830" s="2"/>
      <c r="CS830" s="2"/>
      <c r="DE830" s="2"/>
      <c r="DQ830" s="2"/>
    </row>
    <row r="831" spans="1:121" ht="13.5" customHeight="1" x14ac:dyDescent="0.3">
      <c r="A831" s="2"/>
      <c r="M831" s="2"/>
      <c r="Y831" s="2"/>
      <c r="AK831" s="2"/>
      <c r="AW831" s="2"/>
      <c r="BI831" s="2"/>
      <c r="BU831" s="2"/>
      <c r="CG831" s="2"/>
      <c r="CS831" s="2"/>
      <c r="DE831" s="2"/>
      <c r="DQ831" s="2"/>
    </row>
    <row r="832" spans="1:121" ht="13.5" customHeight="1" x14ac:dyDescent="0.3">
      <c r="A832" s="2"/>
      <c r="M832" s="2"/>
      <c r="Y832" s="2"/>
      <c r="AK832" s="2"/>
      <c r="AW832" s="2"/>
      <c r="BI832" s="2"/>
      <c r="BU832" s="2"/>
      <c r="CG832" s="2"/>
      <c r="CS832" s="2"/>
      <c r="DE832" s="2"/>
      <c r="DQ832" s="2"/>
    </row>
    <row r="833" spans="1:121" ht="13.5" customHeight="1" x14ac:dyDescent="0.3">
      <c r="A833" s="2"/>
      <c r="M833" s="2"/>
      <c r="Y833" s="2"/>
      <c r="AK833" s="2"/>
      <c r="AW833" s="2"/>
      <c r="BI833" s="2"/>
      <c r="BU833" s="2"/>
      <c r="CG833" s="2"/>
      <c r="CS833" s="2"/>
      <c r="DE833" s="2"/>
      <c r="DQ833" s="2"/>
    </row>
    <row r="834" spans="1:121" ht="13.5" customHeight="1" x14ac:dyDescent="0.3">
      <c r="A834" s="2"/>
      <c r="M834" s="2"/>
      <c r="Y834" s="2"/>
      <c r="AK834" s="2"/>
      <c r="AW834" s="2"/>
      <c r="BI834" s="2"/>
      <c r="BU834" s="2"/>
      <c r="CG834" s="2"/>
      <c r="CS834" s="2"/>
      <c r="DE834" s="2"/>
      <c r="DQ834" s="2"/>
    </row>
    <row r="835" spans="1:121" ht="13.5" customHeight="1" x14ac:dyDescent="0.3">
      <c r="A835" s="2"/>
      <c r="M835" s="2"/>
      <c r="Y835" s="2"/>
      <c r="AK835" s="2"/>
      <c r="AW835" s="2"/>
      <c r="BI835" s="2"/>
      <c r="BU835" s="2"/>
      <c r="CG835" s="2"/>
      <c r="CS835" s="2"/>
      <c r="DE835" s="2"/>
      <c r="DQ835" s="2"/>
    </row>
    <row r="836" spans="1:121" ht="13.5" customHeight="1" x14ac:dyDescent="0.3">
      <c r="A836" s="2"/>
      <c r="M836" s="2"/>
      <c r="Y836" s="2"/>
      <c r="AK836" s="2"/>
      <c r="AW836" s="2"/>
      <c r="BI836" s="2"/>
      <c r="BU836" s="2"/>
      <c r="CG836" s="2"/>
      <c r="CS836" s="2"/>
      <c r="DE836" s="2"/>
      <c r="DQ836" s="2"/>
    </row>
    <row r="837" spans="1:121" ht="13.5" customHeight="1" x14ac:dyDescent="0.3">
      <c r="A837" s="2"/>
      <c r="M837" s="2"/>
      <c r="Y837" s="2"/>
      <c r="AK837" s="2"/>
      <c r="AW837" s="2"/>
      <c r="BI837" s="2"/>
      <c r="BU837" s="2"/>
      <c r="CG837" s="2"/>
      <c r="CS837" s="2"/>
      <c r="DE837" s="2"/>
      <c r="DQ837" s="2"/>
    </row>
    <row r="838" spans="1:121" ht="13.5" customHeight="1" x14ac:dyDescent="0.3">
      <c r="A838" s="2"/>
      <c r="M838" s="2"/>
      <c r="Y838" s="2"/>
      <c r="AK838" s="2"/>
      <c r="AW838" s="2"/>
      <c r="BI838" s="2"/>
      <c r="BU838" s="2"/>
      <c r="CG838" s="2"/>
      <c r="CS838" s="2"/>
      <c r="DE838" s="2"/>
      <c r="DQ838" s="2"/>
    </row>
    <row r="839" spans="1:121" ht="13.5" customHeight="1" x14ac:dyDescent="0.3">
      <c r="A839" s="2"/>
      <c r="M839" s="2"/>
      <c r="Y839" s="2"/>
      <c r="AK839" s="2"/>
      <c r="AW839" s="2"/>
      <c r="BI839" s="2"/>
      <c r="BU839" s="2"/>
      <c r="CG839" s="2"/>
      <c r="CS839" s="2"/>
      <c r="DE839" s="2"/>
      <c r="DQ839" s="2"/>
    </row>
    <row r="840" spans="1:121" ht="13.5" customHeight="1" x14ac:dyDescent="0.3">
      <c r="A840" s="2"/>
      <c r="M840" s="2"/>
      <c r="Y840" s="2"/>
      <c r="AK840" s="2"/>
      <c r="AW840" s="2"/>
      <c r="BI840" s="2"/>
      <c r="BU840" s="2"/>
      <c r="CG840" s="2"/>
      <c r="CS840" s="2"/>
      <c r="DE840" s="2"/>
      <c r="DQ840" s="2"/>
    </row>
    <row r="841" spans="1:121" ht="13.5" customHeight="1" x14ac:dyDescent="0.3">
      <c r="A841" s="2"/>
      <c r="M841" s="2"/>
      <c r="Y841" s="2"/>
      <c r="AK841" s="2"/>
      <c r="AW841" s="2"/>
      <c r="BI841" s="2"/>
      <c r="BU841" s="2"/>
      <c r="CG841" s="2"/>
      <c r="CS841" s="2"/>
      <c r="DE841" s="2"/>
      <c r="DQ841" s="2"/>
    </row>
    <row r="842" spans="1:121" ht="13.5" customHeight="1" x14ac:dyDescent="0.3">
      <c r="A842" s="2"/>
      <c r="M842" s="2"/>
      <c r="Y842" s="2"/>
      <c r="AK842" s="2"/>
      <c r="AW842" s="2"/>
      <c r="BI842" s="2"/>
      <c r="BU842" s="2"/>
      <c r="CG842" s="2"/>
      <c r="CS842" s="2"/>
      <c r="DE842" s="2"/>
      <c r="DQ842" s="2"/>
    </row>
    <row r="843" spans="1:121" ht="13.5" customHeight="1" x14ac:dyDescent="0.3">
      <c r="A843" s="2"/>
      <c r="M843" s="2"/>
      <c r="Y843" s="2"/>
      <c r="AK843" s="2"/>
      <c r="AW843" s="2"/>
      <c r="BI843" s="2"/>
      <c r="BU843" s="2"/>
      <c r="CG843" s="2"/>
      <c r="CS843" s="2"/>
      <c r="DE843" s="2"/>
      <c r="DQ843" s="2"/>
    </row>
    <row r="844" spans="1:121" ht="13.5" customHeight="1" x14ac:dyDescent="0.3">
      <c r="A844" s="2"/>
      <c r="M844" s="2"/>
      <c r="Y844" s="2"/>
      <c r="AK844" s="2"/>
      <c r="AW844" s="2"/>
      <c r="BI844" s="2"/>
      <c r="BU844" s="2"/>
      <c r="CG844" s="2"/>
      <c r="CS844" s="2"/>
      <c r="DE844" s="2"/>
      <c r="DQ844" s="2"/>
    </row>
    <row r="845" spans="1:121" ht="13.5" customHeight="1" x14ac:dyDescent="0.3">
      <c r="A845" s="2"/>
      <c r="M845" s="2"/>
      <c r="Y845" s="2"/>
      <c r="AK845" s="2"/>
      <c r="AW845" s="2"/>
      <c r="BI845" s="2"/>
      <c r="BU845" s="2"/>
      <c r="CG845" s="2"/>
      <c r="CS845" s="2"/>
      <c r="DE845" s="2"/>
      <c r="DQ845" s="2"/>
    </row>
    <row r="846" spans="1:121" ht="13.5" customHeight="1" x14ac:dyDescent="0.3">
      <c r="A846" s="2"/>
      <c r="M846" s="2"/>
      <c r="Y846" s="2"/>
      <c r="AK846" s="2"/>
      <c r="AW846" s="2"/>
      <c r="BI846" s="2"/>
      <c r="BU846" s="2"/>
      <c r="CG846" s="2"/>
      <c r="CS846" s="2"/>
      <c r="DE846" s="2"/>
      <c r="DQ846" s="2"/>
    </row>
    <row r="847" spans="1:121" ht="13.5" customHeight="1" x14ac:dyDescent="0.3">
      <c r="A847" s="2"/>
      <c r="M847" s="2"/>
      <c r="Y847" s="2"/>
      <c r="AK847" s="2"/>
      <c r="AW847" s="2"/>
      <c r="BI847" s="2"/>
      <c r="BU847" s="2"/>
      <c r="CG847" s="2"/>
      <c r="CS847" s="2"/>
      <c r="DE847" s="2"/>
      <c r="DQ847" s="2"/>
    </row>
    <row r="848" spans="1:121" ht="13.5" customHeight="1" x14ac:dyDescent="0.3">
      <c r="A848" s="2"/>
      <c r="M848" s="2"/>
      <c r="Y848" s="2"/>
      <c r="AK848" s="2"/>
      <c r="AW848" s="2"/>
      <c r="BI848" s="2"/>
      <c r="BU848" s="2"/>
      <c r="CG848" s="2"/>
      <c r="CS848" s="2"/>
      <c r="DE848" s="2"/>
      <c r="DQ848" s="2"/>
    </row>
    <row r="849" spans="1:121" ht="13.5" customHeight="1" x14ac:dyDescent="0.3">
      <c r="A849" s="2"/>
      <c r="M849" s="2"/>
      <c r="Y849" s="2"/>
      <c r="AK849" s="2"/>
      <c r="AW849" s="2"/>
      <c r="BI849" s="2"/>
      <c r="BU849" s="2"/>
      <c r="CG849" s="2"/>
      <c r="CS849" s="2"/>
      <c r="DE849" s="2"/>
      <c r="DQ849" s="2"/>
    </row>
    <row r="850" spans="1:121" ht="13.5" customHeight="1" x14ac:dyDescent="0.3">
      <c r="A850" s="2"/>
      <c r="M850" s="2"/>
      <c r="Y850" s="2"/>
      <c r="AK850" s="2"/>
      <c r="AW850" s="2"/>
      <c r="BI850" s="2"/>
      <c r="BU850" s="2"/>
      <c r="CG850" s="2"/>
      <c r="CS850" s="2"/>
      <c r="DE850" s="2"/>
      <c r="DQ850" s="2"/>
    </row>
    <row r="851" spans="1:121" ht="13.5" customHeight="1" x14ac:dyDescent="0.3">
      <c r="A851" s="2"/>
      <c r="M851" s="2"/>
      <c r="Y851" s="2"/>
      <c r="AK851" s="2"/>
      <c r="AW851" s="2"/>
      <c r="BI851" s="2"/>
      <c r="BU851" s="2"/>
      <c r="CG851" s="2"/>
      <c r="CS851" s="2"/>
      <c r="DE851" s="2"/>
      <c r="DQ851" s="2"/>
    </row>
    <row r="852" spans="1:121" ht="13.5" customHeight="1" x14ac:dyDescent="0.3">
      <c r="A852" s="2"/>
      <c r="M852" s="2"/>
      <c r="Y852" s="2"/>
      <c r="AK852" s="2"/>
      <c r="AW852" s="2"/>
      <c r="BI852" s="2"/>
      <c r="BU852" s="2"/>
      <c r="CG852" s="2"/>
      <c r="CS852" s="2"/>
      <c r="DE852" s="2"/>
      <c r="DQ852" s="2"/>
    </row>
    <row r="853" spans="1:121" ht="13.5" customHeight="1" x14ac:dyDescent="0.3">
      <c r="A853" s="2"/>
      <c r="M853" s="2"/>
      <c r="Y853" s="2"/>
      <c r="AK853" s="2"/>
      <c r="AW853" s="2"/>
      <c r="BI853" s="2"/>
      <c r="BU853" s="2"/>
      <c r="CG853" s="2"/>
      <c r="CS853" s="2"/>
      <c r="DE853" s="2"/>
      <c r="DQ853" s="2"/>
    </row>
    <row r="854" spans="1:121" ht="13.5" customHeight="1" x14ac:dyDescent="0.3">
      <c r="A854" s="2"/>
      <c r="M854" s="2"/>
      <c r="Y854" s="2"/>
      <c r="AK854" s="2"/>
      <c r="AW854" s="2"/>
      <c r="BI854" s="2"/>
      <c r="BU854" s="2"/>
      <c r="CG854" s="2"/>
      <c r="CS854" s="2"/>
      <c r="DE854" s="2"/>
      <c r="DQ854" s="2"/>
    </row>
    <row r="855" spans="1:121" ht="13.5" customHeight="1" x14ac:dyDescent="0.3">
      <c r="A855" s="2"/>
      <c r="M855" s="2"/>
      <c r="Y855" s="2"/>
      <c r="AK855" s="2"/>
      <c r="AW855" s="2"/>
      <c r="BI855" s="2"/>
      <c r="BU855" s="2"/>
      <c r="CG855" s="2"/>
      <c r="CS855" s="2"/>
      <c r="DE855" s="2"/>
      <c r="DQ855" s="2"/>
    </row>
    <row r="856" spans="1:121" ht="13.5" customHeight="1" x14ac:dyDescent="0.3">
      <c r="A856" s="2"/>
      <c r="M856" s="2"/>
      <c r="Y856" s="2"/>
      <c r="AK856" s="2"/>
      <c r="AW856" s="2"/>
      <c r="BI856" s="2"/>
      <c r="BU856" s="2"/>
      <c r="CG856" s="2"/>
      <c r="CS856" s="2"/>
      <c r="DE856" s="2"/>
      <c r="DQ856" s="2"/>
    </row>
    <row r="857" spans="1:121" ht="13.5" customHeight="1" x14ac:dyDescent="0.3">
      <c r="A857" s="2"/>
      <c r="M857" s="2"/>
      <c r="Y857" s="2"/>
      <c r="AK857" s="2"/>
      <c r="AW857" s="2"/>
      <c r="BI857" s="2"/>
      <c r="BU857" s="2"/>
      <c r="CG857" s="2"/>
      <c r="CS857" s="2"/>
      <c r="DE857" s="2"/>
      <c r="DQ857" s="2"/>
    </row>
    <row r="858" spans="1:121" ht="13.5" customHeight="1" x14ac:dyDescent="0.3">
      <c r="A858" s="2"/>
      <c r="M858" s="2"/>
      <c r="Y858" s="2"/>
      <c r="AK858" s="2"/>
      <c r="AW858" s="2"/>
      <c r="BI858" s="2"/>
      <c r="BU858" s="2"/>
      <c r="CG858" s="2"/>
      <c r="CS858" s="2"/>
      <c r="DE858" s="2"/>
      <c r="DQ858" s="2"/>
    </row>
    <row r="859" spans="1:121" ht="13.5" customHeight="1" x14ac:dyDescent="0.3">
      <c r="A859" s="2"/>
      <c r="M859" s="2"/>
      <c r="Y859" s="2"/>
      <c r="AK859" s="2"/>
      <c r="AW859" s="2"/>
      <c r="BI859" s="2"/>
      <c r="BU859" s="2"/>
      <c r="CG859" s="2"/>
      <c r="CS859" s="2"/>
      <c r="DE859" s="2"/>
      <c r="DQ859" s="2"/>
    </row>
    <row r="860" spans="1:121" ht="13.5" customHeight="1" x14ac:dyDescent="0.3">
      <c r="A860" s="2"/>
      <c r="M860" s="2"/>
      <c r="Y860" s="2"/>
      <c r="AK860" s="2"/>
      <c r="AW860" s="2"/>
      <c r="BI860" s="2"/>
      <c r="BU860" s="2"/>
      <c r="CG860" s="2"/>
      <c r="CS860" s="2"/>
      <c r="DE860" s="2"/>
      <c r="DQ860" s="2"/>
    </row>
    <row r="861" spans="1:121" ht="13.5" customHeight="1" x14ac:dyDescent="0.3">
      <c r="A861" s="2"/>
      <c r="M861" s="2"/>
      <c r="Y861" s="2"/>
      <c r="AK861" s="2"/>
      <c r="AW861" s="2"/>
      <c r="BI861" s="2"/>
      <c r="BU861" s="2"/>
      <c r="CG861" s="2"/>
      <c r="CS861" s="2"/>
      <c r="DE861" s="2"/>
      <c r="DQ861" s="2"/>
    </row>
    <row r="862" spans="1:121" ht="13.5" customHeight="1" x14ac:dyDescent="0.3">
      <c r="A862" s="2"/>
      <c r="M862" s="2"/>
      <c r="Y862" s="2"/>
      <c r="AK862" s="2"/>
      <c r="AW862" s="2"/>
      <c r="BI862" s="2"/>
      <c r="BU862" s="2"/>
      <c r="CG862" s="2"/>
      <c r="CS862" s="2"/>
      <c r="DE862" s="2"/>
      <c r="DQ862" s="2"/>
    </row>
    <row r="863" spans="1:121" ht="13.5" customHeight="1" x14ac:dyDescent="0.3">
      <c r="A863" s="2"/>
      <c r="M863" s="2"/>
      <c r="Y863" s="2"/>
      <c r="AK863" s="2"/>
      <c r="AW863" s="2"/>
      <c r="BI863" s="2"/>
      <c r="BU863" s="2"/>
      <c r="CG863" s="2"/>
      <c r="CS863" s="2"/>
      <c r="DE863" s="2"/>
      <c r="DQ863" s="2"/>
    </row>
    <row r="864" spans="1:121" ht="13.5" customHeight="1" x14ac:dyDescent="0.3">
      <c r="A864" s="2"/>
      <c r="M864" s="2"/>
      <c r="Y864" s="2"/>
      <c r="AK864" s="2"/>
      <c r="AW864" s="2"/>
      <c r="BI864" s="2"/>
      <c r="BU864" s="2"/>
      <c r="CG864" s="2"/>
      <c r="CS864" s="2"/>
      <c r="DE864" s="2"/>
      <c r="DQ864" s="2"/>
    </row>
    <row r="865" spans="1:121" ht="13.5" customHeight="1" x14ac:dyDescent="0.3">
      <c r="A865" s="2"/>
      <c r="M865" s="2"/>
      <c r="Y865" s="2"/>
      <c r="AK865" s="2"/>
      <c r="AW865" s="2"/>
      <c r="BI865" s="2"/>
      <c r="BU865" s="2"/>
      <c r="CG865" s="2"/>
      <c r="CS865" s="2"/>
      <c r="DE865" s="2"/>
      <c r="DQ865" s="2"/>
    </row>
    <row r="866" spans="1:121" ht="13.5" customHeight="1" x14ac:dyDescent="0.3">
      <c r="A866" s="2"/>
      <c r="M866" s="2"/>
      <c r="Y866" s="2"/>
      <c r="AK866" s="2"/>
      <c r="AW866" s="2"/>
      <c r="BI866" s="2"/>
      <c r="BU866" s="2"/>
      <c r="CG866" s="2"/>
      <c r="CS866" s="2"/>
      <c r="DE866" s="2"/>
      <c r="DQ866" s="2"/>
    </row>
    <row r="867" spans="1:121" ht="13.5" customHeight="1" x14ac:dyDescent="0.3">
      <c r="A867" s="2"/>
      <c r="M867" s="2"/>
      <c r="Y867" s="2"/>
      <c r="AK867" s="2"/>
      <c r="AW867" s="2"/>
      <c r="BI867" s="2"/>
      <c r="BU867" s="2"/>
      <c r="CG867" s="2"/>
      <c r="CS867" s="2"/>
      <c r="DE867" s="2"/>
      <c r="DQ867" s="2"/>
    </row>
    <row r="868" spans="1:121" ht="13.5" customHeight="1" x14ac:dyDescent="0.3">
      <c r="A868" s="2"/>
      <c r="M868" s="2"/>
      <c r="Y868" s="2"/>
      <c r="AK868" s="2"/>
      <c r="AW868" s="2"/>
      <c r="BI868" s="2"/>
      <c r="BU868" s="2"/>
      <c r="CG868" s="2"/>
      <c r="CS868" s="2"/>
      <c r="DE868" s="2"/>
      <c r="DQ868" s="2"/>
    </row>
    <row r="869" spans="1:121" ht="13.5" customHeight="1" x14ac:dyDescent="0.3">
      <c r="A869" s="2"/>
      <c r="M869" s="2"/>
      <c r="Y869" s="2"/>
      <c r="AK869" s="2"/>
      <c r="AW869" s="2"/>
      <c r="BI869" s="2"/>
      <c r="BU869" s="2"/>
      <c r="CG869" s="2"/>
      <c r="CS869" s="2"/>
      <c r="DE869" s="2"/>
      <c r="DQ869" s="2"/>
    </row>
    <row r="870" spans="1:121" ht="13.5" customHeight="1" x14ac:dyDescent="0.3">
      <c r="A870" s="2"/>
      <c r="M870" s="2"/>
      <c r="Y870" s="2"/>
      <c r="AK870" s="2"/>
      <c r="AW870" s="2"/>
      <c r="BI870" s="2"/>
      <c r="BU870" s="2"/>
      <c r="CG870" s="2"/>
      <c r="CS870" s="2"/>
      <c r="DE870" s="2"/>
      <c r="DQ870" s="2"/>
    </row>
    <row r="871" spans="1:121" ht="13.5" customHeight="1" x14ac:dyDescent="0.3">
      <c r="A871" s="2"/>
      <c r="M871" s="2"/>
      <c r="Y871" s="2"/>
      <c r="AK871" s="2"/>
      <c r="AW871" s="2"/>
      <c r="BI871" s="2"/>
      <c r="BU871" s="2"/>
      <c r="CG871" s="2"/>
      <c r="CS871" s="2"/>
      <c r="DE871" s="2"/>
      <c r="DQ871" s="2"/>
    </row>
    <row r="872" spans="1:121" ht="13.5" customHeight="1" x14ac:dyDescent="0.3">
      <c r="A872" s="2"/>
      <c r="M872" s="2"/>
      <c r="Y872" s="2"/>
      <c r="AK872" s="2"/>
      <c r="AW872" s="2"/>
      <c r="BI872" s="2"/>
      <c r="BU872" s="2"/>
      <c r="CG872" s="2"/>
      <c r="CS872" s="2"/>
      <c r="DE872" s="2"/>
      <c r="DQ872" s="2"/>
    </row>
    <row r="873" spans="1:121" ht="13.5" customHeight="1" x14ac:dyDescent="0.3">
      <c r="A873" s="2"/>
      <c r="M873" s="2"/>
      <c r="Y873" s="2"/>
      <c r="AK873" s="2"/>
      <c r="AW873" s="2"/>
      <c r="BI873" s="2"/>
      <c r="BU873" s="2"/>
      <c r="CG873" s="2"/>
      <c r="CS873" s="2"/>
      <c r="DE873" s="2"/>
      <c r="DQ873" s="2"/>
    </row>
    <row r="874" spans="1:121" ht="13.5" customHeight="1" x14ac:dyDescent="0.3">
      <c r="A874" s="2"/>
      <c r="M874" s="2"/>
      <c r="Y874" s="2"/>
      <c r="AK874" s="2"/>
      <c r="AW874" s="2"/>
      <c r="BI874" s="2"/>
      <c r="BU874" s="2"/>
      <c r="CG874" s="2"/>
      <c r="CS874" s="2"/>
      <c r="DE874" s="2"/>
      <c r="DQ874" s="2"/>
    </row>
    <row r="875" spans="1:121" ht="13.5" customHeight="1" x14ac:dyDescent="0.3">
      <c r="A875" s="2"/>
      <c r="M875" s="2"/>
      <c r="Y875" s="2"/>
      <c r="AK875" s="2"/>
      <c r="AW875" s="2"/>
      <c r="BI875" s="2"/>
      <c r="BU875" s="2"/>
      <c r="CG875" s="2"/>
      <c r="CS875" s="2"/>
      <c r="DE875" s="2"/>
      <c r="DQ875" s="2"/>
    </row>
    <row r="876" spans="1:121" ht="13.5" customHeight="1" x14ac:dyDescent="0.3">
      <c r="A876" s="2"/>
      <c r="M876" s="2"/>
      <c r="Y876" s="2"/>
      <c r="AK876" s="2"/>
      <c r="AW876" s="2"/>
      <c r="BI876" s="2"/>
      <c r="BU876" s="2"/>
      <c r="CG876" s="2"/>
      <c r="CS876" s="2"/>
      <c r="DE876" s="2"/>
      <c r="DQ876" s="2"/>
    </row>
    <row r="877" spans="1:121" ht="13.5" customHeight="1" x14ac:dyDescent="0.3">
      <c r="A877" s="2"/>
      <c r="M877" s="2"/>
      <c r="Y877" s="2"/>
      <c r="AK877" s="2"/>
      <c r="AW877" s="2"/>
      <c r="BI877" s="2"/>
      <c r="BU877" s="2"/>
      <c r="CG877" s="2"/>
      <c r="CS877" s="2"/>
      <c r="DE877" s="2"/>
      <c r="DQ877" s="2"/>
    </row>
    <row r="878" spans="1:121" ht="13.5" customHeight="1" x14ac:dyDescent="0.3">
      <c r="A878" s="2"/>
      <c r="M878" s="2"/>
      <c r="Y878" s="2"/>
      <c r="AK878" s="2"/>
      <c r="AW878" s="2"/>
      <c r="BI878" s="2"/>
      <c r="BU878" s="2"/>
      <c r="CG878" s="2"/>
      <c r="CS878" s="2"/>
      <c r="DE878" s="2"/>
      <c r="DQ878" s="2"/>
    </row>
    <row r="879" spans="1:121" ht="13.5" customHeight="1" x14ac:dyDescent="0.3">
      <c r="A879" s="2"/>
      <c r="M879" s="2"/>
      <c r="Y879" s="2"/>
      <c r="AK879" s="2"/>
      <c r="AW879" s="2"/>
      <c r="BI879" s="2"/>
      <c r="BU879" s="2"/>
      <c r="CG879" s="2"/>
      <c r="CS879" s="2"/>
      <c r="DE879" s="2"/>
      <c r="DQ879" s="2"/>
    </row>
    <row r="880" spans="1:121" ht="13.5" customHeight="1" x14ac:dyDescent="0.3">
      <c r="A880" s="2"/>
      <c r="M880" s="2"/>
      <c r="Y880" s="2"/>
      <c r="AK880" s="2"/>
      <c r="AW880" s="2"/>
      <c r="BI880" s="2"/>
      <c r="BU880" s="2"/>
      <c r="CG880" s="2"/>
      <c r="CS880" s="2"/>
      <c r="DE880" s="2"/>
      <c r="DQ880" s="2"/>
    </row>
    <row r="881" spans="1:121" ht="13.5" customHeight="1" x14ac:dyDescent="0.3">
      <c r="A881" s="2"/>
      <c r="M881" s="2"/>
      <c r="Y881" s="2"/>
      <c r="AK881" s="2"/>
      <c r="AW881" s="2"/>
      <c r="BI881" s="2"/>
      <c r="BU881" s="2"/>
      <c r="CG881" s="2"/>
      <c r="CS881" s="2"/>
      <c r="DE881" s="2"/>
      <c r="DQ881" s="2"/>
    </row>
    <row r="882" spans="1:121" ht="13.5" customHeight="1" x14ac:dyDescent="0.3">
      <c r="A882" s="2"/>
      <c r="M882" s="2"/>
      <c r="Y882" s="2"/>
      <c r="AK882" s="2"/>
      <c r="AW882" s="2"/>
      <c r="BI882" s="2"/>
      <c r="BU882" s="2"/>
      <c r="CG882" s="2"/>
      <c r="CS882" s="2"/>
      <c r="DE882" s="2"/>
      <c r="DQ882" s="2"/>
    </row>
    <row r="883" spans="1:121" ht="13.5" customHeight="1" x14ac:dyDescent="0.3">
      <c r="A883" s="2"/>
      <c r="M883" s="2"/>
      <c r="Y883" s="2"/>
      <c r="AK883" s="2"/>
      <c r="AW883" s="2"/>
      <c r="BI883" s="2"/>
      <c r="BU883" s="2"/>
      <c r="CG883" s="2"/>
      <c r="CS883" s="2"/>
      <c r="DE883" s="2"/>
      <c r="DQ883" s="2"/>
    </row>
    <row r="884" spans="1:121" ht="13.5" customHeight="1" x14ac:dyDescent="0.3">
      <c r="A884" s="2"/>
      <c r="M884" s="2"/>
      <c r="Y884" s="2"/>
      <c r="AK884" s="2"/>
      <c r="AW884" s="2"/>
      <c r="BI884" s="2"/>
      <c r="BU884" s="2"/>
      <c r="CG884" s="2"/>
      <c r="CS884" s="2"/>
      <c r="DE884" s="2"/>
      <c r="DQ884" s="2"/>
    </row>
    <row r="885" spans="1:121" ht="13.5" customHeight="1" x14ac:dyDescent="0.3">
      <c r="A885" s="2"/>
      <c r="M885" s="2"/>
      <c r="Y885" s="2"/>
      <c r="AK885" s="2"/>
      <c r="AW885" s="2"/>
      <c r="BI885" s="2"/>
      <c r="BU885" s="2"/>
      <c r="CG885" s="2"/>
      <c r="CS885" s="2"/>
      <c r="DE885" s="2"/>
      <c r="DQ885" s="2"/>
    </row>
    <row r="886" spans="1:121" ht="13.5" customHeight="1" x14ac:dyDescent="0.3">
      <c r="A886" s="2"/>
      <c r="M886" s="2"/>
      <c r="Y886" s="2"/>
      <c r="AK886" s="2"/>
      <c r="AW886" s="2"/>
      <c r="BI886" s="2"/>
      <c r="BU886" s="2"/>
      <c r="CG886" s="2"/>
      <c r="CS886" s="2"/>
      <c r="DE886" s="2"/>
      <c r="DQ886" s="2"/>
    </row>
    <row r="887" spans="1:121" ht="13.5" customHeight="1" x14ac:dyDescent="0.3">
      <c r="A887" s="2"/>
      <c r="M887" s="2"/>
      <c r="Y887" s="2"/>
      <c r="AK887" s="2"/>
      <c r="AW887" s="2"/>
      <c r="BI887" s="2"/>
      <c r="BU887" s="2"/>
      <c r="CG887" s="2"/>
      <c r="CS887" s="2"/>
      <c r="DE887" s="2"/>
      <c r="DQ887" s="2"/>
    </row>
    <row r="888" spans="1:121" ht="13.5" customHeight="1" x14ac:dyDescent="0.3">
      <c r="A888" s="2"/>
      <c r="M888" s="2"/>
      <c r="Y888" s="2"/>
      <c r="AK888" s="2"/>
      <c r="AW888" s="2"/>
      <c r="BI888" s="2"/>
      <c r="BU888" s="2"/>
      <c r="CG888" s="2"/>
      <c r="CS888" s="2"/>
      <c r="DE888" s="2"/>
      <c r="DQ888" s="2"/>
    </row>
    <row r="889" spans="1:121" ht="13.5" customHeight="1" x14ac:dyDescent="0.3">
      <c r="A889" s="2"/>
      <c r="M889" s="2"/>
      <c r="Y889" s="2"/>
      <c r="AK889" s="2"/>
      <c r="AW889" s="2"/>
      <c r="BI889" s="2"/>
      <c r="BU889" s="2"/>
      <c r="CG889" s="2"/>
      <c r="CS889" s="2"/>
      <c r="DE889" s="2"/>
      <c r="DQ889" s="2"/>
    </row>
    <row r="890" spans="1:121" ht="13.5" customHeight="1" x14ac:dyDescent="0.3">
      <c r="A890" s="2"/>
      <c r="M890" s="2"/>
      <c r="Y890" s="2"/>
      <c r="AK890" s="2"/>
      <c r="AW890" s="2"/>
      <c r="BI890" s="2"/>
      <c r="BU890" s="2"/>
      <c r="CG890" s="2"/>
      <c r="CS890" s="2"/>
      <c r="DE890" s="2"/>
      <c r="DQ890" s="2"/>
    </row>
    <row r="891" spans="1:121" ht="13.5" customHeight="1" x14ac:dyDescent="0.3">
      <c r="A891" s="2"/>
      <c r="M891" s="2"/>
      <c r="Y891" s="2"/>
      <c r="AK891" s="2"/>
      <c r="AW891" s="2"/>
      <c r="BI891" s="2"/>
      <c r="BU891" s="2"/>
      <c r="CG891" s="2"/>
      <c r="CS891" s="2"/>
      <c r="DE891" s="2"/>
      <c r="DQ891" s="2"/>
    </row>
    <row r="892" spans="1:121" ht="13.5" customHeight="1" x14ac:dyDescent="0.3">
      <c r="A892" s="2"/>
      <c r="M892" s="2"/>
      <c r="Y892" s="2"/>
      <c r="AK892" s="2"/>
      <c r="AW892" s="2"/>
      <c r="BI892" s="2"/>
      <c r="BU892" s="2"/>
      <c r="CG892" s="2"/>
      <c r="CS892" s="2"/>
      <c r="DE892" s="2"/>
      <c r="DQ892" s="2"/>
    </row>
    <row r="893" spans="1:121" ht="13.5" customHeight="1" x14ac:dyDescent="0.3">
      <c r="A893" s="2"/>
      <c r="M893" s="2"/>
      <c r="Y893" s="2"/>
      <c r="AK893" s="2"/>
      <c r="AW893" s="2"/>
      <c r="BI893" s="2"/>
      <c r="BU893" s="2"/>
      <c r="CG893" s="2"/>
      <c r="CS893" s="2"/>
      <c r="DE893" s="2"/>
      <c r="DQ893" s="2"/>
    </row>
    <row r="894" spans="1:121" ht="13.5" customHeight="1" x14ac:dyDescent="0.3">
      <c r="A894" s="2"/>
      <c r="M894" s="2"/>
      <c r="Y894" s="2"/>
      <c r="AK894" s="2"/>
      <c r="AW894" s="2"/>
      <c r="BI894" s="2"/>
      <c r="BU894" s="2"/>
      <c r="CG894" s="2"/>
      <c r="CS894" s="2"/>
      <c r="DE894" s="2"/>
      <c r="DQ894" s="2"/>
    </row>
    <row r="895" spans="1:121" ht="13.5" customHeight="1" x14ac:dyDescent="0.3">
      <c r="A895" s="2"/>
      <c r="M895" s="2"/>
      <c r="Y895" s="2"/>
      <c r="AK895" s="2"/>
      <c r="AW895" s="2"/>
      <c r="BI895" s="2"/>
      <c r="BU895" s="2"/>
      <c r="CG895" s="2"/>
      <c r="CS895" s="2"/>
      <c r="DE895" s="2"/>
      <c r="DQ895" s="2"/>
    </row>
    <row r="896" spans="1:121" ht="13.5" customHeight="1" x14ac:dyDescent="0.3">
      <c r="A896" s="2"/>
      <c r="M896" s="2"/>
      <c r="Y896" s="2"/>
      <c r="AK896" s="2"/>
      <c r="AW896" s="2"/>
      <c r="BI896" s="2"/>
      <c r="BU896" s="2"/>
      <c r="CG896" s="2"/>
      <c r="CS896" s="2"/>
      <c r="DE896" s="2"/>
      <c r="DQ896" s="2"/>
    </row>
    <row r="897" spans="1:121" ht="13.5" customHeight="1" x14ac:dyDescent="0.3">
      <c r="A897" s="2"/>
      <c r="M897" s="2"/>
      <c r="Y897" s="2"/>
      <c r="AK897" s="2"/>
      <c r="AW897" s="2"/>
      <c r="BI897" s="2"/>
      <c r="BU897" s="2"/>
      <c r="CG897" s="2"/>
      <c r="CS897" s="2"/>
      <c r="DE897" s="2"/>
      <c r="DQ897" s="2"/>
    </row>
    <row r="898" spans="1:121" ht="13.5" customHeight="1" x14ac:dyDescent="0.3">
      <c r="A898" s="2"/>
      <c r="M898" s="2"/>
      <c r="Y898" s="2"/>
      <c r="AK898" s="2"/>
      <c r="AW898" s="2"/>
      <c r="BI898" s="2"/>
      <c r="BU898" s="2"/>
      <c r="CG898" s="2"/>
      <c r="CS898" s="2"/>
      <c r="DE898" s="2"/>
      <c r="DQ898" s="2"/>
    </row>
    <row r="899" spans="1:121" ht="13.5" customHeight="1" x14ac:dyDescent="0.3">
      <c r="A899" s="2"/>
      <c r="M899" s="2"/>
      <c r="Y899" s="2"/>
      <c r="AK899" s="2"/>
      <c r="AW899" s="2"/>
      <c r="BI899" s="2"/>
      <c r="BU899" s="2"/>
      <c r="CG899" s="2"/>
      <c r="CS899" s="2"/>
      <c r="DE899" s="2"/>
      <c r="DQ899" s="2"/>
    </row>
    <row r="900" spans="1:121" ht="13.5" customHeight="1" x14ac:dyDescent="0.3">
      <c r="A900" s="2"/>
      <c r="M900" s="2"/>
      <c r="Y900" s="2"/>
      <c r="AK900" s="2"/>
      <c r="AW900" s="2"/>
      <c r="BI900" s="2"/>
      <c r="BU900" s="2"/>
      <c r="CG900" s="2"/>
      <c r="CS900" s="2"/>
      <c r="DE900" s="2"/>
      <c r="DQ900" s="2"/>
    </row>
    <row r="901" spans="1:121" ht="13.5" customHeight="1" x14ac:dyDescent="0.3">
      <c r="A901" s="2"/>
      <c r="M901" s="2"/>
      <c r="Y901" s="2"/>
      <c r="AK901" s="2"/>
      <c r="AW901" s="2"/>
      <c r="BI901" s="2"/>
      <c r="BU901" s="2"/>
      <c r="CG901" s="2"/>
      <c r="CS901" s="2"/>
      <c r="DE901" s="2"/>
      <c r="DQ901" s="2"/>
    </row>
    <row r="902" spans="1:121" ht="13.5" customHeight="1" x14ac:dyDescent="0.3">
      <c r="A902" s="2"/>
      <c r="M902" s="2"/>
      <c r="Y902" s="2"/>
      <c r="AK902" s="2"/>
      <c r="AW902" s="2"/>
      <c r="BI902" s="2"/>
      <c r="BU902" s="2"/>
      <c r="CG902" s="2"/>
      <c r="CS902" s="2"/>
      <c r="DE902" s="2"/>
      <c r="DQ902" s="2"/>
    </row>
    <row r="903" spans="1:121" ht="13.5" customHeight="1" x14ac:dyDescent="0.3">
      <c r="A903" s="2"/>
      <c r="M903" s="2"/>
      <c r="Y903" s="2"/>
      <c r="AK903" s="2"/>
      <c r="AW903" s="2"/>
      <c r="BI903" s="2"/>
      <c r="BU903" s="2"/>
      <c r="CG903" s="2"/>
      <c r="CS903" s="2"/>
      <c r="DE903" s="2"/>
      <c r="DQ903" s="2"/>
    </row>
    <row r="904" spans="1:121" ht="13.5" customHeight="1" x14ac:dyDescent="0.3">
      <c r="A904" s="2"/>
      <c r="M904" s="2"/>
      <c r="Y904" s="2"/>
      <c r="AK904" s="2"/>
      <c r="AW904" s="2"/>
      <c r="BI904" s="2"/>
      <c r="BU904" s="2"/>
      <c r="CG904" s="2"/>
      <c r="CS904" s="2"/>
      <c r="DE904" s="2"/>
      <c r="DQ904" s="2"/>
    </row>
    <row r="905" spans="1:121" ht="13.5" customHeight="1" x14ac:dyDescent="0.3">
      <c r="A905" s="2"/>
      <c r="M905" s="2"/>
      <c r="Y905" s="2"/>
      <c r="AK905" s="2"/>
      <c r="AW905" s="2"/>
      <c r="BI905" s="2"/>
      <c r="BU905" s="2"/>
      <c r="CG905" s="2"/>
      <c r="CS905" s="2"/>
      <c r="DE905" s="2"/>
      <c r="DQ905" s="2"/>
    </row>
    <row r="906" spans="1:121" ht="13.5" customHeight="1" x14ac:dyDescent="0.3">
      <c r="A906" s="2"/>
      <c r="M906" s="2"/>
      <c r="Y906" s="2"/>
      <c r="AK906" s="2"/>
      <c r="AW906" s="2"/>
      <c r="BI906" s="2"/>
      <c r="BU906" s="2"/>
      <c r="CG906" s="2"/>
      <c r="CS906" s="2"/>
      <c r="DE906" s="2"/>
      <c r="DQ906" s="2"/>
    </row>
    <row r="907" spans="1:121" ht="13.5" customHeight="1" x14ac:dyDescent="0.3">
      <c r="A907" s="2"/>
      <c r="M907" s="2"/>
      <c r="Y907" s="2"/>
      <c r="AK907" s="2"/>
      <c r="AW907" s="2"/>
      <c r="BI907" s="2"/>
      <c r="BU907" s="2"/>
      <c r="CG907" s="2"/>
      <c r="CS907" s="2"/>
      <c r="DE907" s="2"/>
      <c r="DQ907" s="2"/>
    </row>
    <row r="908" spans="1:121" ht="13.5" customHeight="1" x14ac:dyDescent="0.3">
      <c r="A908" s="2"/>
      <c r="M908" s="2"/>
      <c r="Y908" s="2"/>
      <c r="AK908" s="2"/>
      <c r="AW908" s="2"/>
      <c r="BI908" s="2"/>
      <c r="BU908" s="2"/>
      <c r="CG908" s="2"/>
      <c r="CS908" s="2"/>
      <c r="DE908" s="2"/>
      <c r="DQ908" s="2"/>
    </row>
    <row r="909" spans="1:121" ht="13.5" customHeight="1" x14ac:dyDescent="0.3">
      <c r="A909" s="2"/>
      <c r="M909" s="2"/>
      <c r="Y909" s="2"/>
      <c r="AK909" s="2"/>
      <c r="AW909" s="2"/>
      <c r="BI909" s="2"/>
      <c r="BU909" s="2"/>
      <c r="CG909" s="2"/>
      <c r="CS909" s="2"/>
      <c r="DE909" s="2"/>
      <c r="DQ909" s="2"/>
    </row>
    <row r="910" spans="1:121" ht="13.5" customHeight="1" x14ac:dyDescent="0.3">
      <c r="A910" s="2"/>
      <c r="M910" s="2"/>
      <c r="Y910" s="2"/>
      <c r="AK910" s="2"/>
      <c r="AW910" s="2"/>
      <c r="BI910" s="2"/>
      <c r="BU910" s="2"/>
      <c r="CG910" s="2"/>
      <c r="CS910" s="2"/>
      <c r="DE910" s="2"/>
      <c r="DQ910" s="2"/>
    </row>
    <row r="911" spans="1:121" ht="13.5" customHeight="1" x14ac:dyDescent="0.3">
      <c r="A911" s="2"/>
      <c r="M911" s="2"/>
      <c r="Y911" s="2"/>
      <c r="AK911" s="2"/>
      <c r="AW911" s="2"/>
      <c r="BI911" s="2"/>
      <c r="BU911" s="2"/>
      <c r="CG911" s="2"/>
      <c r="CS911" s="2"/>
      <c r="DE911" s="2"/>
      <c r="DQ911" s="2"/>
    </row>
    <row r="912" spans="1:121" ht="13.5" customHeight="1" x14ac:dyDescent="0.3">
      <c r="A912" s="2"/>
      <c r="M912" s="2"/>
      <c r="Y912" s="2"/>
      <c r="AK912" s="2"/>
      <c r="AW912" s="2"/>
      <c r="BI912" s="2"/>
      <c r="BU912" s="2"/>
      <c r="CG912" s="2"/>
      <c r="CS912" s="2"/>
      <c r="DE912" s="2"/>
      <c r="DQ912" s="2"/>
    </row>
    <row r="913" spans="1:121" ht="13.5" customHeight="1" x14ac:dyDescent="0.3">
      <c r="A913" s="2"/>
      <c r="M913" s="2"/>
      <c r="Y913" s="2"/>
      <c r="AK913" s="2"/>
      <c r="AW913" s="2"/>
      <c r="BI913" s="2"/>
      <c r="BU913" s="2"/>
      <c r="CG913" s="2"/>
      <c r="CS913" s="2"/>
      <c r="DE913" s="2"/>
      <c r="DQ913" s="2"/>
    </row>
    <row r="914" spans="1:121" ht="13.5" customHeight="1" x14ac:dyDescent="0.3">
      <c r="A914" s="2"/>
      <c r="M914" s="2"/>
      <c r="Y914" s="2"/>
      <c r="AK914" s="2"/>
      <c r="AW914" s="2"/>
      <c r="BI914" s="2"/>
      <c r="BU914" s="2"/>
      <c r="CG914" s="2"/>
      <c r="CS914" s="2"/>
      <c r="DE914" s="2"/>
      <c r="DQ914" s="2"/>
    </row>
    <row r="915" spans="1:121" ht="13.5" customHeight="1" x14ac:dyDescent="0.3">
      <c r="A915" s="2"/>
      <c r="M915" s="2"/>
      <c r="Y915" s="2"/>
      <c r="AK915" s="2"/>
      <c r="AW915" s="2"/>
      <c r="BI915" s="2"/>
      <c r="BU915" s="2"/>
      <c r="CG915" s="2"/>
      <c r="CS915" s="2"/>
      <c r="DE915" s="2"/>
      <c r="DQ915" s="2"/>
    </row>
    <row r="916" spans="1:121" ht="13.5" customHeight="1" x14ac:dyDescent="0.3">
      <c r="A916" s="2"/>
      <c r="M916" s="2"/>
      <c r="Y916" s="2"/>
      <c r="AK916" s="2"/>
      <c r="AW916" s="2"/>
      <c r="BI916" s="2"/>
      <c r="BU916" s="2"/>
      <c r="CG916" s="2"/>
      <c r="CS916" s="2"/>
      <c r="DE916" s="2"/>
      <c r="DQ916" s="2"/>
    </row>
    <row r="917" spans="1:121" ht="13.5" customHeight="1" x14ac:dyDescent="0.3">
      <c r="A917" s="2"/>
      <c r="M917" s="2"/>
      <c r="Y917" s="2"/>
      <c r="AK917" s="2"/>
      <c r="AW917" s="2"/>
      <c r="BI917" s="2"/>
      <c r="BU917" s="2"/>
      <c r="CG917" s="2"/>
      <c r="CS917" s="2"/>
      <c r="DE917" s="2"/>
      <c r="DQ917" s="2"/>
    </row>
    <row r="918" spans="1:121" ht="13.5" customHeight="1" x14ac:dyDescent="0.3">
      <c r="A918" s="2"/>
      <c r="M918" s="2"/>
      <c r="Y918" s="2"/>
      <c r="AK918" s="2"/>
      <c r="AW918" s="2"/>
      <c r="BI918" s="2"/>
      <c r="BU918" s="2"/>
      <c r="CG918" s="2"/>
      <c r="CS918" s="2"/>
      <c r="DE918" s="2"/>
      <c r="DQ918" s="2"/>
    </row>
    <row r="919" spans="1:121" ht="13.5" customHeight="1" x14ac:dyDescent="0.3">
      <c r="A919" s="2"/>
      <c r="M919" s="2"/>
      <c r="Y919" s="2"/>
      <c r="AK919" s="2"/>
      <c r="AW919" s="2"/>
      <c r="BI919" s="2"/>
      <c r="BU919" s="2"/>
      <c r="CG919" s="2"/>
      <c r="CS919" s="2"/>
      <c r="DE919" s="2"/>
      <c r="DQ919" s="2"/>
    </row>
    <row r="920" spans="1:121" ht="13.5" customHeight="1" x14ac:dyDescent="0.3">
      <c r="A920" s="2"/>
      <c r="M920" s="2"/>
      <c r="Y920" s="2"/>
      <c r="AK920" s="2"/>
      <c r="AW920" s="2"/>
      <c r="BI920" s="2"/>
      <c r="BU920" s="2"/>
      <c r="CG920" s="2"/>
      <c r="CS920" s="2"/>
      <c r="DE920" s="2"/>
      <c r="DQ920" s="2"/>
    </row>
    <row r="921" spans="1:121" ht="13.5" customHeight="1" x14ac:dyDescent="0.3">
      <c r="A921" s="2"/>
      <c r="M921" s="2"/>
      <c r="Y921" s="2"/>
      <c r="AK921" s="2"/>
      <c r="AW921" s="2"/>
      <c r="BI921" s="2"/>
      <c r="BU921" s="2"/>
      <c r="CG921" s="2"/>
      <c r="CS921" s="2"/>
      <c r="DE921" s="2"/>
      <c r="DQ921" s="2"/>
    </row>
    <row r="922" spans="1:121" ht="13.5" customHeight="1" x14ac:dyDescent="0.3">
      <c r="A922" s="2"/>
      <c r="M922" s="2"/>
      <c r="Y922" s="2"/>
      <c r="AK922" s="2"/>
      <c r="AW922" s="2"/>
      <c r="BI922" s="2"/>
      <c r="BU922" s="2"/>
      <c r="CG922" s="2"/>
      <c r="CS922" s="2"/>
      <c r="DE922" s="2"/>
      <c r="DQ922" s="2"/>
    </row>
    <row r="923" spans="1:121" ht="13.5" customHeight="1" x14ac:dyDescent="0.3">
      <c r="A923" s="2"/>
      <c r="M923" s="2"/>
      <c r="Y923" s="2"/>
      <c r="AK923" s="2"/>
      <c r="AW923" s="2"/>
      <c r="BI923" s="2"/>
      <c r="BU923" s="2"/>
      <c r="CG923" s="2"/>
      <c r="CS923" s="2"/>
      <c r="DE923" s="2"/>
      <c r="DQ923" s="2"/>
    </row>
    <row r="924" spans="1:121" ht="13.5" customHeight="1" x14ac:dyDescent="0.3">
      <c r="A924" s="2"/>
      <c r="M924" s="2"/>
      <c r="Y924" s="2"/>
      <c r="AK924" s="2"/>
      <c r="AW924" s="2"/>
      <c r="BI924" s="2"/>
      <c r="BU924" s="2"/>
      <c r="CG924" s="2"/>
      <c r="CS924" s="2"/>
      <c r="DE924" s="2"/>
      <c r="DQ924" s="2"/>
    </row>
    <row r="925" spans="1:121" ht="13.5" customHeight="1" x14ac:dyDescent="0.3">
      <c r="A925" s="2"/>
      <c r="M925" s="2"/>
      <c r="Y925" s="2"/>
      <c r="AK925" s="2"/>
      <c r="AW925" s="2"/>
      <c r="BI925" s="2"/>
      <c r="BU925" s="2"/>
      <c r="CG925" s="2"/>
      <c r="CS925" s="2"/>
      <c r="DE925" s="2"/>
      <c r="DQ925" s="2"/>
    </row>
    <row r="926" spans="1:121" ht="13.5" customHeight="1" x14ac:dyDescent="0.3">
      <c r="A926" s="2"/>
      <c r="M926" s="2"/>
      <c r="Y926" s="2"/>
      <c r="AK926" s="2"/>
      <c r="AW926" s="2"/>
      <c r="BI926" s="2"/>
      <c r="BU926" s="2"/>
      <c r="CG926" s="2"/>
      <c r="CS926" s="2"/>
      <c r="DE926" s="2"/>
      <c r="DQ926" s="2"/>
    </row>
    <row r="927" spans="1:121" ht="13.5" customHeight="1" x14ac:dyDescent="0.3">
      <c r="A927" s="2"/>
      <c r="M927" s="2"/>
      <c r="Y927" s="2"/>
      <c r="AK927" s="2"/>
      <c r="AW927" s="2"/>
      <c r="BI927" s="2"/>
      <c r="BU927" s="2"/>
      <c r="CG927" s="2"/>
      <c r="CS927" s="2"/>
      <c r="DE927" s="2"/>
      <c r="DQ927" s="2"/>
    </row>
    <row r="928" spans="1:121" ht="13.5" customHeight="1" x14ac:dyDescent="0.3">
      <c r="A928" s="2"/>
      <c r="M928" s="2"/>
      <c r="Y928" s="2"/>
      <c r="AK928" s="2"/>
      <c r="AW928" s="2"/>
      <c r="BI928" s="2"/>
      <c r="BU928" s="2"/>
      <c r="CG928" s="2"/>
      <c r="CS928" s="2"/>
      <c r="DE928" s="2"/>
      <c r="DQ928" s="2"/>
    </row>
    <row r="929" spans="1:121" ht="13.5" customHeight="1" x14ac:dyDescent="0.3">
      <c r="A929" s="2"/>
      <c r="M929" s="2"/>
      <c r="Y929" s="2"/>
      <c r="AK929" s="2"/>
      <c r="AW929" s="2"/>
      <c r="BI929" s="2"/>
      <c r="BU929" s="2"/>
      <c r="CG929" s="2"/>
      <c r="CS929" s="2"/>
      <c r="DE929" s="2"/>
      <c r="DQ929" s="2"/>
    </row>
    <row r="930" spans="1:121" ht="13.5" customHeight="1" x14ac:dyDescent="0.3">
      <c r="A930" s="2"/>
      <c r="M930" s="2"/>
      <c r="Y930" s="2"/>
      <c r="AK930" s="2"/>
      <c r="AW930" s="2"/>
      <c r="BI930" s="2"/>
      <c r="BU930" s="2"/>
      <c r="CG930" s="2"/>
      <c r="CS930" s="2"/>
      <c r="DE930" s="2"/>
      <c r="DQ930" s="2"/>
    </row>
    <row r="931" spans="1:121" ht="13.5" customHeight="1" x14ac:dyDescent="0.3">
      <c r="A931" s="2"/>
      <c r="M931" s="2"/>
      <c r="Y931" s="2"/>
      <c r="AK931" s="2"/>
      <c r="AW931" s="2"/>
      <c r="BI931" s="2"/>
      <c r="BU931" s="2"/>
      <c r="CG931" s="2"/>
      <c r="CS931" s="2"/>
      <c r="DE931" s="2"/>
      <c r="DQ931" s="2"/>
    </row>
    <row r="932" spans="1:121" ht="13.5" customHeight="1" x14ac:dyDescent="0.3">
      <c r="A932" s="2"/>
      <c r="M932" s="2"/>
      <c r="Y932" s="2"/>
      <c r="AK932" s="2"/>
      <c r="AW932" s="2"/>
      <c r="BI932" s="2"/>
      <c r="BU932" s="2"/>
      <c r="CG932" s="2"/>
      <c r="CS932" s="2"/>
      <c r="DE932" s="2"/>
      <c r="DQ932" s="2"/>
    </row>
    <row r="933" spans="1:121" ht="13.5" customHeight="1" x14ac:dyDescent="0.3">
      <c r="A933" s="2"/>
      <c r="M933" s="2"/>
      <c r="Y933" s="2"/>
      <c r="AK933" s="2"/>
      <c r="AW933" s="2"/>
      <c r="BI933" s="2"/>
      <c r="BU933" s="2"/>
      <c r="CG933" s="2"/>
      <c r="CS933" s="2"/>
      <c r="DE933" s="2"/>
      <c r="DQ933" s="2"/>
    </row>
    <row r="934" spans="1:121" ht="13.5" customHeight="1" x14ac:dyDescent="0.3">
      <c r="A934" s="2"/>
      <c r="M934" s="2"/>
      <c r="Y934" s="2"/>
      <c r="AK934" s="2"/>
      <c r="AW934" s="2"/>
      <c r="BI934" s="2"/>
      <c r="BU934" s="2"/>
      <c r="CG934" s="2"/>
      <c r="CS934" s="2"/>
      <c r="DE934" s="2"/>
      <c r="DQ934" s="2"/>
    </row>
    <row r="935" spans="1:121" ht="13.5" customHeight="1" x14ac:dyDescent="0.3">
      <c r="A935" s="2"/>
      <c r="M935" s="2"/>
      <c r="Y935" s="2"/>
      <c r="AK935" s="2"/>
      <c r="AW935" s="2"/>
      <c r="BI935" s="2"/>
      <c r="BU935" s="2"/>
      <c r="CG935" s="2"/>
      <c r="CS935" s="2"/>
      <c r="DE935" s="2"/>
      <c r="DQ935" s="2"/>
    </row>
    <row r="936" spans="1:121" ht="13.5" customHeight="1" x14ac:dyDescent="0.3">
      <c r="A936" s="2"/>
      <c r="M936" s="2"/>
      <c r="Y936" s="2"/>
      <c r="AK936" s="2"/>
      <c r="AW936" s="2"/>
      <c r="BI936" s="2"/>
      <c r="BU936" s="2"/>
      <c r="CG936" s="2"/>
      <c r="CS936" s="2"/>
      <c r="DE936" s="2"/>
      <c r="DQ936" s="2"/>
    </row>
    <row r="937" spans="1:121" ht="13.5" customHeight="1" x14ac:dyDescent="0.3">
      <c r="A937" s="2"/>
      <c r="M937" s="2"/>
      <c r="Y937" s="2"/>
      <c r="AK937" s="2"/>
      <c r="AW937" s="2"/>
      <c r="BI937" s="2"/>
      <c r="BU937" s="2"/>
      <c r="CG937" s="2"/>
      <c r="CS937" s="2"/>
      <c r="DE937" s="2"/>
      <c r="DQ937" s="2"/>
    </row>
    <row r="938" spans="1:121" ht="13.5" customHeight="1" x14ac:dyDescent="0.3">
      <c r="A938" s="2"/>
      <c r="M938" s="2"/>
      <c r="Y938" s="2"/>
      <c r="AK938" s="2"/>
      <c r="AW938" s="2"/>
      <c r="BI938" s="2"/>
      <c r="BU938" s="2"/>
      <c r="CG938" s="2"/>
      <c r="CS938" s="2"/>
      <c r="DE938" s="2"/>
      <c r="DQ938" s="2"/>
    </row>
    <row r="939" spans="1:121" ht="13.5" customHeight="1" x14ac:dyDescent="0.3">
      <c r="A939" s="2"/>
      <c r="M939" s="2"/>
      <c r="Y939" s="2"/>
      <c r="AK939" s="2"/>
      <c r="AW939" s="2"/>
      <c r="BI939" s="2"/>
      <c r="BU939" s="2"/>
      <c r="CG939" s="2"/>
      <c r="CS939" s="2"/>
      <c r="DE939" s="2"/>
      <c r="DQ939" s="2"/>
    </row>
    <row r="940" spans="1:121" ht="13.5" customHeight="1" x14ac:dyDescent="0.3">
      <c r="A940" s="2"/>
      <c r="M940" s="2"/>
      <c r="Y940" s="2"/>
      <c r="AK940" s="2"/>
      <c r="AW940" s="2"/>
      <c r="BI940" s="2"/>
      <c r="BU940" s="2"/>
      <c r="CG940" s="2"/>
      <c r="CS940" s="2"/>
      <c r="DE940" s="2"/>
      <c r="DQ940" s="2"/>
    </row>
    <row r="941" spans="1:121" ht="13.5" customHeight="1" x14ac:dyDescent="0.3">
      <c r="A941" s="2"/>
      <c r="M941" s="2"/>
      <c r="Y941" s="2"/>
      <c r="AK941" s="2"/>
      <c r="AW941" s="2"/>
      <c r="BI941" s="2"/>
      <c r="BU941" s="2"/>
      <c r="CG941" s="2"/>
      <c r="CS941" s="2"/>
      <c r="DE941" s="2"/>
      <c r="DQ941" s="2"/>
    </row>
    <row r="942" spans="1:121" ht="13.5" customHeight="1" x14ac:dyDescent="0.3">
      <c r="A942" s="2"/>
      <c r="M942" s="2"/>
      <c r="Y942" s="2"/>
      <c r="AK942" s="2"/>
      <c r="AW942" s="2"/>
      <c r="BI942" s="2"/>
      <c r="BU942" s="2"/>
      <c r="CG942" s="2"/>
      <c r="CS942" s="2"/>
      <c r="DE942" s="2"/>
      <c r="DQ942" s="2"/>
    </row>
    <row r="943" spans="1:121" ht="13.5" customHeight="1" x14ac:dyDescent="0.3">
      <c r="A943" s="2"/>
      <c r="M943" s="2"/>
      <c r="Y943" s="2"/>
      <c r="AK943" s="2"/>
      <c r="AW943" s="2"/>
      <c r="BI943" s="2"/>
      <c r="BU943" s="2"/>
      <c r="CG943" s="2"/>
      <c r="CS943" s="2"/>
      <c r="DE943" s="2"/>
      <c r="DQ943" s="2"/>
    </row>
    <row r="944" spans="1:121" ht="13.5" customHeight="1" x14ac:dyDescent="0.3">
      <c r="A944" s="2"/>
      <c r="M944" s="2"/>
      <c r="Y944" s="2"/>
      <c r="AK944" s="2"/>
      <c r="AW944" s="2"/>
      <c r="BI944" s="2"/>
      <c r="BU944" s="2"/>
      <c r="CG944" s="2"/>
      <c r="CS944" s="2"/>
      <c r="DE944" s="2"/>
      <c r="DQ944" s="2"/>
    </row>
    <row r="945" spans="1:121" ht="13.5" customHeight="1" x14ac:dyDescent="0.3">
      <c r="A945" s="2"/>
      <c r="M945" s="2"/>
      <c r="Y945" s="2"/>
      <c r="AK945" s="2"/>
      <c r="AW945" s="2"/>
      <c r="BI945" s="2"/>
      <c r="BU945" s="2"/>
      <c r="CG945" s="2"/>
      <c r="CS945" s="2"/>
      <c r="DE945" s="2"/>
      <c r="DQ945" s="2"/>
    </row>
    <row r="946" spans="1:121" ht="13.5" customHeight="1" x14ac:dyDescent="0.3">
      <c r="A946" s="2"/>
      <c r="M946" s="2"/>
      <c r="Y946" s="2"/>
      <c r="AK946" s="2"/>
      <c r="AW946" s="2"/>
      <c r="BI946" s="2"/>
      <c r="BU946" s="2"/>
      <c r="CG946" s="2"/>
      <c r="CS946" s="2"/>
      <c r="DE946" s="2"/>
      <c r="DQ946" s="2"/>
    </row>
    <row r="947" spans="1:121" ht="13.5" customHeight="1" x14ac:dyDescent="0.3">
      <c r="A947" s="2"/>
      <c r="M947" s="2"/>
      <c r="Y947" s="2"/>
      <c r="AK947" s="2"/>
      <c r="AW947" s="2"/>
      <c r="BI947" s="2"/>
      <c r="BU947" s="2"/>
      <c r="CG947" s="2"/>
      <c r="CS947" s="2"/>
      <c r="DE947" s="2"/>
      <c r="DQ947" s="2"/>
    </row>
    <row r="948" spans="1:121" ht="13.5" customHeight="1" x14ac:dyDescent="0.3">
      <c r="A948" s="2"/>
      <c r="M948" s="2"/>
      <c r="Y948" s="2"/>
      <c r="AK948" s="2"/>
      <c r="AW948" s="2"/>
      <c r="BI948" s="2"/>
      <c r="BU948" s="2"/>
      <c r="CG948" s="2"/>
      <c r="CS948" s="2"/>
      <c r="DE948" s="2"/>
      <c r="DQ948" s="2"/>
    </row>
    <row r="949" spans="1:121" ht="13.5" customHeight="1" x14ac:dyDescent="0.3">
      <c r="A949" s="2"/>
      <c r="M949" s="2"/>
      <c r="Y949" s="2"/>
      <c r="AK949" s="2"/>
      <c r="AW949" s="2"/>
      <c r="BI949" s="2"/>
      <c r="BU949" s="2"/>
      <c r="CG949" s="2"/>
      <c r="CS949" s="2"/>
      <c r="DE949" s="2"/>
      <c r="DQ949" s="2"/>
    </row>
    <row r="950" spans="1:121" ht="13.5" customHeight="1" x14ac:dyDescent="0.3">
      <c r="A950" s="2"/>
      <c r="M950" s="2"/>
      <c r="Y950" s="2"/>
      <c r="AK950" s="2"/>
      <c r="AW950" s="2"/>
      <c r="BI950" s="2"/>
      <c r="BU950" s="2"/>
      <c r="CG950" s="2"/>
      <c r="CS950" s="2"/>
      <c r="DE950" s="2"/>
      <c r="DQ950" s="2"/>
    </row>
    <row r="951" spans="1:121" ht="13.5" customHeight="1" x14ac:dyDescent="0.3">
      <c r="A951" s="2"/>
      <c r="M951" s="2"/>
      <c r="Y951" s="2"/>
      <c r="AK951" s="2"/>
      <c r="AW951" s="2"/>
      <c r="BI951" s="2"/>
      <c r="BU951" s="2"/>
      <c r="CG951" s="2"/>
      <c r="CS951" s="2"/>
      <c r="DE951" s="2"/>
      <c r="DQ951" s="2"/>
    </row>
    <row r="952" spans="1:121" ht="13.5" customHeight="1" x14ac:dyDescent="0.3">
      <c r="A952" s="2"/>
      <c r="M952" s="2"/>
      <c r="Y952" s="2"/>
      <c r="AK952" s="2"/>
      <c r="AW952" s="2"/>
      <c r="BI952" s="2"/>
      <c r="BU952" s="2"/>
      <c r="CG952" s="2"/>
      <c r="CS952" s="2"/>
      <c r="DE952" s="2"/>
      <c r="DQ952" s="2"/>
    </row>
    <row r="953" spans="1:121" ht="13.5" customHeight="1" x14ac:dyDescent="0.3">
      <c r="A953" s="2"/>
      <c r="M953" s="2"/>
      <c r="Y953" s="2"/>
      <c r="AK953" s="2"/>
      <c r="AW953" s="2"/>
      <c r="BI953" s="2"/>
      <c r="BU953" s="2"/>
      <c r="CG953" s="2"/>
      <c r="CS953" s="2"/>
      <c r="DE953" s="2"/>
      <c r="DQ953" s="2"/>
    </row>
    <row r="954" spans="1:121" ht="13.5" customHeight="1" x14ac:dyDescent="0.3">
      <c r="A954" s="2"/>
      <c r="M954" s="2"/>
      <c r="Y954" s="2"/>
      <c r="AK954" s="2"/>
      <c r="AW954" s="2"/>
      <c r="BI954" s="2"/>
      <c r="BU954" s="2"/>
      <c r="CG954" s="2"/>
      <c r="CS954" s="2"/>
      <c r="DE954" s="2"/>
      <c r="DQ954" s="2"/>
    </row>
    <row r="955" spans="1:121" ht="13.5" customHeight="1" x14ac:dyDescent="0.3">
      <c r="A955" s="2"/>
      <c r="M955" s="2"/>
      <c r="Y955" s="2"/>
      <c r="AK955" s="2"/>
      <c r="AW955" s="2"/>
      <c r="BI955" s="2"/>
      <c r="BU955" s="2"/>
      <c r="CG955" s="2"/>
      <c r="CS955" s="2"/>
      <c r="DE955" s="2"/>
      <c r="DQ955" s="2"/>
    </row>
    <row r="956" spans="1:121" ht="13.5" customHeight="1" x14ac:dyDescent="0.3">
      <c r="A956" s="2"/>
      <c r="M956" s="2"/>
      <c r="Y956" s="2"/>
      <c r="AK956" s="2"/>
      <c r="AW956" s="2"/>
      <c r="BI956" s="2"/>
      <c r="BU956" s="2"/>
      <c r="CG956" s="2"/>
      <c r="CS956" s="2"/>
      <c r="DE956" s="2"/>
      <c r="DQ956" s="2"/>
    </row>
    <row r="957" spans="1:121" ht="13.5" customHeight="1" x14ac:dyDescent="0.3">
      <c r="A957" s="2"/>
      <c r="M957" s="2"/>
      <c r="Y957" s="2"/>
      <c r="AK957" s="2"/>
      <c r="AW957" s="2"/>
      <c r="BI957" s="2"/>
      <c r="BU957" s="2"/>
      <c r="CG957" s="2"/>
      <c r="CS957" s="2"/>
      <c r="DE957" s="2"/>
      <c r="DQ957" s="2"/>
    </row>
    <row r="958" spans="1:121" ht="13.5" customHeight="1" x14ac:dyDescent="0.3">
      <c r="A958" s="2"/>
      <c r="M958" s="2"/>
      <c r="Y958" s="2"/>
      <c r="AK958" s="2"/>
      <c r="AW958" s="2"/>
      <c r="BI958" s="2"/>
      <c r="BU958" s="2"/>
      <c r="CG958" s="2"/>
      <c r="CS958" s="2"/>
      <c r="DE958" s="2"/>
      <c r="DQ958" s="2"/>
    </row>
    <row r="959" spans="1:121" ht="13.5" customHeight="1" x14ac:dyDescent="0.3">
      <c r="A959" s="2"/>
      <c r="M959" s="2"/>
      <c r="Y959" s="2"/>
      <c r="AK959" s="2"/>
      <c r="AW959" s="2"/>
      <c r="BI959" s="2"/>
      <c r="BU959" s="2"/>
      <c r="CG959" s="2"/>
      <c r="CS959" s="2"/>
      <c r="DE959" s="2"/>
      <c r="DQ959" s="2"/>
    </row>
    <row r="960" spans="1:121" ht="13.5" customHeight="1" x14ac:dyDescent="0.3">
      <c r="A960" s="2"/>
      <c r="M960" s="2"/>
      <c r="Y960" s="2"/>
      <c r="AK960" s="2"/>
      <c r="AW960" s="2"/>
      <c r="BI960" s="2"/>
      <c r="BU960" s="2"/>
      <c r="CG960" s="2"/>
      <c r="CS960" s="2"/>
      <c r="DE960" s="2"/>
      <c r="DQ960" s="2"/>
    </row>
    <row r="961" spans="1:121" ht="13.5" customHeight="1" x14ac:dyDescent="0.3">
      <c r="A961" s="2"/>
      <c r="M961" s="2"/>
      <c r="Y961" s="2"/>
      <c r="AK961" s="2"/>
      <c r="AW961" s="2"/>
      <c r="BI961" s="2"/>
      <c r="BU961" s="2"/>
      <c r="CG961" s="2"/>
      <c r="CS961" s="2"/>
      <c r="DE961" s="2"/>
      <c r="DQ961" s="2"/>
    </row>
    <row r="962" spans="1:121" ht="13.5" customHeight="1" x14ac:dyDescent="0.3">
      <c r="A962" s="2"/>
      <c r="M962" s="2"/>
      <c r="Y962" s="2"/>
      <c r="AK962" s="2"/>
      <c r="AW962" s="2"/>
      <c r="BI962" s="2"/>
      <c r="BU962" s="2"/>
      <c r="CG962" s="2"/>
      <c r="CS962" s="2"/>
      <c r="DE962" s="2"/>
      <c r="DQ962" s="2"/>
    </row>
    <row r="963" spans="1:121" ht="13.5" customHeight="1" x14ac:dyDescent="0.3">
      <c r="A963" s="2"/>
      <c r="M963" s="2"/>
      <c r="Y963" s="2"/>
      <c r="AK963" s="2"/>
      <c r="AW963" s="2"/>
      <c r="BI963" s="2"/>
      <c r="BU963" s="2"/>
      <c r="CG963" s="2"/>
      <c r="CS963" s="2"/>
      <c r="DE963" s="2"/>
      <c r="DQ963" s="2"/>
    </row>
    <row r="964" spans="1:121" ht="13.5" customHeight="1" x14ac:dyDescent="0.3">
      <c r="A964" s="2"/>
      <c r="M964" s="2"/>
      <c r="Y964" s="2"/>
      <c r="AK964" s="2"/>
      <c r="AW964" s="2"/>
      <c r="BI964" s="2"/>
      <c r="BU964" s="2"/>
      <c r="CG964" s="2"/>
      <c r="CS964" s="2"/>
      <c r="DE964" s="2"/>
      <c r="DQ964" s="2"/>
    </row>
    <row r="965" spans="1:121" ht="13.5" customHeight="1" x14ac:dyDescent="0.3">
      <c r="A965" s="2"/>
      <c r="M965" s="2"/>
      <c r="Y965" s="2"/>
      <c r="AK965" s="2"/>
      <c r="AW965" s="2"/>
      <c r="BI965" s="2"/>
      <c r="BU965" s="2"/>
      <c r="CG965" s="2"/>
      <c r="CS965" s="2"/>
      <c r="DE965" s="2"/>
      <c r="DQ965" s="2"/>
    </row>
    <row r="966" spans="1:121" ht="13.5" customHeight="1" x14ac:dyDescent="0.3">
      <c r="A966" s="2"/>
      <c r="M966" s="2"/>
      <c r="Y966" s="2"/>
      <c r="AK966" s="2"/>
      <c r="AW966" s="2"/>
      <c r="BI966" s="2"/>
      <c r="BU966" s="2"/>
      <c r="CG966" s="2"/>
      <c r="CS966" s="2"/>
      <c r="DE966" s="2"/>
      <c r="DQ966" s="2"/>
    </row>
    <row r="967" spans="1:121" ht="13.5" customHeight="1" x14ac:dyDescent="0.3">
      <c r="A967" s="2"/>
      <c r="M967" s="2"/>
      <c r="Y967" s="2"/>
      <c r="AK967" s="2"/>
      <c r="AW967" s="2"/>
      <c r="BI967" s="2"/>
      <c r="BU967" s="2"/>
      <c r="CG967" s="2"/>
      <c r="CS967" s="2"/>
      <c r="DE967" s="2"/>
      <c r="DQ967" s="2"/>
    </row>
    <row r="968" spans="1:121" ht="13.5" customHeight="1" x14ac:dyDescent="0.3">
      <c r="A968" s="2"/>
      <c r="M968" s="2"/>
      <c r="Y968" s="2"/>
      <c r="AK968" s="2"/>
      <c r="AW968" s="2"/>
      <c r="BI968" s="2"/>
      <c r="BU968" s="2"/>
      <c r="CG968" s="2"/>
      <c r="CS968" s="2"/>
      <c r="DE968" s="2"/>
      <c r="DQ968" s="2"/>
    </row>
    <row r="969" spans="1:121" ht="13.5" customHeight="1" x14ac:dyDescent="0.3">
      <c r="A969" s="2"/>
      <c r="M969" s="2"/>
      <c r="Y969" s="2"/>
      <c r="AK969" s="2"/>
      <c r="AW969" s="2"/>
      <c r="BI969" s="2"/>
      <c r="BU969" s="2"/>
      <c r="CG969" s="2"/>
      <c r="CS969" s="2"/>
      <c r="DE969" s="2"/>
      <c r="DQ969" s="2"/>
    </row>
    <row r="970" spans="1:121" ht="13.5" customHeight="1" x14ac:dyDescent="0.3">
      <c r="A970" s="2"/>
      <c r="M970" s="2"/>
      <c r="Y970" s="2"/>
      <c r="AK970" s="2"/>
      <c r="AW970" s="2"/>
      <c r="BI970" s="2"/>
      <c r="BU970" s="2"/>
      <c r="CG970" s="2"/>
      <c r="CS970" s="2"/>
      <c r="DE970" s="2"/>
      <c r="DQ970" s="2"/>
    </row>
    <row r="971" spans="1:121" ht="13.5" customHeight="1" x14ac:dyDescent="0.3">
      <c r="A971" s="2"/>
      <c r="M971" s="2"/>
      <c r="Y971" s="2"/>
      <c r="AK971" s="2"/>
      <c r="AW971" s="2"/>
      <c r="BI971" s="2"/>
      <c r="BU971" s="2"/>
      <c r="CG971" s="2"/>
      <c r="CS971" s="2"/>
      <c r="DE971" s="2"/>
      <c r="DQ971" s="2"/>
    </row>
    <row r="972" spans="1:121" ht="13.5" customHeight="1" x14ac:dyDescent="0.3">
      <c r="A972" s="2"/>
      <c r="M972" s="2"/>
      <c r="Y972" s="2"/>
      <c r="AK972" s="2"/>
      <c r="AW972" s="2"/>
      <c r="BI972" s="2"/>
      <c r="BU972" s="2"/>
      <c r="CG972" s="2"/>
      <c r="CS972" s="2"/>
      <c r="DE972" s="2"/>
      <c r="DQ972" s="2"/>
    </row>
    <row r="973" spans="1:121" ht="13.5" customHeight="1" x14ac:dyDescent="0.3">
      <c r="A973" s="2"/>
      <c r="M973" s="2"/>
      <c r="Y973" s="2"/>
      <c r="AK973" s="2"/>
      <c r="AW973" s="2"/>
      <c r="BI973" s="2"/>
      <c r="BU973" s="2"/>
      <c r="CG973" s="2"/>
      <c r="CS973" s="2"/>
      <c r="DE973" s="2"/>
      <c r="DQ973" s="2"/>
    </row>
    <row r="974" spans="1:121" ht="13.5" customHeight="1" x14ac:dyDescent="0.3">
      <c r="A974" s="2"/>
      <c r="M974" s="2"/>
      <c r="Y974" s="2"/>
      <c r="AK974" s="2"/>
      <c r="AW974" s="2"/>
      <c r="BI974" s="2"/>
      <c r="BU974" s="2"/>
      <c r="CG974" s="2"/>
      <c r="CS974" s="2"/>
      <c r="DE974" s="2"/>
      <c r="DQ974" s="2"/>
    </row>
    <row r="975" spans="1:121" ht="13.5" customHeight="1" x14ac:dyDescent="0.3">
      <c r="A975" s="2"/>
      <c r="M975" s="2"/>
      <c r="Y975" s="2"/>
      <c r="AK975" s="2"/>
      <c r="AW975" s="2"/>
      <c r="BI975" s="2"/>
      <c r="BU975" s="2"/>
      <c r="CG975" s="2"/>
      <c r="CS975" s="2"/>
      <c r="DE975" s="2"/>
      <c r="DQ975" s="2"/>
    </row>
    <row r="976" spans="1:121" ht="13.5" customHeight="1" x14ac:dyDescent="0.3">
      <c r="A976" s="2"/>
      <c r="M976" s="2"/>
      <c r="Y976" s="2"/>
      <c r="AK976" s="2"/>
      <c r="AW976" s="2"/>
      <c r="BI976" s="2"/>
      <c r="BU976" s="2"/>
      <c r="CG976" s="2"/>
      <c r="CS976" s="2"/>
      <c r="DE976" s="2"/>
      <c r="DQ976" s="2"/>
    </row>
    <row r="977" spans="1:121" ht="13.5" customHeight="1" x14ac:dyDescent="0.3">
      <c r="A977" s="2"/>
      <c r="M977" s="2"/>
      <c r="Y977" s="2"/>
      <c r="AK977" s="2"/>
      <c r="AW977" s="2"/>
      <c r="BI977" s="2"/>
      <c r="BU977" s="2"/>
      <c r="CG977" s="2"/>
      <c r="CS977" s="2"/>
      <c r="DE977" s="2"/>
      <c r="DQ977" s="2"/>
    </row>
    <row r="978" spans="1:121" ht="13.5" customHeight="1" x14ac:dyDescent="0.3">
      <c r="A978" s="2"/>
      <c r="M978" s="2"/>
      <c r="Y978" s="2"/>
      <c r="AK978" s="2"/>
      <c r="AW978" s="2"/>
      <c r="BI978" s="2"/>
      <c r="BU978" s="2"/>
      <c r="CG978" s="2"/>
      <c r="CS978" s="2"/>
      <c r="DE978" s="2"/>
      <c r="DQ978" s="2"/>
    </row>
    <row r="979" spans="1:121" ht="13.5" customHeight="1" x14ac:dyDescent="0.3">
      <c r="A979" s="2"/>
      <c r="M979" s="2"/>
      <c r="Y979" s="2"/>
      <c r="AK979" s="2"/>
      <c r="AW979" s="2"/>
      <c r="BI979" s="2"/>
      <c r="BU979" s="2"/>
      <c r="CG979" s="2"/>
      <c r="CS979" s="2"/>
      <c r="DE979" s="2"/>
      <c r="DQ979" s="2"/>
    </row>
    <row r="980" spans="1:121" ht="13.5" customHeight="1" x14ac:dyDescent="0.3">
      <c r="A980" s="2"/>
      <c r="M980" s="2"/>
      <c r="Y980" s="2"/>
      <c r="AK980" s="2"/>
      <c r="AW980" s="2"/>
      <c r="BI980" s="2"/>
      <c r="BU980" s="2"/>
      <c r="CG980" s="2"/>
      <c r="CS980" s="2"/>
      <c r="DE980" s="2"/>
      <c r="DQ980" s="2"/>
    </row>
    <row r="981" spans="1:121" ht="13.5" customHeight="1" x14ac:dyDescent="0.3">
      <c r="A981" s="2"/>
      <c r="M981" s="2"/>
      <c r="Y981" s="2"/>
      <c r="AK981" s="2"/>
      <c r="AW981" s="2"/>
      <c r="BI981" s="2"/>
      <c r="BU981" s="2"/>
      <c r="CG981" s="2"/>
      <c r="CS981" s="2"/>
      <c r="DE981" s="2"/>
      <c r="DQ981" s="2"/>
    </row>
    <row r="982" spans="1:121" ht="13.5" customHeight="1" x14ac:dyDescent="0.3">
      <c r="A982" s="2"/>
      <c r="M982" s="2"/>
      <c r="Y982" s="2"/>
      <c r="AK982" s="2"/>
      <c r="AW982" s="2"/>
      <c r="BI982" s="2"/>
      <c r="BU982" s="2"/>
      <c r="CG982" s="2"/>
      <c r="CS982" s="2"/>
      <c r="DE982" s="2"/>
      <c r="DQ982" s="2"/>
    </row>
    <row r="983" spans="1:121" ht="13.5" customHeight="1" x14ac:dyDescent="0.3">
      <c r="A983" s="2"/>
      <c r="M983" s="2"/>
      <c r="Y983" s="2"/>
      <c r="AK983" s="2"/>
      <c r="AW983" s="2"/>
      <c r="BI983" s="2"/>
      <c r="BU983" s="2"/>
      <c r="CG983" s="2"/>
      <c r="CS983" s="2"/>
      <c r="DE983" s="2"/>
      <c r="DQ983" s="2"/>
    </row>
    <row r="984" spans="1:121" ht="13.5" customHeight="1" x14ac:dyDescent="0.3">
      <c r="A984" s="2"/>
      <c r="M984" s="2"/>
      <c r="Y984" s="2"/>
      <c r="AK984" s="2"/>
      <c r="AW984" s="2"/>
      <c r="BI984" s="2"/>
      <c r="BU984" s="2"/>
      <c r="CG984" s="2"/>
      <c r="CS984" s="2"/>
      <c r="DE984" s="2"/>
      <c r="DQ984" s="2"/>
    </row>
    <row r="985" spans="1:121" ht="13.5" customHeight="1" x14ac:dyDescent="0.3">
      <c r="A985" s="2"/>
      <c r="M985" s="2"/>
      <c r="Y985" s="2"/>
      <c r="AK985" s="2"/>
      <c r="AW985" s="2"/>
      <c r="BI985" s="2"/>
      <c r="BU985" s="2"/>
      <c r="CG985" s="2"/>
      <c r="CS985" s="2"/>
      <c r="DE985" s="2"/>
      <c r="DQ985" s="2"/>
    </row>
    <row r="986" spans="1:121" ht="13.5" customHeight="1" x14ac:dyDescent="0.3">
      <c r="A986" s="2"/>
      <c r="M986" s="2"/>
      <c r="Y986" s="2"/>
      <c r="AK986" s="2"/>
      <c r="AW986" s="2"/>
      <c r="BI986" s="2"/>
      <c r="BU986" s="2"/>
      <c r="CG986" s="2"/>
      <c r="CS986" s="2"/>
      <c r="DE986" s="2"/>
      <c r="DQ986" s="2"/>
    </row>
    <row r="987" spans="1:121" ht="13.5" customHeight="1" x14ac:dyDescent="0.3">
      <c r="A987" s="2"/>
      <c r="M987" s="2"/>
      <c r="Y987" s="2"/>
      <c r="AK987" s="2"/>
      <c r="AW987" s="2"/>
      <c r="BI987" s="2"/>
      <c r="BU987" s="2"/>
      <c r="CG987" s="2"/>
      <c r="CS987" s="2"/>
      <c r="DE987" s="2"/>
      <c r="DQ987" s="2"/>
    </row>
    <row r="988" spans="1:121" ht="13.5" customHeight="1" x14ac:dyDescent="0.3">
      <c r="A988" s="2"/>
      <c r="M988" s="2"/>
      <c r="Y988" s="2"/>
      <c r="AK988" s="2"/>
      <c r="AW988" s="2"/>
      <c r="BI988" s="2"/>
      <c r="BU988" s="2"/>
      <c r="CG988" s="2"/>
      <c r="CS988" s="2"/>
      <c r="DE988" s="2"/>
      <c r="DQ988" s="2"/>
    </row>
    <row r="989" spans="1:121" ht="13.5" customHeight="1" x14ac:dyDescent="0.3">
      <c r="A989" s="2"/>
      <c r="M989" s="2"/>
      <c r="Y989" s="2"/>
      <c r="AK989" s="2"/>
      <c r="AW989" s="2"/>
      <c r="BI989" s="2"/>
      <c r="BU989" s="2"/>
      <c r="CG989" s="2"/>
      <c r="CS989" s="2"/>
      <c r="DE989" s="2"/>
      <c r="DQ989" s="2"/>
    </row>
    <row r="990" spans="1:121" ht="13.5" customHeight="1" x14ac:dyDescent="0.3">
      <c r="A990" s="2"/>
      <c r="M990" s="2"/>
      <c r="Y990" s="2"/>
      <c r="AK990" s="2"/>
      <c r="AW990" s="2"/>
      <c r="BI990" s="2"/>
      <c r="BU990" s="2"/>
      <c r="CG990" s="2"/>
      <c r="CS990" s="2"/>
      <c r="DE990" s="2"/>
      <c r="DQ990" s="2"/>
    </row>
    <row r="991" spans="1:121" ht="13.5" customHeight="1" x14ac:dyDescent="0.3">
      <c r="A991" s="2"/>
      <c r="M991" s="2"/>
      <c r="Y991" s="2"/>
      <c r="AK991" s="2"/>
      <c r="AW991" s="2"/>
      <c r="BI991" s="2"/>
      <c r="BU991" s="2"/>
      <c r="CG991" s="2"/>
      <c r="CS991" s="2"/>
      <c r="DE991" s="2"/>
      <c r="DQ991" s="2"/>
    </row>
    <row r="992" spans="1:121" ht="13.5" customHeight="1" x14ac:dyDescent="0.3">
      <c r="A992" s="2"/>
      <c r="M992" s="2"/>
      <c r="Y992" s="2"/>
      <c r="AK992" s="2"/>
      <c r="AW992" s="2"/>
      <c r="BI992" s="2"/>
      <c r="BU992" s="2"/>
      <c r="CG992" s="2"/>
      <c r="CS992" s="2"/>
      <c r="DE992" s="2"/>
      <c r="DQ992" s="2"/>
    </row>
    <row r="993" spans="1:121" ht="13.5" customHeight="1" x14ac:dyDescent="0.3">
      <c r="A993" s="2"/>
      <c r="M993" s="2"/>
      <c r="Y993" s="2"/>
      <c r="AK993" s="2"/>
      <c r="AW993" s="2"/>
      <c r="BI993" s="2"/>
      <c r="BU993" s="2"/>
      <c r="CG993" s="2"/>
      <c r="CS993" s="2"/>
      <c r="DE993" s="2"/>
      <c r="DQ993" s="2"/>
    </row>
    <row r="994" spans="1:121" ht="13.5" customHeight="1" x14ac:dyDescent="0.3">
      <c r="A994" s="2"/>
      <c r="M994" s="2"/>
      <c r="Y994" s="2"/>
      <c r="AK994" s="2"/>
      <c r="AW994" s="2"/>
      <c r="BI994" s="2"/>
      <c r="BU994" s="2"/>
      <c r="CG994" s="2"/>
      <c r="CS994" s="2"/>
      <c r="DE994" s="2"/>
      <c r="DQ994" s="2"/>
    </row>
    <row r="995" spans="1:121" ht="13.5" customHeight="1" x14ac:dyDescent="0.3">
      <c r="A995" s="2"/>
      <c r="M995" s="2"/>
      <c r="Y995" s="2"/>
      <c r="AK995" s="2"/>
      <c r="AW995" s="2"/>
      <c r="BI995" s="2"/>
      <c r="BU995" s="2"/>
      <c r="CG995" s="2"/>
      <c r="CS995" s="2"/>
      <c r="DE995" s="2"/>
      <c r="DQ995" s="2"/>
    </row>
    <row r="996" spans="1:121" ht="13.5" customHeight="1" x14ac:dyDescent="0.3">
      <c r="A996" s="2"/>
      <c r="M996" s="2"/>
      <c r="Y996" s="2"/>
      <c r="AK996" s="2"/>
      <c r="AW996" s="2"/>
      <c r="BI996" s="2"/>
      <c r="BU996" s="2"/>
      <c r="CG996" s="2"/>
      <c r="CS996" s="2"/>
      <c r="DE996" s="2"/>
      <c r="DQ996" s="2"/>
    </row>
    <row r="997" spans="1:121" ht="13.5" customHeight="1" x14ac:dyDescent="0.3">
      <c r="A997" s="2"/>
      <c r="M997" s="2"/>
      <c r="Y997" s="2"/>
      <c r="AK997" s="2"/>
      <c r="AW997" s="2"/>
      <c r="BI997" s="2"/>
      <c r="BU997" s="2"/>
      <c r="CG997" s="2"/>
      <c r="CS997" s="2"/>
      <c r="DE997" s="2"/>
      <c r="DQ997" s="2"/>
    </row>
    <row r="998" spans="1:121" ht="13.5" customHeight="1" x14ac:dyDescent="0.3">
      <c r="A998" s="2"/>
      <c r="M998" s="2"/>
      <c r="Y998" s="2"/>
      <c r="AK998" s="2"/>
      <c r="AW998" s="2"/>
      <c r="BI998" s="2"/>
      <c r="BU998" s="2"/>
      <c r="CG998" s="2"/>
      <c r="CS998" s="2"/>
      <c r="DE998" s="2"/>
      <c r="DQ998" s="2"/>
    </row>
    <row r="999" spans="1:121" ht="13.5" customHeight="1" x14ac:dyDescent="0.3">
      <c r="A999" s="2"/>
      <c r="M999" s="2"/>
      <c r="Y999" s="2"/>
      <c r="AK999" s="2"/>
      <c r="AW999" s="2"/>
      <c r="BI999" s="2"/>
      <c r="BU999" s="2"/>
      <c r="CG999" s="2"/>
      <c r="CS999" s="2"/>
      <c r="DE999" s="2"/>
      <c r="DQ999" s="2"/>
    </row>
    <row r="1000" spans="1:121" ht="13.5" customHeight="1" x14ac:dyDescent="0.3">
      <c r="A1000" s="2"/>
      <c r="M1000" s="2"/>
      <c r="Y1000" s="2"/>
      <c r="AK1000" s="2"/>
      <c r="AW1000" s="2"/>
      <c r="BI1000" s="2"/>
      <c r="BU1000" s="2"/>
      <c r="CG1000" s="2"/>
      <c r="CS1000" s="2"/>
      <c r="DE1000" s="2"/>
      <c r="DQ1000" s="2"/>
    </row>
    <row r="1001" spans="1:121" ht="13.5" customHeight="1" x14ac:dyDescent="0.3">
      <c r="A1001" s="2"/>
      <c r="M1001" s="2"/>
      <c r="Y1001" s="2"/>
      <c r="AK1001" s="2"/>
      <c r="AW1001" s="2"/>
      <c r="BI1001" s="2"/>
      <c r="BU1001" s="2"/>
      <c r="CG1001" s="2"/>
      <c r="CS1001" s="2"/>
      <c r="DE1001" s="2"/>
      <c r="DQ1001" s="2"/>
    </row>
    <row r="1002" spans="1:121" ht="13.5" customHeight="1" x14ac:dyDescent="0.3">
      <c r="A1002" s="2"/>
      <c r="M1002" s="2"/>
      <c r="Y1002" s="2"/>
      <c r="AK1002" s="2"/>
      <c r="AW1002" s="2"/>
      <c r="BI1002" s="2"/>
      <c r="BU1002" s="2"/>
      <c r="CG1002" s="2"/>
      <c r="CS1002" s="2"/>
      <c r="DE1002" s="2"/>
      <c r="DQ1002" s="2"/>
    </row>
    <row r="1003" spans="1:121" ht="13.5" customHeight="1" x14ac:dyDescent="0.3">
      <c r="A1003" s="2"/>
      <c r="M1003" s="2"/>
      <c r="Y1003" s="2"/>
      <c r="AK1003" s="2"/>
      <c r="AW1003" s="2"/>
      <c r="BI1003" s="2"/>
      <c r="BU1003" s="2"/>
      <c r="CG1003" s="2"/>
      <c r="CS1003" s="2"/>
      <c r="DE1003" s="2"/>
      <c r="DQ1003" s="2"/>
    </row>
    <row r="1004" spans="1:121" ht="13.5" customHeight="1" x14ac:dyDescent="0.3">
      <c r="A1004" s="2"/>
      <c r="M1004" s="2"/>
      <c r="Y1004" s="2"/>
      <c r="AK1004" s="2"/>
      <c r="AW1004" s="2"/>
      <c r="BI1004" s="2"/>
      <c r="BU1004" s="2"/>
      <c r="CG1004" s="2"/>
      <c r="CS1004" s="2"/>
      <c r="DE1004" s="2"/>
      <c r="DQ1004" s="2"/>
    </row>
    <row r="1005" spans="1:121" ht="13.5" customHeight="1" x14ac:dyDescent="0.3">
      <c r="A1005" s="2"/>
      <c r="M1005" s="2"/>
      <c r="Y1005" s="2"/>
      <c r="AK1005" s="2"/>
      <c r="AW1005" s="2"/>
      <c r="BI1005" s="2"/>
      <c r="BU1005" s="2"/>
      <c r="CG1005" s="2"/>
      <c r="CS1005" s="2"/>
      <c r="DE1005" s="2"/>
      <c r="DQ1005" s="2"/>
    </row>
    <row r="1006" spans="1:121" ht="13.5" customHeight="1" x14ac:dyDescent="0.3">
      <c r="A1006" s="2"/>
      <c r="M1006" s="2"/>
      <c r="Y1006" s="2"/>
      <c r="AK1006" s="2"/>
      <c r="AW1006" s="2"/>
      <c r="BI1006" s="2"/>
      <c r="BU1006" s="2"/>
      <c r="CG1006" s="2"/>
      <c r="CS1006" s="2"/>
      <c r="DE1006" s="2"/>
      <c r="DQ1006" s="2"/>
    </row>
    <row r="1007" spans="1:121" ht="13.5" customHeight="1" x14ac:dyDescent="0.3">
      <c r="A1007" s="2"/>
      <c r="M1007" s="2"/>
      <c r="Y1007" s="2"/>
      <c r="AK1007" s="2"/>
      <c r="AW1007" s="2"/>
      <c r="BI1007" s="2"/>
      <c r="BU1007" s="2"/>
      <c r="CG1007" s="2"/>
      <c r="CS1007" s="2"/>
      <c r="DE1007" s="2"/>
      <c r="DQ1007" s="2"/>
    </row>
    <row r="1008" spans="1:121" ht="13.5" customHeight="1" x14ac:dyDescent="0.3">
      <c r="A1008" s="2"/>
      <c r="M1008" s="2"/>
      <c r="Y1008" s="2"/>
      <c r="AK1008" s="2"/>
      <c r="AW1008" s="2"/>
      <c r="BI1008" s="2"/>
      <c r="BU1008" s="2"/>
      <c r="CG1008" s="2"/>
      <c r="CS1008" s="2"/>
      <c r="DE1008" s="2"/>
      <c r="DQ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topLeftCell="R1" workbookViewId="0">
      <selection activeCell="AH4" sqref="AH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1387</v>
      </c>
      <c r="B1" s="2">
        <v>36588</v>
      </c>
      <c r="C1" s="1" t="s">
        <v>1388</v>
      </c>
      <c r="D1" s="2">
        <f ca="1">TODAY()</f>
        <v>46198</v>
      </c>
      <c r="E1" s="33" t="s">
        <v>1389</v>
      </c>
      <c r="F1" s="3">
        <v>30</v>
      </c>
      <c r="G1" s="1" t="s">
        <v>1390</v>
      </c>
      <c r="H1" s="3" t="s">
        <v>1391</v>
      </c>
      <c r="I1" s="1" t="s">
        <v>5</v>
      </c>
      <c r="J1" s="3" t="s">
        <v>9</v>
      </c>
      <c r="K1" s="1" t="s">
        <v>1392</v>
      </c>
      <c r="L1" s="30">
        <v>0</v>
      </c>
      <c r="M1" s="1" t="s">
        <v>1393</v>
      </c>
      <c r="N1" s="3" t="s">
        <v>1394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1395</v>
      </c>
      <c r="C3" s="5" t="s">
        <v>1396</v>
      </c>
      <c r="D3" s="5" t="s">
        <v>1397</v>
      </c>
      <c r="E3" s="34" t="s">
        <v>1398</v>
      </c>
      <c r="F3" s="5" t="s">
        <v>1399</v>
      </c>
      <c r="G3" s="5" t="s">
        <v>1401</v>
      </c>
      <c r="H3" s="4" t="s">
        <v>2</v>
      </c>
      <c r="I3" s="6" t="s">
        <v>1395</v>
      </c>
      <c r="J3" s="6" t="s">
        <v>1396</v>
      </c>
      <c r="K3" s="6" t="s">
        <v>1397</v>
      </c>
      <c r="L3" s="32" t="s">
        <v>1398</v>
      </c>
      <c r="M3" s="6" t="s">
        <v>1399</v>
      </c>
      <c r="N3" s="4" t="s">
        <v>2</v>
      </c>
      <c r="O3" s="7" t="s">
        <v>1395</v>
      </c>
      <c r="P3" s="7" t="s">
        <v>1396</v>
      </c>
      <c r="Q3" s="7" t="s">
        <v>1397</v>
      </c>
      <c r="R3" s="29" t="s">
        <v>1398</v>
      </c>
      <c r="S3" s="7" t="s">
        <v>1399</v>
      </c>
      <c r="T3" s="4" t="s">
        <v>2</v>
      </c>
      <c r="U3" s="8" t="s">
        <v>1395</v>
      </c>
      <c r="V3" s="8" t="s">
        <v>1396</v>
      </c>
      <c r="W3" s="8" t="s">
        <v>1397</v>
      </c>
      <c r="X3" s="27" t="s">
        <v>1398</v>
      </c>
      <c r="Y3" s="8" t="s">
        <v>1399</v>
      </c>
      <c r="Z3" s="4" t="s">
        <v>2</v>
      </c>
      <c r="AA3" s="9" t="s">
        <v>1395</v>
      </c>
      <c r="AB3" s="9" t="s">
        <v>1396</v>
      </c>
      <c r="AC3" s="9" t="s">
        <v>1397</v>
      </c>
      <c r="AD3" s="26" t="s">
        <v>1398</v>
      </c>
      <c r="AE3" s="9" t="s">
        <v>1399</v>
      </c>
      <c r="AF3" s="4" t="s">
        <v>2</v>
      </c>
      <c r="AG3" s="10" t="s">
        <v>1395</v>
      </c>
      <c r="AH3" s="10" t="s">
        <v>1396</v>
      </c>
      <c r="AI3" s="10" t="s">
        <v>1397</v>
      </c>
      <c r="AJ3" s="28" t="s">
        <v>1398</v>
      </c>
      <c r="AK3" s="10" t="s">
        <v>1399</v>
      </c>
      <c r="AL3" s="10" t="s">
        <v>1401</v>
      </c>
      <c r="AM3" s="4" t="s">
        <v>2</v>
      </c>
      <c r="AN3" s="11" t="s">
        <v>1395</v>
      </c>
      <c r="AO3" s="11" t="s">
        <v>1396</v>
      </c>
      <c r="AP3" s="11" t="s">
        <v>1397</v>
      </c>
      <c r="AQ3" s="41" t="s">
        <v>1398</v>
      </c>
      <c r="AR3" s="11" t="s">
        <v>1399</v>
      </c>
      <c r="AS3" s="4" t="s">
        <v>2</v>
      </c>
      <c r="AT3" s="12" t="s">
        <v>1395</v>
      </c>
      <c r="AU3" s="12" t="s">
        <v>1396</v>
      </c>
      <c r="AV3" s="12" t="s">
        <v>1397</v>
      </c>
      <c r="AW3" s="38" t="s">
        <v>1398</v>
      </c>
      <c r="AX3" s="12" t="s">
        <v>1399</v>
      </c>
      <c r="AY3" s="4" t="s">
        <v>2</v>
      </c>
      <c r="AZ3" s="13" t="s">
        <v>1395</v>
      </c>
      <c r="BA3" s="13" t="s">
        <v>1396</v>
      </c>
      <c r="BB3" s="13" t="s">
        <v>1397</v>
      </c>
      <c r="BC3" s="37" t="s">
        <v>1398</v>
      </c>
      <c r="BD3" s="13" t="s">
        <v>1400</v>
      </c>
      <c r="BE3" s="13" t="s">
        <v>1401</v>
      </c>
      <c r="BF3" s="4" t="s">
        <v>2</v>
      </c>
      <c r="BG3" s="14" t="s">
        <v>1395</v>
      </c>
      <c r="BH3" s="14" t="s">
        <v>1396</v>
      </c>
      <c r="BI3" s="14" t="s">
        <v>1397</v>
      </c>
      <c r="BJ3" s="35" t="s">
        <v>1398</v>
      </c>
      <c r="BK3" s="14" t="s">
        <v>1399</v>
      </c>
      <c r="BL3" s="4" t="s">
        <v>2</v>
      </c>
      <c r="BM3" s="15" t="s">
        <v>1395</v>
      </c>
      <c r="BN3" s="15" t="s">
        <v>1396</v>
      </c>
      <c r="BO3" s="15" t="s">
        <v>1397</v>
      </c>
      <c r="BP3" s="36" t="s">
        <v>1398</v>
      </c>
      <c r="BQ3" s="15" t="s">
        <v>1399</v>
      </c>
    </row>
    <row r="4" spans="1:69" ht="13.5" customHeight="1" x14ac:dyDescent="0.3">
      <c r="A4" s="2">
        <v>46198</v>
      </c>
      <c r="B4" s="3">
        <v>110165</v>
      </c>
      <c r="C4" s="3">
        <v>4152147763528</v>
      </c>
      <c r="D4" s="3">
        <v>110171.61</v>
      </c>
      <c r="E4" s="24">
        <v>-0.01</v>
      </c>
      <c r="F4" s="3">
        <v>37688000</v>
      </c>
      <c r="G4" s="3">
        <v>5.7386999999999997</v>
      </c>
      <c r="H4" s="2">
        <v>46198</v>
      </c>
      <c r="I4" s="3">
        <v>87420</v>
      </c>
      <c r="J4" s="3">
        <v>280915820603</v>
      </c>
      <c r="K4" s="3">
        <v>87567.28</v>
      </c>
      <c r="L4" s="30">
        <v>-0.17</v>
      </c>
      <c r="M4" s="3">
        <v>3208000</v>
      </c>
      <c r="N4" s="2">
        <v>46198</v>
      </c>
      <c r="O4" s="3">
        <v>90600</v>
      </c>
      <c r="P4" s="3">
        <v>397038092373</v>
      </c>
      <c r="Q4" s="3">
        <v>90544.6</v>
      </c>
      <c r="R4" s="24">
        <v>0.06</v>
      </c>
      <c r="S4" s="3">
        <v>4385000</v>
      </c>
      <c r="T4" s="2">
        <v>46198</v>
      </c>
      <c r="U4" s="3">
        <v>98545</v>
      </c>
      <c r="V4" s="3">
        <v>106350285019</v>
      </c>
      <c r="W4" s="3">
        <v>98655.18</v>
      </c>
      <c r="X4" s="24">
        <v>-0.11</v>
      </c>
      <c r="Y4" s="3">
        <v>1078000</v>
      </c>
      <c r="Z4" s="2">
        <v>46198</v>
      </c>
      <c r="AA4" s="3">
        <v>99945</v>
      </c>
      <c r="AB4" s="3">
        <v>73753455002</v>
      </c>
      <c r="AC4" s="3">
        <v>99936.93</v>
      </c>
      <c r="AD4" s="24">
        <v>0.01</v>
      </c>
      <c r="AE4" s="3">
        <v>738000</v>
      </c>
      <c r="AF4" s="2">
        <v>46198</v>
      </c>
      <c r="AG4" s="3">
        <v>106450</v>
      </c>
      <c r="AH4" s="3">
        <v>1383863748163</v>
      </c>
      <c r="AI4" s="3">
        <v>106442.87</v>
      </c>
      <c r="AJ4" s="24">
        <v>0.01</v>
      </c>
      <c r="AK4" s="3">
        <v>13001000</v>
      </c>
      <c r="AL4" s="3">
        <v>5.8413000000000004</v>
      </c>
      <c r="AM4" s="2">
        <v>46198</v>
      </c>
      <c r="AN4" s="3">
        <v>54005</v>
      </c>
      <c r="AO4" s="3">
        <v>1167832170692</v>
      </c>
      <c r="AP4" s="3">
        <v>54006.3</v>
      </c>
      <c r="AQ4" s="39">
        <v>0</v>
      </c>
      <c r="AR4" s="3">
        <v>21624000</v>
      </c>
      <c r="AS4" s="2">
        <v>46198</v>
      </c>
      <c r="AT4" s="3">
        <v>51080</v>
      </c>
      <c r="AU4" s="3">
        <v>405328186041</v>
      </c>
      <c r="AV4" s="3">
        <v>51061.75</v>
      </c>
      <c r="AW4" s="24">
        <v>0.04</v>
      </c>
      <c r="AX4" s="3">
        <v>7938000</v>
      </c>
      <c r="AY4" s="2">
        <v>46198</v>
      </c>
      <c r="AZ4" s="3">
        <v>103200</v>
      </c>
      <c r="BA4" s="3">
        <v>2196781885397</v>
      </c>
      <c r="BB4" s="3">
        <v>103140.14</v>
      </c>
      <c r="BC4" s="24">
        <v>0.06</v>
      </c>
      <c r="BD4" s="3">
        <v>21299000</v>
      </c>
      <c r="BE4" s="3">
        <v>5.6013000000000002</v>
      </c>
      <c r="BF4" s="2">
        <v>46198</v>
      </c>
      <c r="BG4" s="3">
        <v>50010</v>
      </c>
      <c r="BH4" s="3">
        <v>36902987661</v>
      </c>
      <c r="BI4" s="3">
        <v>50004.05</v>
      </c>
      <c r="BJ4" s="24">
        <v>0.01</v>
      </c>
      <c r="BK4" s="3">
        <v>738000</v>
      </c>
      <c r="BL4" s="2">
        <v>46198</v>
      </c>
      <c r="BM4" s="3">
        <v>114720</v>
      </c>
      <c r="BN4" s="3">
        <v>553145058063</v>
      </c>
      <c r="BO4" s="3">
        <v>114736.58</v>
      </c>
      <c r="BP4" s="24">
        <v>-0.01</v>
      </c>
      <c r="BQ4" s="3">
        <v>4821000</v>
      </c>
    </row>
    <row r="5" spans="1:69" ht="13.5" customHeight="1" x14ac:dyDescent="0.3">
      <c r="A5" s="2">
        <v>46197</v>
      </c>
      <c r="B5" s="3">
        <v>110250</v>
      </c>
      <c r="C5" s="3">
        <v>4182666989904</v>
      </c>
      <c r="D5" s="3">
        <v>110171.61</v>
      </c>
      <c r="E5" s="24">
        <v>-0.01</v>
      </c>
      <c r="F5" s="3">
        <v>37915000</v>
      </c>
      <c r="G5" s="3">
        <v>5.7653999999999996</v>
      </c>
      <c r="H5" s="2">
        <v>46197</v>
      </c>
      <c r="I5" s="3">
        <v>87580</v>
      </c>
      <c r="J5" s="3">
        <v>281732680237</v>
      </c>
      <c r="K5" s="3">
        <v>87567.28</v>
      </c>
      <c r="L5" s="30">
        <v>-0.17</v>
      </c>
      <c r="M5" s="3">
        <v>3208000</v>
      </c>
      <c r="N5" s="2">
        <v>46197</v>
      </c>
      <c r="O5" s="3">
        <v>90830</v>
      </c>
      <c r="P5" s="3">
        <v>389302349880</v>
      </c>
      <c r="Q5" s="3">
        <v>90544.6</v>
      </c>
      <c r="R5" s="24">
        <v>0.06</v>
      </c>
      <c r="S5" s="3">
        <v>4271000</v>
      </c>
      <c r="T5" s="2">
        <v>46197</v>
      </c>
      <c r="U5" s="3">
        <v>98600</v>
      </c>
      <c r="V5" s="3">
        <v>106449228327</v>
      </c>
      <c r="W5" s="3">
        <v>98655.18</v>
      </c>
      <c r="X5" s="24">
        <v>-0.11</v>
      </c>
      <c r="Y5" s="3">
        <v>1078000</v>
      </c>
      <c r="Z5" s="2">
        <v>46197</v>
      </c>
      <c r="AA5" s="3">
        <v>99970</v>
      </c>
      <c r="AB5" s="3">
        <v>73765876251</v>
      </c>
      <c r="AC5" s="3">
        <v>99936.93</v>
      </c>
      <c r="AD5" s="24">
        <v>0.01</v>
      </c>
      <c r="AE5" s="3">
        <v>738000</v>
      </c>
      <c r="AF5" s="2">
        <v>46197</v>
      </c>
      <c r="AG5" s="3">
        <v>106330</v>
      </c>
      <c r="AH5" s="3">
        <v>1380634080717</v>
      </c>
      <c r="AI5" s="3">
        <v>106442.87</v>
      </c>
      <c r="AJ5" s="24">
        <v>0.01</v>
      </c>
      <c r="AK5" s="3">
        <v>12952000</v>
      </c>
      <c r="AL5" s="3">
        <v>5.8616000000000001</v>
      </c>
      <c r="AM5" s="2">
        <v>46197</v>
      </c>
      <c r="AN5" s="3">
        <v>54010</v>
      </c>
      <c r="AO5" s="3">
        <v>1167653722674</v>
      </c>
      <c r="AP5" s="3">
        <v>54006.3</v>
      </c>
      <c r="AQ5" s="39">
        <v>0</v>
      </c>
      <c r="AR5" s="3">
        <v>21622000</v>
      </c>
      <c r="AS5" s="2">
        <v>46197</v>
      </c>
      <c r="AT5" s="3">
        <v>51075</v>
      </c>
      <c r="AU5" s="3">
        <v>405381562400</v>
      </c>
      <c r="AV5" s="3">
        <v>51061.75</v>
      </c>
      <c r="AW5" s="24">
        <v>0.04</v>
      </c>
      <c r="AX5" s="3">
        <v>7938000</v>
      </c>
      <c r="AY5" s="2">
        <v>46197</v>
      </c>
      <c r="AZ5" s="3">
        <v>103230</v>
      </c>
      <c r="BA5" s="3">
        <v>2205422646363</v>
      </c>
      <c r="BB5" s="3">
        <v>103140.14</v>
      </c>
      <c r="BC5" s="24">
        <v>0.06</v>
      </c>
      <c r="BD5" s="3">
        <v>21352000</v>
      </c>
      <c r="BE5" s="3">
        <v>5.6256000000000004</v>
      </c>
      <c r="BF5" s="2">
        <v>46197</v>
      </c>
      <c r="BG5" s="3">
        <v>49975</v>
      </c>
      <c r="BH5" s="3">
        <v>36909571802</v>
      </c>
      <c r="BI5" s="3">
        <v>50004.05</v>
      </c>
      <c r="BJ5" s="24">
        <v>0.01</v>
      </c>
      <c r="BK5" s="3">
        <v>738000</v>
      </c>
      <c r="BL5" s="2">
        <v>46197</v>
      </c>
      <c r="BM5" s="3">
        <v>114705</v>
      </c>
      <c r="BN5" s="3">
        <v>553258330974</v>
      </c>
      <c r="BO5" s="3">
        <v>114736.58</v>
      </c>
      <c r="BP5" s="24">
        <v>-0.01</v>
      </c>
      <c r="BQ5" s="3">
        <v>4821000</v>
      </c>
    </row>
    <row r="6" spans="1:69" ht="13.5" customHeight="1" x14ac:dyDescent="0.3">
      <c r="A6" s="2">
        <v>46196</v>
      </c>
      <c r="B6" s="3">
        <v>110220</v>
      </c>
      <c r="C6" s="3">
        <v>4118299374548</v>
      </c>
      <c r="D6" s="3">
        <v>110316.95</v>
      </c>
      <c r="E6" s="24">
        <v>-0.06</v>
      </c>
      <c r="F6" s="3">
        <v>37356000</v>
      </c>
      <c r="G6" s="3">
        <v>5.9032999999999998</v>
      </c>
      <c r="H6" s="2">
        <v>46196</v>
      </c>
      <c r="I6" s="3">
        <v>87650</v>
      </c>
      <c r="J6" s="3">
        <v>281438357882</v>
      </c>
      <c r="K6" s="3">
        <v>87821.91</v>
      </c>
      <c r="L6" s="30">
        <v>-0.28000000000000003</v>
      </c>
      <c r="M6" s="3">
        <v>3208000</v>
      </c>
      <c r="N6" s="2">
        <v>46196</v>
      </c>
      <c r="O6" s="3">
        <v>91180</v>
      </c>
      <c r="P6" s="3">
        <v>389453634025</v>
      </c>
      <c r="Q6" s="3">
        <v>91150.16</v>
      </c>
      <c r="R6" s="24">
        <v>-0.35</v>
      </c>
      <c r="S6" s="3">
        <v>4272000</v>
      </c>
      <c r="T6" s="2">
        <v>46196</v>
      </c>
      <c r="U6" s="3">
        <v>98380</v>
      </c>
      <c r="V6" s="3">
        <v>106166835847</v>
      </c>
      <c r="W6" s="3">
        <v>98746.97</v>
      </c>
      <c r="X6" s="24">
        <v>-0.15</v>
      </c>
      <c r="Y6" s="3">
        <v>1078000</v>
      </c>
      <c r="Z6" s="2">
        <v>46196</v>
      </c>
      <c r="AA6" s="3">
        <v>99775</v>
      </c>
      <c r="AB6" s="3">
        <v>73667694472</v>
      </c>
      <c r="AC6" s="3">
        <v>99953.76</v>
      </c>
      <c r="AD6" s="24">
        <v>0.02</v>
      </c>
      <c r="AE6" s="3">
        <v>738000</v>
      </c>
      <c r="AF6" s="2">
        <v>46196</v>
      </c>
      <c r="AG6" s="3">
        <v>106460</v>
      </c>
      <c r="AH6" s="3">
        <v>1357128855658</v>
      </c>
      <c r="AI6" s="3">
        <v>106596.21</v>
      </c>
      <c r="AJ6" s="24">
        <v>-0.25</v>
      </c>
      <c r="AK6" s="3">
        <v>12743000</v>
      </c>
      <c r="AL6" s="3">
        <v>5.8769</v>
      </c>
      <c r="AM6" s="2">
        <v>46196</v>
      </c>
      <c r="AN6" s="3">
        <v>54010</v>
      </c>
      <c r="AO6" s="3">
        <v>1164324165373</v>
      </c>
      <c r="AP6" s="3">
        <v>54003.040000000001</v>
      </c>
      <c r="AQ6" s="39">
        <v>0.01</v>
      </c>
      <c r="AR6" s="3">
        <v>21562000</v>
      </c>
      <c r="AS6" s="2">
        <v>46196</v>
      </c>
      <c r="AT6" s="3">
        <v>51060</v>
      </c>
      <c r="AU6" s="3">
        <v>405253690956</v>
      </c>
      <c r="AV6" s="3">
        <v>51068.480000000003</v>
      </c>
      <c r="AW6" s="24">
        <v>0.01</v>
      </c>
      <c r="AX6" s="3">
        <v>7938000</v>
      </c>
      <c r="AY6" s="2">
        <v>46196</v>
      </c>
      <c r="AZ6" s="3">
        <v>103165</v>
      </c>
      <c r="BA6" s="3">
        <v>2182859800821</v>
      </c>
      <c r="BB6" s="3">
        <v>103288.81</v>
      </c>
      <c r="BC6" s="24">
        <v>-0.06</v>
      </c>
      <c r="BD6" s="3">
        <v>21151000</v>
      </c>
      <c r="BE6" s="3">
        <v>5.6402000000000001</v>
      </c>
      <c r="BF6" s="2">
        <v>46196</v>
      </c>
      <c r="BG6" s="3">
        <v>49945</v>
      </c>
      <c r="BH6" s="3">
        <v>36872644593</v>
      </c>
      <c r="BI6" s="3">
        <v>50012.97</v>
      </c>
      <c r="BJ6" s="24">
        <v>-0.08</v>
      </c>
      <c r="BK6" s="3">
        <v>738000</v>
      </c>
      <c r="BL6" s="2">
        <v>46196</v>
      </c>
      <c r="BM6" s="3">
        <v>114585</v>
      </c>
      <c r="BN6" s="3">
        <v>559867089965</v>
      </c>
      <c r="BO6" s="3">
        <v>114760.08</v>
      </c>
      <c r="BP6" s="24">
        <v>-0.05</v>
      </c>
      <c r="BQ6" s="3">
        <v>4883000</v>
      </c>
    </row>
    <row r="7" spans="1:69" ht="13.5" customHeight="1" x14ac:dyDescent="0.3">
      <c r="A7" s="2">
        <v>46195</v>
      </c>
      <c r="B7" s="3">
        <v>110380</v>
      </c>
      <c r="C7" s="3">
        <v>4087711238669</v>
      </c>
      <c r="D7" s="3">
        <v>110244.66</v>
      </c>
      <c r="E7" s="24">
        <v>-0.02</v>
      </c>
      <c r="F7" s="3">
        <v>37018000</v>
      </c>
      <c r="G7" s="3">
        <v>5.9195000000000002</v>
      </c>
      <c r="H7" s="2">
        <v>46195</v>
      </c>
      <c r="I7" s="3">
        <v>87975</v>
      </c>
      <c r="J7" s="3">
        <v>282419721184</v>
      </c>
      <c r="K7" s="3">
        <v>87730.16</v>
      </c>
      <c r="L7" s="30">
        <v>-0.09</v>
      </c>
      <c r="M7" s="3">
        <v>3208000</v>
      </c>
      <c r="N7" s="2">
        <v>46195</v>
      </c>
      <c r="O7" s="3">
        <v>91815</v>
      </c>
      <c r="P7" s="3">
        <v>392349402416</v>
      </c>
      <c r="Q7" s="3">
        <v>91164.24</v>
      </c>
      <c r="R7" s="24">
        <v>0.02</v>
      </c>
      <c r="S7" s="3">
        <v>4274000</v>
      </c>
      <c r="T7" s="2">
        <v>46195</v>
      </c>
      <c r="U7" s="3">
        <v>98485</v>
      </c>
      <c r="V7" s="3">
        <v>106236478383</v>
      </c>
      <c r="W7" s="3">
        <v>98485.01</v>
      </c>
      <c r="X7" s="24">
        <v>-0.11</v>
      </c>
      <c r="Y7" s="3">
        <v>1078000</v>
      </c>
      <c r="Z7" s="2">
        <v>46195</v>
      </c>
      <c r="AA7" s="3">
        <v>99915</v>
      </c>
      <c r="AB7" s="3">
        <v>73712348860</v>
      </c>
      <c r="AC7" s="3">
        <v>99820.72</v>
      </c>
      <c r="AD7" s="24">
        <v>-0.05</v>
      </c>
      <c r="AE7" s="3">
        <v>738000</v>
      </c>
      <c r="AF7" s="2">
        <v>46195</v>
      </c>
      <c r="AG7" s="3">
        <v>106720</v>
      </c>
      <c r="AH7" s="3">
        <v>1346438398827</v>
      </c>
      <c r="AI7" s="3">
        <v>106499.95</v>
      </c>
      <c r="AJ7" s="24">
        <v>-0.04</v>
      </c>
      <c r="AK7" s="3">
        <v>12621000</v>
      </c>
      <c r="AL7" s="3">
        <v>5.8772000000000002</v>
      </c>
      <c r="AM7" s="2">
        <v>46195</v>
      </c>
      <c r="AN7" s="3">
        <v>54010</v>
      </c>
      <c r="AO7" s="3">
        <v>1156024200989</v>
      </c>
      <c r="AP7" s="3">
        <v>53998.89</v>
      </c>
      <c r="AQ7" s="39">
        <v>0.02</v>
      </c>
      <c r="AR7" s="3">
        <v>21410000</v>
      </c>
      <c r="AS7" s="2">
        <v>46195</v>
      </c>
      <c r="AT7" s="3">
        <v>51080</v>
      </c>
      <c r="AU7" s="3">
        <v>405549883061</v>
      </c>
      <c r="AV7" s="3">
        <v>51052.37</v>
      </c>
      <c r="AW7" s="24">
        <v>0.01</v>
      </c>
      <c r="AX7" s="3">
        <v>7942000</v>
      </c>
      <c r="AY7" s="2">
        <v>46195</v>
      </c>
      <c r="AZ7" s="3">
        <v>103360</v>
      </c>
      <c r="BA7" s="3">
        <v>2182852294457</v>
      </c>
      <c r="BB7" s="3">
        <v>103203.62</v>
      </c>
      <c r="BC7" s="24">
        <v>-0.04</v>
      </c>
      <c r="BD7" s="3">
        <v>21114000</v>
      </c>
      <c r="BE7" s="3">
        <v>5.6414999999999997</v>
      </c>
      <c r="BF7" s="2">
        <v>46195</v>
      </c>
      <c r="BG7" s="3">
        <v>50010</v>
      </c>
      <c r="BH7" s="3">
        <v>36890522655</v>
      </c>
      <c r="BI7" s="3">
        <v>49962.93</v>
      </c>
      <c r="BJ7" s="24">
        <v>-0.04</v>
      </c>
      <c r="BK7" s="3">
        <v>738000</v>
      </c>
      <c r="BL7" s="2">
        <v>46195</v>
      </c>
      <c r="BM7" s="3">
        <v>114700</v>
      </c>
      <c r="BN7" s="3">
        <v>560130097397</v>
      </c>
      <c r="BO7" s="3">
        <v>114656.38</v>
      </c>
      <c r="BP7" s="24">
        <v>-0.06</v>
      </c>
      <c r="BQ7" s="3">
        <v>4881000</v>
      </c>
    </row>
    <row r="8" spans="1:69" ht="13.5" customHeight="1" x14ac:dyDescent="0.3">
      <c r="A8" s="2">
        <v>46192</v>
      </c>
      <c r="B8" s="3">
        <v>110725</v>
      </c>
      <c r="C8" s="3">
        <v>4114243500486</v>
      </c>
      <c r="D8" s="3">
        <v>110424.96000000001</v>
      </c>
      <c r="E8" s="24">
        <v>-0.04</v>
      </c>
      <c r="F8" s="3">
        <v>37180000</v>
      </c>
      <c r="G8" s="3">
        <v>5.8395000000000001</v>
      </c>
      <c r="H8" s="2">
        <v>46192</v>
      </c>
      <c r="I8" s="3">
        <v>88725</v>
      </c>
      <c r="J8" s="3">
        <v>283749430596</v>
      </c>
      <c r="K8" s="3">
        <v>88036.07</v>
      </c>
      <c r="L8" s="30">
        <v>-7.0000000000000007E-2</v>
      </c>
      <c r="M8" s="3">
        <v>3208000</v>
      </c>
      <c r="N8" s="2">
        <v>46192</v>
      </c>
      <c r="O8" s="3">
        <v>92715</v>
      </c>
      <c r="P8" s="3">
        <v>395628709801</v>
      </c>
      <c r="Q8" s="3">
        <v>91799.11</v>
      </c>
      <c r="R8" s="24">
        <v>0.02</v>
      </c>
      <c r="S8" s="3">
        <v>4274000</v>
      </c>
      <c r="T8" s="2">
        <v>46192</v>
      </c>
      <c r="U8" s="3">
        <v>99000</v>
      </c>
      <c r="V8" s="3">
        <v>106639132746</v>
      </c>
      <c r="W8" s="3">
        <v>98549.61</v>
      </c>
      <c r="X8" s="24">
        <v>-7.0000000000000007E-2</v>
      </c>
      <c r="Y8" s="3">
        <v>1078000</v>
      </c>
      <c r="Z8" s="2">
        <v>46192</v>
      </c>
      <c r="AA8" s="3">
        <v>100000</v>
      </c>
      <c r="AB8" s="3">
        <v>73774147003</v>
      </c>
      <c r="AC8" s="3">
        <v>99881.23</v>
      </c>
      <c r="AD8" s="24">
        <v>0.03</v>
      </c>
      <c r="AE8" s="3">
        <v>738000</v>
      </c>
      <c r="AF8" s="2">
        <v>46192</v>
      </c>
      <c r="AG8" s="3">
        <v>107060</v>
      </c>
      <c r="AH8" s="3">
        <v>1340539030525</v>
      </c>
      <c r="AI8" s="3">
        <v>106682.39</v>
      </c>
      <c r="AJ8" s="24">
        <v>0.04</v>
      </c>
      <c r="AK8" s="3">
        <v>12536000</v>
      </c>
      <c r="AL8" s="3">
        <v>5.8735999999999997</v>
      </c>
      <c r="AM8" s="2">
        <v>46192</v>
      </c>
      <c r="AN8" s="3">
        <v>54000</v>
      </c>
      <c r="AO8" s="3">
        <v>1152499605762</v>
      </c>
      <c r="AP8" s="3">
        <v>53994.59</v>
      </c>
      <c r="AQ8" s="39">
        <v>0.03</v>
      </c>
      <c r="AR8" s="3">
        <v>21350000</v>
      </c>
      <c r="AS8" s="2">
        <v>46192</v>
      </c>
      <c r="AT8" s="3">
        <v>51090</v>
      </c>
      <c r="AU8" s="3">
        <v>405605197205</v>
      </c>
      <c r="AV8" s="3">
        <v>51063.95</v>
      </c>
      <c r="AW8" s="24">
        <v>0.03</v>
      </c>
      <c r="AX8" s="3">
        <v>7942000</v>
      </c>
      <c r="AY8" s="2">
        <v>46192</v>
      </c>
      <c r="AZ8" s="3">
        <v>103725</v>
      </c>
      <c r="BA8" s="3">
        <v>2204799557577</v>
      </c>
      <c r="BB8" s="3">
        <v>103384.12</v>
      </c>
      <c r="BC8" s="24">
        <v>-0.02</v>
      </c>
      <c r="BD8" s="3">
        <v>21275000</v>
      </c>
      <c r="BE8" s="3">
        <v>5.6776</v>
      </c>
      <c r="BF8" s="2">
        <v>46192</v>
      </c>
      <c r="BG8" s="3">
        <v>50045</v>
      </c>
      <c r="BH8" s="3">
        <v>34912137298</v>
      </c>
      <c r="BI8" s="3">
        <v>49987.16</v>
      </c>
      <c r="BJ8" s="24">
        <v>0.05</v>
      </c>
      <c r="BK8" s="3">
        <v>698000</v>
      </c>
      <c r="BL8" s="2">
        <v>46192</v>
      </c>
      <c r="BM8" s="3">
        <v>114825</v>
      </c>
      <c r="BN8" s="3">
        <v>561646513997</v>
      </c>
      <c r="BO8" s="3">
        <v>114757.24</v>
      </c>
      <c r="BP8" s="24">
        <v>-0.05</v>
      </c>
      <c r="BQ8" s="3">
        <v>4891000</v>
      </c>
    </row>
    <row r="9" spans="1:69" ht="13.5" customHeight="1" x14ac:dyDescent="0.3">
      <c r="A9" s="2">
        <v>46191</v>
      </c>
      <c r="B9" s="3">
        <v>110885</v>
      </c>
      <c r="C9" s="3">
        <v>4103493098940</v>
      </c>
      <c r="D9" s="3">
        <v>110657.44</v>
      </c>
      <c r="E9" s="24">
        <v>0.06</v>
      </c>
      <c r="F9" s="3">
        <v>36993000</v>
      </c>
      <c r="G9" s="3">
        <v>5.8392999999999997</v>
      </c>
      <c r="H9" s="2">
        <v>46191</v>
      </c>
      <c r="I9" s="3">
        <v>88710</v>
      </c>
      <c r="J9" s="3">
        <v>285243513344</v>
      </c>
      <c r="K9" s="3">
        <v>88450.57</v>
      </c>
      <c r="L9" s="30">
        <v>0.31</v>
      </c>
      <c r="M9" s="3">
        <v>3208000</v>
      </c>
      <c r="N9" s="2">
        <v>46191</v>
      </c>
      <c r="O9" s="3">
        <v>93005</v>
      </c>
      <c r="P9" s="3">
        <v>399044863199</v>
      </c>
      <c r="Q9" s="3">
        <v>92566.38</v>
      </c>
      <c r="R9" s="24">
        <v>0.16</v>
      </c>
      <c r="S9" s="3">
        <v>4274000</v>
      </c>
      <c r="T9" s="2">
        <v>46191</v>
      </c>
      <c r="U9" s="3">
        <v>99220</v>
      </c>
      <c r="V9" s="3">
        <v>106767892372</v>
      </c>
      <c r="W9" s="3">
        <v>98923.13</v>
      </c>
      <c r="X9" s="24">
        <v>0.08</v>
      </c>
      <c r="Y9" s="3">
        <v>1075000</v>
      </c>
      <c r="Z9" s="2">
        <v>46191</v>
      </c>
      <c r="AA9" s="3">
        <v>100030</v>
      </c>
      <c r="AB9" s="3">
        <v>74881307699</v>
      </c>
      <c r="AC9" s="3">
        <v>99964.97</v>
      </c>
      <c r="AD9" s="24">
        <v>0.04</v>
      </c>
      <c r="AE9" s="3">
        <v>748000</v>
      </c>
      <c r="AF9" s="2">
        <v>46191</v>
      </c>
      <c r="AG9" s="3">
        <v>107150</v>
      </c>
      <c r="AH9" s="3">
        <v>1324333026659</v>
      </c>
      <c r="AI9" s="3">
        <v>106935.15</v>
      </c>
      <c r="AJ9" s="24">
        <v>0.12</v>
      </c>
      <c r="AK9" s="3">
        <v>12351000</v>
      </c>
      <c r="AL9" s="3">
        <v>6.0144000000000002</v>
      </c>
      <c r="AM9" s="2">
        <v>46191</v>
      </c>
      <c r="AN9" s="3">
        <v>53980</v>
      </c>
      <c r="AO9" s="3">
        <v>1174865160907</v>
      </c>
      <c r="AP9" s="3">
        <v>53981.25</v>
      </c>
      <c r="AQ9" s="39">
        <v>0.03</v>
      </c>
      <c r="AR9" s="3">
        <v>21766000</v>
      </c>
      <c r="AS9" s="2">
        <v>46191</v>
      </c>
      <c r="AT9" s="3">
        <v>51085</v>
      </c>
      <c r="AU9" s="3">
        <v>407826819504</v>
      </c>
      <c r="AV9" s="3">
        <v>51070.91</v>
      </c>
      <c r="AW9" s="24">
        <v>0.04</v>
      </c>
      <c r="AX9" s="3">
        <v>7982000</v>
      </c>
      <c r="AY9" s="2">
        <v>46191</v>
      </c>
      <c r="AZ9" s="3">
        <v>103815</v>
      </c>
      <c r="BA9" s="3">
        <v>2172769690454</v>
      </c>
      <c r="BB9" s="3">
        <v>103633.35</v>
      </c>
      <c r="BC9" s="24">
        <v>0.09</v>
      </c>
      <c r="BD9" s="3">
        <v>20909000</v>
      </c>
      <c r="BE9" s="3">
        <v>5.7393999999999998</v>
      </c>
      <c r="BF9" s="2">
        <v>46191</v>
      </c>
      <c r="BG9" s="3">
        <v>50055</v>
      </c>
      <c r="BH9" s="3">
        <v>34953615732</v>
      </c>
      <c r="BI9" s="3">
        <v>50017.39</v>
      </c>
      <c r="BJ9" s="24">
        <v>0.06</v>
      </c>
      <c r="BK9" s="3">
        <v>698000</v>
      </c>
      <c r="BL9" s="2">
        <v>46191</v>
      </c>
      <c r="BM9" s="3">
        <v>114950</v>
      </c>
      <c r="BN9" s="3">
        <v>564716957606</v>
      </c>
      <c r="BO9" s="3">
        <v>114832.65</v>
      </c>
      <c r="BP9" s="24">
        <v>-0.01</v>
      </c>
      <c r="BQ9" s="3">
        <v>4911000</v>
      </c>
    </row>
    <row r="10" spans="1:69" ht="13.5" customHeight="1" x14ac:dyDescent="0.3">
      <c r="A10" s="2">
        <v>46190</v>
      </c>
      <c r="B10" s="3">
        <v>110730</v>
      </c>
      <c r="C10" s="3">
        <v>4094982077589</v>
      </c>
      <c r="D10" s="3">
        <v>110926.2</v>
      </c>
      <c r="E10" s="24">
        <v>-0.04</v>
      </c>
      <c r="F10" s="3">
        <v>37005000</v>
      </c>
      <c r="G10" s="3">
        <v>5.8102999999999998</v>
      </c>
      <c r="H10" s="2">
        <v>46190</v>
      </c>
      <c r="I10" s="3">
        <v>88360</v>
      </c>
      <c r="J10" s="3">
        <v>283711723454</v>
      </c>
      <c r="K10" s="3">
        <v>88916.31</v>
      </c>
      <c r="L10" s="30">
        <v>-0.23</v>
      </c>
      <c r="M10" s="3">
        <v>3208000</v>
      </c>
      <c r="N10" s="2">
        <v>46190</v>
      </c>
      <c r="O10" s="3">
        <v>92495</v>
      </c>
      <c r="P10" s="3">
        <v>394510540654</v>
      </c>
      <c r="Q10" s="3">
        <v>93365.67</v>
      </c>
      <c r="R10" s="24">
        <v>-0.39</v>
      </c>
      <c r="S10" s="3">
        <v>4274000</v>
      </c>
      <c r="T10" s="2">
        <v>46190</v>
      </c>
      <c r="U10" s="3">
        <v>98695</v>
      </c>
      <c r="V10" s="3">
        <v>106391406120</v>
      </c>
      <c r="W10" s="3">
        <v>99318.97</v>
      </c>
      <c r="X10" s="24">
        <v>-0.1</v>
      </c>
      <c r="Y10" s="3">
        <v>1075000</v>
      </c>
      <c r="Z10" s="2">
        <v>46190</v>
      </c>
      <c r="AA10" s="3">
        <v>100040</v>
      </c>
      <c r="AB10" s="3">
        <v>74831397213</v>
      </c>
      <c r="AC10" s="3">
        <v>100108.7</v>
      </c>
      <c r="AD10" s="24">
        <v>-0.08</v>
      </c>
      <c r="AE10" s="3">
        <v>748000</v>
      </c>
      <c r="AF10" s="2">
        <v>46190</v>
      </c>
      <c r="AG10" s="3">
        <v>106965</v>
      </c>
      <c r="AH10" s="3">
        <v>1318800351074</v>
      </c>
      <c r="AI10" s="3">
        <v>107224.76</v>
      </c>
      <c r="AJ10" s="24">
        <v>-7.0000000000000007E-2</v>
      </c>
      <c r="AK10" s="3">
        <v>12332000</v>
      </c>
      <c r="AL10" s="3">
        <v>6.0339999999999998</v>
      </c>
      <c r="AM10" s="2">
        <v>46190</v>
      </c>
      <c r="AN10" s="3">
        <v>53980</v>
      </c>
      <c r="AO10" s="3">
        <v>1174760512629</v>
      </c>
      <c r="AP10" s="3">
        <v>53977.08</v>
      </c>
      <c r="AQ10" s="39">
        <v>0.01</v>
      </c>
      <c r="AR10" s="3">
        <v>21766000</v>
      </c>
      <c r="AS10" s="2">
        <v>46190</v>
      </c>
      <c r="AT10" s="3">
        <v>51080</v>
      </c>
      <c r="AU10" s="3">
        <v>407842338724</v>
      </c>
      <c r="AV10" s="3">
        <v>51093.31</v>
      </c>
      <c r="AW10" s="24">
        <v>-0.02</v>
      </c>
      <c r="AX10" s="3">
        <v>7984000</v>
      </c>
      <c r="AY10" s="2">
        <v>46190</v>
      </c>
      <c r="AZ10" s="3">
        <v>103670</v>
      </c>
      <c r="BA10" s="3">
        <v>2163514152815</v>
      </c>
      <c r="BB10" s="3">
        <v>103915.52</v>
      </c>
      <c r="BC10" s="24">
        <v>-0.1</v>
      </c>
      <c r="BD10" s="3">
        <v>20875000</v>
      </c>
      <c r="BE10" s="3">
        <v>5.7206000000000001</v>
      </c>
      <c r="BF10" s="2">
        <v>46190</v>
      </c>
      <c r="BG10" s="3">
        <v>50010</v>
      </c>
      <c r="BH10" s="3">
        <v>34935376670</v>
      </c>
      <c r="BI10" s="3">
        <v>50076.81</v>
      </c>
      <c r="BJ10" s="24">
        <v>-0.04</v>
      </c>
      <c r="BK10" s="3">
        <v>698000</v>
      </c>
      <c r="BL10" s="2">
        <v>46190</v>
      </c>
      <c r="BM10" s="3">
        <v>114965</v>
      </c>
      <c r="BN10" s="3">
        <v>564202020935</v>
      </c>
      <c r="BO10" s="3">
        <v>114990.22</v>
      </c>
      <c r="BP10" s="24">
        <v>-0.03</v>
      </c>
      <c r="BQ10" s="3">
        <v>4908000</v>
      </c>
    </row>
    <row r="11" spans="1:69" ht="13.5" customHeight="1" x14ac:dyDescent="0.3">
      <c r="A11" s="2">
        <v>46189</v>
      </c>
      <c r="B11" s="3">
        <v>110725</v>
      </c>
      <c r="C11" s="3">
        <v>4104984026229</v>
      </c>
      <c r="D11" s="3">
        <v>110660.24</v>
      </c>
      <c r="E11" s="24">
        <v>0.06</v>
      </c>
      <c r="F11" s="3">
        <v>37078000</v>
      </c>
      <c r="G11" s="3">
        <v>5.8651999999999997</v>
      </c>
      <c r="H11" s="2">
        <v>46189</v>
      </c>
      <c r="I11" s="3">
        <v>88690</v>
      </c>
      <c r="J11" s="3">
        <v>284111576178</v>
      </c>
      <c r="K11" s="3">
        <v>88438.82</v>
      </c>
      <c r="L11" s="30">
        <v>-0.09</v>
      </c>
      <c r="M11" s="3">
        <v>3208000</v>
      </c>
      <c r="N11" s="2">
        <v>46189</v>
      </c>
      <c r="O11" s="3">
        <v>92775</v>
      </c>
      <c r="P11" s="3">
        <v>402688068058</v>
      </c>
      <c r="Q11" s="3">
        <v>92304.76</v>
      </c>
      <c r="R11" s="24">
        <v>0.21</v>
      </c>
      <c r="S11" s="3">
        <v>4343000</v>
      </c>
      <c r="T11" s="2">
        <v>46189</v>
      </c>
      <c r="U11" s="3">
        <v>99080</v>
      </c>
      <c r="V11" s="3">
        <v>106571075472</v>
      </c>
      <c r="W11" s="3">
        <v>98968.75</v>
      </c>
      <c r="X11" s="24">
        <v>-0.28000000000000003</v>
      </c>
      <c r="Y11" s="3">
        <v>1078000</v>
      </c>
      <c r="Z11" s="2">
        <v>46189</v>
      </c>
      <c r="AA11" s="3">
        <v>100015</v>
      </c>
      <c r="AB11" s="3">
        <v>74677646631</v>
      </c>
      <c r="AC11" s="3">
        <v>100041.97</v>
      </c>
      <c r="AD11" s="24">
        <v>0</v>
      </c>
      <c r="AE11" s="3">
        <v>747000</v>
      </c>
      <c r="AF11" s="2">
        <v>46189</v>
      </c>
      <c r="AG11" s="3">
        <v>107075</v>
      </c>
      <c r="AH11" s="3">
        <v>1306835864425</v>
      </c>
      <c r="AI11" s="3">
        <v>106941.32</v>
      </c>
      <c r="AJ11" s="24">
        <v>0.02</v>
      </c>
      <c r="AK11" s="3">
        <v>12215000</v>
      </c>
      <c r="AL11" s="3">
        <v>6.0856000000000003</v>
      </c>
      <c r="AM11" s="2">
        <v>46189</v>
      </c>
      <c r="AN11" s="3">
        <v>53975</v>
      </c>
      <c r="AO11" s="3">
        <v>1174249728495</v>
      </c>
      <c r="AP11" s="3">
        <v>53972.27</v>
      </c>
      <c r="AQ11" s="39">
        <v>0.01</v>
      </c>
      <c r="AR11" s="3">
        <v>21758000</v>
      </c>
      <c r="AS11" s="2">
        <v>46189</v>
      </c>
      <c r="AT11" s="3">
        <v>51065</v>
      </c>
      <c r="AU11" s="3">
        <v>407913367809</v>
      </c>
      <c r="AV11" s="3">
        <v>51082.46</v>
      </c>
      <c r="AW11" s="24">
        <v>0</v>
      </c>
      <c r="AX11" s="3">
        <v>7988000</v>
      </c>
      <c r="AY11" s="2">
        <v>46189</v>
      </c>
      <c r="AZ11" s="3">
        <v>103755</v>
      </c>
      <c r="BA11" s="3">
        <v>2159205179638</v>
      </c>
      <c r="BB11" s="3">
        <v>103641.4</v>
      </c>
      <c r="BC11" s="24">
        <v>0.03</v>
      </c>
      <c r="BD11" s="3">
        <v>20825000</v>
      </c>
      <c r="BE11" s="3">
        <v>5.7523999999999997</v>
      </c>
      <c r="BF11" s="2">
        <v>46189</v>
      </c>
      <c r="BG11" s="3">
        <v>50015</v>
      </c>
      <c r="BH11" s="3">
        <v>34915463138</v>
      </c>
      <c r="BI11" s="3">
        <v>50050.68</v>
      </c>
      <c r="BJ11" s="24">
        <v>-0.08</v>
      </c>
      <c r="BK11" s="3">
        <v>698000</v>
      </c>
      <c r="BL11" s="2">
        <v>46189</v>
      </c>
      <c r="BM11" s="3">
        <v>114905</v>
      </c>
      <c r="BN11" s="3">
        <v>563551762502</v>
      </c>
      <c r="BO11" s="3">
        <v>114955.59</v>
      </c>
      <c r="BP11" s="24">
        <v>0.01</v>
      </c>
      <c r="BQ11" s="3">
        <v>4905000</v>
      </c>
    </row>
    <row r="12" spans="1:69" ht="13.5" customHeight="1" x14ac:dyDescent="0.3">
      <c r="A12" s="2">
        <v>46188</v>
      </c>
      <c r="B12" s="3">
        <v>110395</v>
      </c>
      <c r="C12" s="3">
        <v>4183663764148</v>
      </c>
      <c r="D12" s="3">
        <v>110712.12</v>
      </c>
      <c r="E12" s="24">
        <v>0.01</v>
      </c>
      <c r="F12" s="3">
        <v>37875000</v>
      </c>
      <c r="G12" s="3">
        <v>5.8535000000000004</v>
      </c>
      <c r="H12" s="2">
        <v>46188</v>
      </c>
      <c r="I12" s="3">
        <v>87950</v>
      </c>
      <c r="J12" s="3">
        <v>283735141320</v>
      </c>
      <c r="K12" s="3">
        <v>88563.46</v>
      </c>
      <c r="L12" s="30">
        <v>0.14000000000000001</v>
      </c>
      <c r="M12" s="3">
        <v>3218000</v>
      </c>
      <c r="N12" s="2">
        <v>46188</v>
      </c>
      <c r="O12" s="3">
        <v>91680</v>
      </c>
      <c r="P12" s="3">
        <v>405437176184</v>
      </c>
      <c r="Q12" s="3">
        <v>92721.18</v>
      </c>
      <c r="R12" s="24">
        <v>0.06</v>
      </c>
      <c r="S12" s="3">
        <v>4405000</v>
      </c>
      <c r="T12" s="2">
        <v>46188</v>
      </c>
      <c r="U12" s="3">
        <v>98365</v>
      </c>
      <c r="V12" s="3">
        <v>106061800434</v>
      </c>
      <c r="W12" s="3">
        <v>98860</v>
      </c>
      <c r="X12" s="24">
        <v>0.22</v>
      </c>
      <c r="Y12" s="3">
        <v>1077000</v>
      </c>
      <c r="Z12" s="2">
        <v>46188</v>
      </c>
      <c r="AA12" s="3">
        <v>99770</v>
      </c>
      <c r="AB12" s="3">
        <v>74170935602</v>
      </c>
      <c r="AC12" s="3">
        <v>99970.08</v>
      </c>
      <c r="AD12" s="24">
        <v>0.04</v>
      </c>
      <c r="AE12" s="3">
        <v>743000</v>
      </c>
      <c r="AF12" s="2">
        <v>46188</v>
      </c>
      <c r="AG12" s="3">
        <v>106520</v>
      </c>
      <c r="AH12" s="3">
        <v>1313742245615</v>
      </c>
      <c r="AI12" s="3">
        <v>106986.15</v>
      </c>
      <c r="AJ12" s="24">
        <v>0.08</v>
      </c>
      <c r="AK12" s="3">
        <v>12310000</v>
      </c>
      <c r="AL12" s="3">
        <v>6.0491999999999999</v>
      </c>
      <c r="AM12" s="2">
        <v>46188</v>
      </c>
      <c r="AN12" s="3">
        <v>53970</v>
      </c>
      <c r="AO12" s="3">
        <v>1174367382010</v>
      </c>
      <c r="AP12" s="3">
        <v>53968.639999999999</v>
      </c>
      <c r="AQ12" s="39">
        <v>0.01</v>
      </c>
      <c r="AR12" s="3">
        <v>21762000</v>
      </c>
      <c r="AS12" s="2">
        <v>46188</v>
      </c>
      <c r="AT12" s="3">
        <v>51000</v>
      </c>
      <c r="AU12" s="3">
        <v>411225287046</v>
      </c>
      <c r="AV12" s="3">
        <v>51065.77</v>
      </c>
      <c r="AW12" s="24">
        <v>0</v>
      </c>
      <c r="AX12" s="3">
        <v>8058000</v>
      </c>
      <c r="AY12" s="2">
        <v>46188</v>
      </c>
      <c r="AZ12" s="3">
        <v>103265</v>
      </c>
      <c r="BA12" s="3">
        <v>2158472332161</v>
      </c>
      <c r="BB12" s="3">
        <v>103683.32</v>
      </c>
      <c r="BC12" s="24">
        <v>7.0000000000000007E-2</v>
      </c>
      <c r="BD12" s="3">
        <v>20869000</v>
      </c>
      <c r="BE12" s="3">
        <v>5.6920999999999999</v>
      </c>
      <c r="BF12" s="2">
        <v>46188</v>
      </c>
      <c r="BG12" s="3">
        <v>49960</v>
      </c>
      <c r="BH12" s="3">
        <v>34873235253</v>
      </c>
      <c r="BI12" s="3">
        <v>50022.15</v>
      </c>
      <c r="BJ12" s="24">
        <v>-0.01</v>
      </c>
      <c r="BK12" s="3">
        <v>698000</v>
      </c>
      <c r="BL12" s="2">
        <v>46188</v>
      </c>
      <c r="BM12" s="3">
        <v>114780</v>
      </c>
      <c r="BN12" s="3">
        <v>562821067228</v>
      </c>
      <c r="BO12" s="3">
        <v>114893.33</v>
      </c>
      <c r="BP12" s="24">
        <v>0.01</v>
      </c>
      <c r="BQ12" s="3">
        <v>4905000</v>
      </c>
    </row>
    <row r="13" spans="1:69" ht="13.5" customHeight="1" x14ac:dyDescent="0.3">
      <c r="A13" s="2">
        <v>46185</v>
      </c>
      <c r="B13" s="3">
        <v>109860</v>
      </c>
      <c r="C13" s="3">
        <v>4231996534580</v>
      </c>
      <c r="D13" s="3">
        <v>110459.77</v>
      </c>
      <c r="E13" s="24">
        <v>-0.06</v>
      </c>
      <c r="F13" s="3">
        <v>38550000</v>
      </c>
      <c r="G13" s="3">
        <v>5.7241999999999997</v>
      </c>
      <c r="H13" s="2">
        <v>46185</v>
      </c>
      <c r="I13" s="3">
        <v>87300</v>
      </c>
      <c r="J13" s="3">
        <v>279854684703</v>
      </c>
      <c r="K13" s="3">
        <v>88171.27</v>
      </c>
      <c r="L13" s="30">
        <v>-0.25</v>
      </c>
      <c r="M13" s="3">
        <v>3218000</v>
      </c>
      <c r="N13" s="2">
        <v>46185</v>
      </c>
      <c r="O13" s="3">
        <v>90105</v>
      </c>
      <c r="P13" s="3">
        <v>395909848385</v>
      </c>
      <c r="Q13" s="3">
        <v>92040.22</v>
      </c>
      <c r="R13" s="24">
        <v>-0.39</v>
      </c>
      <c r="S13" s="3">
        <v>4408000</v>
      </c>
      <c r="T13" s="2">
        <v>46185</v>
      </c>
      <c r="U13" s="3">
        <v>97680</v>
      </c>
      <c r="V13" s="3">
        <v>105005267136</v>
      </c>
      <c r="W13" s="3">
        <v>98478.92</v>
      </c>
      <c r="X13" s="24">
        <v>-0.12</v>
      </c>
      <c r="Y13" s="3">
        <v>1077000</v>
      </c>
      <c r="Z13" s="2">
        <v>46185</v>
      </c>
      <c r="AA13" s="3">
        <v>99575</v>
      </c>
      <c r="AB13" s="3">
        <v>73943647327</v>
      </c>
      <c r="AC13" s="3">
        <v>99826.29</v>
      </c>
      <c r="AD13" s="24">
        <v>-0.06</v>
      </c>
      <c r="AE13" s="3">
        <v>743000</v>
      </c>
      <c r="AF13" s="2">
        <v>46185</v>
      </c>
      <c r="AG13" s="3">
        <v>106100</v>
      </c>
      <c r="AH13" s="3">
        <v>1283650802591</v>
      </c>
      <c r="AI13" s="3">
        <v>106721.55</v>
      </c>
      <c r="AJ13" s="24">
        <v>-0.19</v>
      </c>
      <c r="AK13" s="3">
        <v>12112000</v>
      </c>
      <c r="AL13" s="3">
        <v>5.9561999999999999</v>
      </c>
      <c r="AM13" s="2">
        <v>46185</v>
      </c>
      <c r="AN13" s="3">
        <v>53955</v>
      </c>
      <c r="AO13" s="3">
        <v>1184058087745</v>
      </c>
      <c r="AP13" s="3">
        <v>53964.13</v>
      </c>
      <c r="AQ13" s="39">
        <v>0.01</v>
      </c>
      <c r="AR13" s="3">
        <v>21948000</v>
      </c>
      <c r="AS13" s="2">
        <v>46185</v>
      </c>
      <c r="AT13" s="3">
        <v>50990</v>
      </c>
      <c r="AU13" s="3">
        <v>412843743294</v>
      </c>
      <c r="AV13" s="3">
        <v>51033.17</v>
      </c>
      <c r="AW13" s="24">
        <v>-0.06</v>
      </c>
      <c r="AX13" s="3">
        <v>8100000</v>
      </c>
      <c r="AY13" s="2">
        <v>46185</v>
      </c>
      <c r="AZ13" s="3">
        <v>102860</v>
      </c>
      <c r="BA13" s="3">
        <v>2164994462226</v>
      </c>
      <c r="BB13" s="3">
        <v>103429.6</v>
      </c>
      <c r="BC13" s="24">
        <v>-0.16</v>
      </c>
      <c r="BD13" s="3">
        <v>21079000</v>
      </c>
      <c r="BE13" s="3">
        <v>5.6013000000000002</v>
      </c>
      <c r="BF13" s="2">
        <v>46185</v>
      </c>
      <c r="BG13" s="3">
        <v>49880</v>
      </c>
      <c r="BH13" s="3">
        <v>34786724137</v>
      </c>
      <c r="BI13" s="3">
        <v>49961.66</v>
      </c>
      <c r="BJ13" s="24">
        <v>0</v>
      </c>
      <c r="BK13" s="3">
        <v>698000</v>
      </c>
      <c r="BL13" s="2">
        <v>46185</v>
      </c>
      <c r="BM13" s="3">
        <v>114510</v>
      </c>
      <c r="BN13" s="3">
        <v>563657394681</v>
      </c>
      <c r="BO13" s="3">
        <v>114744.36</v>
      </c>
      <c r="BP13" s="24">
        <v>0.03</v>
      </c>
      <c r="BQ13" s="3">
        <v>4925000</v>
      </c>
    </row>
    <row r="14" spans="1:69" ht="13.5" customHeight="1" x14ac:dyDescent="0.3">
      <c r="A14" s="2">
        <v>46184</v>
      </c>
      <c r="B14" s="3">
        <v>109850</v>
      </c>
      <c r="C14" s="3">
        <v>4257717851251</v>
      </c>
      <c r="D14" s="3">
        <v>109779.42</v>
      </c>
      <c r="E14" s="24">
        <v>7.0000000000000007E-2</v>
      </c>
      <c r="F14" s="3">
        <v>38708000</v>
      </c>
      <c r="G14" s="3">
        <v>5.7840999999999996</v>
      </c>
      <c r="H14" s="2">
        <v>46184</v>
      </c>
      <c r="I14" s="3">
        <v>87160</v>
      </c>
      <c r="J14" s="3">
        <v>281144961029</v>
      </c>
      <c r="K14" s="3">
        <v>86965.41</v>
      </c>
      <c r="L14" s="30">
        <v>0.38</v>
      </c>
      <c r="M14" s="3">
        <v>3218000</v>
      </c>
      <c r="N14" s="2">
        <v>46184</v>
      </c>
      <c r="O14" s="3">
        <v>90275</v>
      </c>
      <c r="P14" s="3">
        <v>399348791500</v>
      </c>
      <c r="Q14" s="3">
        <v>89816.21</v>
      </c>
      <c r="R14" s="24">
        <v>0.32</v>
      </c>
      <c r="S14" s="3">
        <v>4408000</v>
      </c>
      <c r="T14" s="2">
        <v>46184</v>
      </c>
      <c r="U14" s="3">
        <v>97650</v>
      </c>
      <c r="V14" s="3">
        <v>100516333520</v>
      </c>
      <c r="W14" s="3">
        <v>97497.93</v>
      </c>
      <c r="X14" s="24">
        <v>0.19</v>
      </c>
      <c r="Y14" s="3">
        <v>1027000</v>
      </c>
      <c r="Z14" s="2">
        <v>46184</v>
      </c>
      <c r="AA14" s="3">
        <v>99540</v>
      </c>
      <c r="AB14" s="3">
        <v>65023179853</v>
      </c>
      <c r="AC14" s="3">
        <v>99520.39</v>
      </c>
      <c r="AD14" s="24">
        <v>0.05</v>
      </c>
      <c r="AE14" s="3">
        <v>653000</v>
      </c>
      <c r="AF14" s="2">
        <v>46184</v>
      </c>
      <c r="AG14" s="3">
        <v>106155</v>
      </c>
      <c r="AH14" s="3">
        <v>1286715560483</v>
      </c>
      <c r="AI14" s="3">
        <v>105981.74</v>
      </c>
      <c r="AJ14" s="24">
        <v>0.11</v>
      </c>
      <c r="AK14" s="3">
        <v>12114000</v>
      </c>
      <c r="AL14" s="3">
        <v>5.9305000000000003</v>
      </c>
      <c r="AM14" s="2">
        <v>46184</v>
      </c>
      <c r="AN14" s="3">
        <v>53950</v>
      </c>
      <c r="AO14" s="3">
        <v>1175361197544</v>
      </c>
      <c r="AP14" s="3">
        <v>53948.34</v>
      </c>
      <c r="AQ14" s="39">
        <v>0.01</v>
      </c>
      <c r="AR14" s="3">
        <v>21788000</v>
      </c>
      <c r="AS14" s="2">
        <v>46184</v>
      </c>
      <c r="AT14" s="3">
        <v>50980</v>
      </c>
      <c r="AU14" s="3">
        <v>413740856115</v>
      </c>
      <c r="AV14" s="3">
        <v>50968.36</v>
      </c>
      <c r="AW14" s="24">
        <v>0.04</v>
      </c>
      <c r="AX14" s="3">
        <v>8116000</v>
      </c>
      <c r="AY14" s="2">
        <v>46184</v>
      </c>
      <c r="AZ14" s="3">
        <v>102820</v>
      </c>
      <c r="BA14" s="3">
        <v>2168273326932</v>
      </c>
      <c r="BB14" s="3">
        <v>102708.59</v>
      </c>
      <c r="BC14" s="24">
        <v>0.15</v>
      </c>
      <c r="BD14" s="3">
        <v>21065000</v>
      </c>
      <c r="BE14" s="3">
        <v>5.6059999999999999</v>
      </c>
      <c r="BF14" s="2">
        <v>46184</v>
      </c>
      <c r="BG14" s="3">
        <v>49895</v>
      </c>
      <c r="BH14" s="3">
        <v>34807012865</v>
      </c>
      <c r="BI14" s="3">
        <v>49837.71</v>
      </c>
      <c r="BJ14" s="24">
        <v>0.08</v>
      </c>
      <c r="BK14" s="3">
        <v>698000</v>
      </c>
      <c r="BL14" s="2">
        <v>46184</v>
      </c>
      <c r="BM14" s="3">
        <v>114540</v>
      </c>
      <c r="BN14" s="3">
        <v>563921561560</v>
      </c>
      <c r="BO14" s="3">
        <v>114448.2</v>
      </c>
      <c r="BP14" s="24">
        <v>0.05</v>
      </c>
      <c r="BQ14" s="3">
        <v>4925000</v>
      </c>
    </row>
    <row r="15" spans="1:69" ht="13.5" customHeight="1" x14ac:dyDescent="0.3">
      <c r="A15" s="2">
        <v>46183</v>
      </c>
      <c r="B15" s="3">
        <v>110150</v>
      </c>
      <c r="C15" s="3">
        <v>4272236412371</v>
      </c>
      <c r="D15" s="3">
        <v>109995.81</v>
      </c>
      <c r="E15" s="24">
        <v>-0.13</v>
      </c>
      <c r="F15" s="3">
        <v>38822000</v>
      </c>
      <c r="G15" s="3">
        <v>5.77</v>
      </c>
      <c r="H15" s="2">
        <v>46183</v>
      </c>
      <c r="I15" s="3">
        <v>87595</v>
      </c>
      <c r="J15" s="3">
        <v>286443898908</v>
      </c>
      <c r="K15" s="3">
        <v>87366.36</v>
      </c>
      <c r="L15" s="30">
        <v>-0.24</v>
      </c>
      <c r="M15" s="3">
        <v>3275000</v>
      </c>
      <c r="N15" s="2">
        <v>46183</v>
      </c>
      <c r="O15" s="3">
        <v>91210</v>
      </c>
      <c r="P15" s="3">
        <v>401147622093</v>
      </c>
      <c r="Q15" s="3">
        <v>90596.37</v>
      </c>
      <c r="R15" s="24">
        <v>-0.35</v>
      </c>
      <c r="S15" s="3">
        <v>4408000</v>
      </c>
      <c r="T15" s="2">
        <v>46183</v>
      </c>
      <c r="U15" s="3">
        <v>97305</v>
      </c>
      <c r="V15" s="3">
        <v>100393027455</v>
      </c>
      <c r="W15" s="3">
        <v>97873.74</v>
      </c>
      <c r="X15" s="24">
        <v>-0.23</v>
      </c>
      <c r="Y15" s="3">
        <v>1027000</v>
      </c>
      <c r="Z15" s="2">
        <v>46183</v>
      </c>
      <c r="AA15" s="3">
        <v>99525</v>
      </c>
      <c r="AB15" s="3">
        <v>64957134408</v>
      </c>
      <c r="AC15" s="3">
        <v>99576.08</v>
      </c>
      <c r="AD15" s="24">
        <v>-0.04</v>
      </c>
      <c r="AE15" s="3">
        <v>653000</v>
      </c>
      <c r="AF15" s="2">
        <v>46183</v>
      </c>
      <c r="AG15" s="3">
        <v>106095</v>
      </c>
      <c r="AH15" s="3">
        <v>1287750683809</v>
      </c>
      <c r="AI15" s="3">
        <v>106217.23</v>
      </c>
      <c r="AJ15" s="24">
        <v>-0.06</v>
      </c>
      <c r="AK15" s="3">
        <v>12120000</v>
      </c>
      <c r="AL15" s="3">
        <v>5.8650000000000002</v>
      </c>
      <c r="AM15" s="2">
        <v>46183</v>
      </c>
      <c r="AN15" s="3">
        <v>53945</v>
      </c>
      <c r="AO15" s="3">
        <v>1185004528583</v>
      </c>
      <c r="AP15" s="3">
        <v>53945.35</v>
      </c>
      <c r="AQ15" s="39">
        <v>0.01</v>
      </c>
      <c r="AR15" s="3">
        <v>21968000</v>
      </c>
      <c r="AS15" s="2">
        <v>46183</v>
      </c>
      <c r="AT15" s="3">
        <v>50975</v>
      </c>
      <c r="AU15" s="3">
        <v>413661454625</v>
      </c>
      <c r="AV15" s="3">
        <v>50978.42</v>
      </c>
      <c r="AW15" s="24">
        <v>0</v>
      </c>
      <c r="AX15" s="3">
        <v>8116000</v>
      </c>
      <c r="AY15" s="2">
        <v>46183</v>
      </c>
      <c r="AZ15" s="3">
        <v>103120</v>
      </c>
      <c r="BA15" s="3">
        <v>2164649618497</v>
      </c>
      <c r="BB15" s="3">
        <v>102932.51</v>
      </c>
      <c r="BC15" s="24">
        <v>-0.11</v>
      </c>
      <c r="BD15" s="3">
        <v>21024000</v>
      </c>
      <c r="BE15" s="3">
        <v>5.5964</v>
      </c>
      <c r="BF15" s="2">
        <v>46183</v>
      </c>
      <c r="BG15" s="3">
        <v>49850</v>
      </c>
      <c r="BH15" s="3">
        <v>34789258736</v>
      </c>
      <c r="BI15" s="3">
        <v>49866.78</v>
      </c>
      <c r="BJ15" s="24">
        <v>0.06</v>
      </c>
      <c r="BK15" s="3">
        <v>698000</v>
      </c>
      <c r="BL15" s="2">
        <v>46183</v>
      </c>
      <c r="BM15" s="3">
        <v>114450</v>
      </c>
      <c r="BN15" s="3">
        <v>565880166257</v>
      </c>
      <c r="BO15" s="3">
        <v>114501.84</v>
      </c>
      <c r="BP15" s="24">
        <v>0.03</v>
      </c>
      <c r="BQ15" s="3">
        <v>4945000</v>
      </c>
    </row>
    <row r="16" spans="1:69" ht="13.5" customHeight="1" x14ac:dyDescent="0.3">
      <c r="A16" s="2">
        <v>46182</v>
      </c>
      <c r="B16" s="3">
        <v>109530</v>
      </c>
      <c r="C16" s="3">
        <v>4290713512707</v>
      </c>
      <c r="D16" s="3">
        <v>110046.79</v>
      </c>
      <c r="E16" s="24">
        <v>0.09</v>
      </c>
      <c r="F16" s="3">
        <v>39096000</v>
      </c>
      <c r="G16" s="3">
        <v>5.7648999999999999</v>
      </c>
      <c r="H16" s="2">
        <v>46182</v>
      </c>
      <c r="I16" s="3">
        <v>86880</v>
      </c>
      <c r="J16" s="3">
        <v>284668233045</v>
      </c>
      <c r="K16" s="3">
        <v>87463.79</v>
      </c>
      <c r="L16" s="30">
        <v>0.15</v>
      </c>
      <c r="M16" s="3">
        <v>3275000</v>
      </c>
      <c r="N16" s="2">
        <v>46182</v>
      </c>
      <c r="O16" s="3">
        <v>89835</v>
      </c>
      <c r="P16" s="3">
        <v>397546017912</v>
      </c>
      <c r="Q16" s="3">
        <v>91004.45</v>
      </c>
      <c r="R16" s="24">
        <v>0.23</v>
      </c>
      <c r="S16" s="3">
        <v>4408000</v>
      </c>
      <c r="T16" s="2">
        <v>46182</v>
      </c>
      <c r="U16" s="3">
        <v>97205</v>
      </c>
      <c r="V16" s="3">
        <v>99807029871</v>
      </c>
      <c r="W16" s="3">
        <v>97753.68</v>
      </c>
      <c r="X16" s="24">
        <v>-0.46</v>
      </c>
      <c r="Y16" s="3">
        <v>1027000</v>
      </c>
      <c r="Z16" s="2">
        <v>46182</v>
      </c>
      <c r="AA16" s="3">
        <v>99225</v>
      </c>
      <c r="AB16" s="3">
        <v>63814659119</v>
      </c>
      <c r="AC16" s="3">
        <v>99474.94</v>
      </c>
      <c r="AD16" s="24">
        <v>0.05</v>
      </c>
      <c r="AE16" s="3">
        <v>643000</v>
      </c>
      <c r="AF16" s="2">
        <v>46182</v>
      </c>
      <c r="AG16" s="3">
        <v>105815</v>
      </c>
      <c r="AH16" s="3">
        <v>1279907115524</v>
      </c>
      <c r="AI16" s="3">
        <v>106250.06</v>
      </c>
      <c r="AJ16" s="24">
        <v>-0.15</v>
      </c>
      <c r="AK16" s="3">
        <v>12083000</v>
      </c>
      <c r="AL16" s="3">
        <v>5.8063000000000002</v>
      </c>
      <c r="AM16" s="2">
        <v>46182</v>
      </c>
      <c r="AN16" s="3">
        <v>53935</v>
      </c>
      <c r="AO16" s="3">
        <v>1191939879439</v>
      </c>
      <c r="AP16" s="3">
        <v>53942.3</v>
      </c>
      <c r="AQ16" s="39">
        <v>0.01</v>
      </c>
      <c r="AR16" s="3">
        <v>22098000</v>
      </c>
      <c r="AS16" s="2">
        <v>46182</v>
      </c>
      <c r="AT16" s="3">
        <v>50945</v>
      </c>
      <c r="AU16" s="3">
        <v>413354101178</v>
      </c>
      <c r="AV16" s="3">
        <v>50968.639999999999</v>
      </c>
      <c r="AW16" s="24">
        <v>0.01</v>
      </c>
      <c r="AX16" s="3">
        <v>8116000</v>
      </c>
      <c r="AY16" s="2">
        <v>46182</v>
      </c>
      <c r="AZ16" s="3">
        <v>102505</v>
      </c>
      <c r="BA16" s="3">
        <v>2155208055271</v>
      </c>
      <c r="BB16" s="3">
        <v>102960.88</v>
      </c>
      <c r="BC16" s="24">
        <v>0.15</v>
      </c>
      <c r="BD16" s="3">
        <v>20998000</v>
      </c>
      <c r="BE16" s="3">
        <v>5.5709</v>
      </c>
      <c r="BF16" s="2">
        <v>46182</v>
      </c>
      <c r="BG16" s="3">
        <v>49760</v>
      </c>
      <c r="BH16" s="3">
        <v>34731668213</v>
      </c>
      <c r="BI16" s="3">
        <v>49841.34</v>
      </c>
      <c r="BJ16" s="24">
        <v>0.02</v>
      </c>
      <c r="BK16" s="3">
        <v>698000</v>
      </c>
      <c r="BL16" s="2">
        <v>46182</v>
      </c>
      <c r="BM16" s="3">
        <v>114095</v>
      </c>
      <c r="BN16" s="3">
        <v>566980809171</v>
      </c>
      <c r="BO16" s="3">
        <v>114434.82</v>
      </c>
      <c r="BP16" s="24">
        <v>0.01</v>
      </c>
      <c r="BQ16" s="3">
        <v>4965000</v>
      </c>
    </row>
    <row r="17" spans="1:69" ht="13.5" customHeight="1" x14ac:dyDescent="0.3">
      <c r="A17" s="2">
        <v>46181</v>
      </c>
      <c r="B17" s="3">
        <v>110050</v>
      </c>
      <c r="C17" s="3">
        <v>4308171017765</v>
      </c>
      <c r="D17" s="3">
        <v>109748.15</v>
      </c>
      <c r="E17" s="24">
        <v>-0.2</v>
      </c>
      <c r="F17" s="3">
        <v>39128000</v>
      </c>
      <c r="G17" s="3">
        <v>5.8270999999999997</v>
      </c>
      <c r="H17" s="2">
        <v>46181</v>
      </c>
      <c r="I17" s="3">
        <v>87545</v>
      </c>
      <c r="J17" s="3">
        <v>286801084005</v>
      </c>
      <c r="K17" s="3">
        <v>86921.600000000006</v>
      </c>
      <c r="L17" s="30">
        <v>-0.05</v>
      </c>
      <c r="M17" s="3">
        <v>3275000</v>
      </c>
      <c r="N17" s="2">
        <v>46181</v>
      </c>
      <c r="O17" s="3">
        <v>91270</v>
      </c>
      <c r="P17" s="3">
        <v>388800471804</v>
      </c>
      <c r="Q17" s="3">
        <v>90187.39</v>
      </c>
      <c r="R17" s="24">
        <v>-0.39</v>
      </c>
      <c r="S17" s="3">
        <v>4258000</v>
      </c>
      <c r="T17" s="2">
        <v>46181</v>
      </c>
      <c r="U17" s="3">
        <v>97905</v>
      </c>
      <c r="V17" s="3">
        <v>101470733078</v>
      </c>
      <c r="W17" s="3">
        <v>97183.09</v>
      </c>
      <c r="X17" s="24">
        <v>0.02</v>
      </c>
      <c r="Y17" s="3">
        <v>1037000</v>
      </c>
      <c r="Z17" s="2">
        <v>46181</v>
      </c>
      <c r="AA17" s="3">
        <v>99405</v>
      </c>
      <c r="AB17" s="3">
        <v>64197460548</v>
      </c>
      <c r="AC17" s="3">
        <v>99245.19</v>
      </c>
      <c r="AD17" s="24">
        <v>-0.02</v>
      </c>
      <c r="AE17" s="3">
        <v>646000</v>
      </c>
      <c r="AF17" s="2">
        <v>46181</v>
      </c>
      <c r="AG17" s="3">
        <v>106300</v>
      </c>
      <c r="AH17" s="3">
        <v>1283968166623</v>
      </c>
      <c r="AI17" s="3">
        <v>105926.27</v>
      </c>
      <c r="AJ17" s="24">
        <v>-0.11</v>
      </c>
      <c r="AK17" s="3">
        <v>12079000</v>
      </c>
      <c r="AL17" s="3">
        <v>5.8529999999999998</v>
      </c>
      <c r="AM17" s="2">
        <v>46181</v>
      </c>
      <c r="AN17" s="3">
        <v>53940</v>
      </c>
      <c r="AO17" s="3">
        <v>1193608832403</v>
      </c>
      <c r="AP17" s="3">
        <v>53938.81</v>
      </c>
      <c r="AQ17" s="39">
        <v>-0.01</v>
      </c>
      <c r="AR17" s="3">
        <v>22130000</v>
      </c>
      <c r="AS17" s="2">
        <v>46181</v>
      </c>
      <c r="AT17" s="3">
        <v>50965</v>
      </c>
      <c r="AU17" s="3">
        <v>413333507291</v>
      </c>
      <c r="AV17" s="3">
        <v>50930.77</v>
      </c>
      <c r="AW17" s="24">
        <v>0.03</v>
      </c>
      <c r="AX17" s="3">
        <v>8110000</v>
      </c>
      <c r="AY17" s="2">
        <v>46181</v>
      </c>
      <c r="AZ17" s="3">
        <v>103005</v>
      </c>
      <c r="BA17" s="3">
        <v>2166746179134</v>
      </c>
      <c r="BB17" s="3">
        <v>102638.73</v>
      </c>
      <c r="BC17" s="24">
        <v>-0.13</v>
      </c>
      <c r="BD17" s="3">
        <v>21034000</v>
      </c>
      <c r="BE17" s="3">
        <v>5.6195000000000004</v>
      </c>
      <c r="BF17" s="2">
        <v>46181</v>
      </c>
      <c r="BG17" s="3">
        <v>49835</v>
      </c>
      <c r="BH17" s="3">
        <v>34773127608</v>
      </c>
      <c r="BI17" s="3">
        <v>49758.84</v>
      </c>
      <c r="BJ17" s="24">
        <v>0</v>
      </c>
      <c r="BK17" s="3">
        <v>698000</v>
      </c>
      <c r="BL17" s="2">
        <v>46181</v>
      </c>
      <c r="BM17" s="3">
        <v>114305</v>
      </c>
      <c r="BN17" s="3">
        <v>571483513363</v>
      </c>
      <c r="BO17" s="3">
        <v>114195.53</v>
      </c>
      <c r="BP17" s="24">
        <v>-0.09</v>
      </c>
      <c r="BQ17" s="3">
        <v>4997000</v>
      </c>
    </row>
    <row r="18" spans="1:69" ht="13.5" customHeight="1" x14ac:dyDescent="0.3">
      <c r="A18" s="2">
        <v>46178</v>
      </c>
      <c r="B18" s="3">
        <v>110415</v>
      </c>
      <c r="C18" s="3">
        <v>4278478337919</v>
      </c>
      <c r="D18" s="3">
        <v>110104.55</v>
      </c>
      <c r="E18" s="24">
        <v>-0.05</v>
      </c>
      <c r="F18" s="3">
        <v>38779000</v>
      </c>
      <c r="G18" s="3">
        <v>5.8693</v>
      </c>
      <c r="H18" s="2">
        <v>46178</v>
      </c>
      <c r="I18" s="3">
        <v>88105</v>
      </c>
      <c r="J18" s="3">
        <v>288242376600</v>
      </c>
      <c r="K18" s="3">
        <v>87572.85</v>
      </c>
      <c r="L18" s="30">
        <v>-0.03</v>
      </c>
      <c r="M18" s="3">
        <v>3275000</v>
      </c>
      <c r="N18" s="2">
        <v>46178</v>
      </c>
      <c r="O18" s="3">
        <v>92630</v>
      </c>
      <c r="P18" s="3">
        <v>391540706647</v>
      </c>
      <c r="Q18" s="3">
        <v>91310.59</v>
      </c>
      <c r="R18" s="24">
        <v>-0.04</v>
      </c>
      <c r="S18" s="3">
        <v>4239000</v>
      </c>
      <c r="T18" s="2">
        <v>46178</v>
      </c>
      <c r="U18" s="3">
        <v>98005</v>
      </c>
      <c r="V18" s="3">
        <v>101198853463</v>
      </c>
      <c r="W18" s="3">
        <v>97850.27</v>
      </c>
      <c r="X18" s="24">
        <v>0.06</v>
      </c>
      <c r="Y18" s="3">
        <v>1033000</v>
      </c>
      <c r="Z18" s="2">
        <v>46178</v>
      </c>
      <c r="AA18" s="3">
        <v>99390</v>
      </c>
      <c r="AB18" s="3">
        <v>64216136013</v>
      </c>
      <c r="AC18" s="3">
        <v>99376.87</v>
      </c>
      <c r="AD18" s="24">
        <v>0.03</v>
      </c>
      <c r="AE18" s="3">
        <v>646000</v>
      </c>
      <c r="AF18" s="2">
        <v>46178</v>
      </c>
      <c r="AG18" s="3">
        <v>106530</v>
      </c>
      <c r="AH18" s="3">
        <v>1285810089140</v>
      </c>
      <c r="AI18" s="3">
        <v>106297.55</v>
      </c>
      <c r="AJ18" s="24">
        <v>0</v>
      </c>
      <c r="AK18" s="3">
        <v>12071000</v>
      </c>
      <c r="AL18" s="3">
        <v>5.8391999999999999</v>
      </c>
      <c r="AM18" s="2">
        <v>46178</v>
      </c>
      <c r="AN18" s="3">
        <v>53940</v>
      </c>
      <c r="AO18" s="3">
        <v>1190084017077</v>
      </c>
      <c r="AP18" s="3">
        <v>53936.23</v>
      </c>
      <c r="AQ18" s="39">
        <v>0.01</v>
      </c>
      <c r="AR18" s="3">
        <v>22070000</v>
      </c>
      <c r="AS18" s="2">
        <v>46178</v>
      </c>
      <c r="AT18" s="3">
        <v>50995</v>
      </c>
      <c r="AU18" s="3">
        <v>413369768014</v>
      </c>
      <c r="AV18" s="3">
        <v>50965.91</v>
      </c>
      <c r="AW18" s="24">
        <v>0</v>
      </c>
      <c r="AX18" s="3">
        <v>8112000</v>
      </c>
      <c r="AY18" s="2">
        <v>46178</v>
      </c>
      <c r="AZ18" s="3">
        <v>103275</v>
      </c>
      <c r="BA18" s="3">
        <v>2154828510297</v>
      </c>
      <c r="BB18" s="3">
        <v>103011.61</v>
      </c>
      <c r="BC18" s="24">
        <v>-0.01</v>
      </c>
      <c r="BD18" s="3">
        <v>20872000</v>
      </c>
      <c r="BE18" s="3">
        <v>5.6509999999999998</v>
      </c>
      <c r="BF18" s="2">
        <v>46178</v>
      </c>
      <c r="BG18" s="3">
        <v>49835</v>
      </c>
      <c r="BH18" s="3">
        <v>34780984457</v>
      </c>
      <c r="BI18" s="3">
        <v>49818.23</v>
      </c>
      <c r="BJ18" s="24">
        <v>0.03</v>
      </c>
      <c r="BK18" s="3">
        <v>698000</v>
      </c>
      <c r="BL18" s="2">
        <v>46178</v>
      </c>
      <c r="BM18" s="3">
        <v>114375</v>
      </c>
      <c r="BN18" s="3">
        <v>573959479407</v>
      </c>
      <c r="BO18" s="3">
        <v>114365.32</v>
      </c>
      <c r="BP18" s="24">
        <v>-0.05</v>
      </c>
      <c r="BQ18" s="3">
        <v>5017000</v>
      </c>
    </row>
    <row r="19" spans="1:69" ht="13.5" customHeight="1" x14ac:dyDescent="0.3">
      <c r="A19" s="2">
        <v>46177</v>
      </c>
      <c r="B19" s="3">
        <v>110695</v>
      </c>
      <c r="C19" s="3">
        <v>4284641566491</v>
      </c>
      <c r="D19" s="3">
        <v>110329.77</v>
      </c>
      <c r="E19" s="24">
        <v>0.08</v>
      </c>
      <c r="F19" s="3">
        <v>38676000</v>
      </c>
      <c r="G19" s="3">
        <v>5.867</v>
      </c>
      <c r="H19" s="2">
        <v>46177</v>
      </c>
      <c r="I19" s="3">
        <v>88825</v>
      </c>
      <c r="J19" s="3">
        <v>290906161867</v>
      </c>
      <c r="K19" s="3">
        <v>88012.94</v>
      </c>
      <c r="L19" s="30">
        <v>0.1</v>
      </c>
      <c r="M19" s="3">
        <v>3275000</v>
      </c>
      <c r="N19" s="2">
        <v>46177</v>
      </c>
      <c r="O19" s="3">
        <v>93815</v>
      </c>
      <c r="P19" s="3">
        <v>382313729055</v>
      </c>
      <c r="Q19" s="3">
        <v>92366.29</v>
      </c>
      <c r="R19" s="24">
        <v>0.28999999999999998</v>
      </c>
      <c r="S19" s="3">
        <v>4075000</v>
      </c>
      <c r="T19" s="2">
        <v>46177</v>
      </c>
      <c r="U19" s="3">
        <v>98820</v>
      </c>
      <c r="V19" s="3">
        <v>101882839488</v>
      </c>
      <c r="W19" s="3">
        <v>97965.98</v>
      </c>
      <c r="X19" s="24">
        <v>0.04</v>
      </c>
      <c r="Y19" s="3">
        <v>1033000</v>
      </c>
      <c r="Z19" s="2">
        <v>46177</v>
      </c>
      <c r="AA19" s="3">
        <v>99630</v>
      </c>
      <c r="AB19" s="3">
        <v>60383878111</v>
      </c>
      <c r="AC19" s="3">
        <v>99405.78</v>
      </c>
      <c r="AD19" s="24">
        <v>-0.02</v>
      </c>
      <c r="AE19" s="3">
        <v>606000</v>
      </c>
      <c r="AF19" s="2">
        <v>46177</v>
      </c>
      <c r="AG19" s="3">
        <v>106990</v>
      </c>
      <c r="AH19" s="3">
        <v>1288539576364</v>
      </c>
      <c r="AI19" s="3">
        <v>106520.59</v>
      </c>
      <c r="AJ19" s="24">
        <v>0.01</v>
      </c>
      <c r="AK19" s="3">
        <v>12043000</v>
      </c>
      <c r="AL19" s="3">
        <v>5.8842999999999996</v>
      </c>
      <c r="AM19" s="2">
        <v>46177</v>
      </c>
      <c r="AN19" s="3">
        <v>53930</v>
      </c>
      <c r="AO19" s="3">
        <v>1182680886640</v>
      </c>
      <c r="AP19" s="3">
        <v>53923.15</v>
      </c>
      <c r="AQ19" s="39">
        <v>0.03</v>
      </c>
      <c r="AR19" s="3">
        <v>21934000</v>
      </c>
      <c r="AS19" s="2">
        <v>46177</v>
      </c>
      <c r="AT19" s="3">
        <v>51025</v>
      </c>
      <c r="AU19" s="3">
        <v>415303387840</v>
      </c>
      <c r="AV19" s="3">
        <v>50957.81</v>
      </c>
      <c r="AW19" s="24">
        <v>7.0000000000000007E-2</v>
      </c>
      <c r="AX19" s="3">
        <v>8142000</v>
      </c>
      <c r="AY19" s="2">
        <v>46177</v>
      </c>
      <c r="AZ19" s="3">
        <v>103740</v>
      </c>
      <c r="BA19" s="3">
        <v>2165850556409</v>
      </c>
      <c r="BB19" s="3">
        <v>103240.15</v>
      </c>
      <c r="BC19" s="24">
        <v>0.03</v>
      </c>
      <c r="BD19" s="3">
        <v>20881000</v>
      </c>
      <c r="BE19" s="3">
        <v>5.7253999999999996</v>
      </c>
      <c r="BF19" s="2">
        <v>46177</v>
      </c>
      <c r="BG19" s="3">
        <v>49890</v>
      </c>
      <c r="BH19" s="3">
        <v>34849990335</v>
      </c>
      <c r="BI19" s="3">
        <v>49829.49</v>
      </c>
      <c r="BJ19" s="24">
        <v>0.01</v>
      </c>
      <c r="BK19" s="3">
        <v>698000</v>
      </c>
      <c r="BL19" s="2">
        <v>46177</v>
      </c>
      <c r="BM19" s="3">
        <v>114720</v>
      </c>
      <c r="BN19" s="3">
        <v>576491613801</v>
      </c>
      <c r="BO19" s="3">
        <v>114402.93</v>
      </c>
      <c r="BP19" s="24">
        <v>-0.02</v>
      </c>
      <c r="BQ19" s="3">
        <v>5027000</v>
      </c>
    </row>
    <row r="20" spans="1:69" ht="13.5" customHeight="1" x14ac:dyDescent="0.3">
      <c r="A20" s="2">
        <v>46175</v>
      </c>
      <c r="B20" s="3">
        <v>110595</v>
      </c>
      <c r="C20" s="3">
        <v>4286529765422</v>
      </c>
      <c r="D20" s="3">
        <v>110782.95</v>
      </c>
      <c r="E20" s="24">
        <v>-0.08</v>
      </c>
      <c r="F20" s="3">
        <v>38724000</v>
      </c>
      <c r="G20" s="3">
        <v>5.8752000000000004</v>
      </c>
      <c r="H20" s="2">
        <v>46175</v>
      </c>
      <c r="I20" s="3">
        <v>88565</v>
      </c>
      <c r="J20" s="3">
        <v>289113244587</v>
      </c>
      <c r="K20" s="3">
        <v>88826.31</v>
      </c>
      <c r="L20" s="30">
        <v>0</v>
      </c>
      <c r="M20" s="3">
        <v>3262000</v>
      </c>
      <c r="N20" s="2">
        <v>46175</v>
      </c>
      <c r="O20" s="3">
        <v>93495</v>
      </c>
      <c r="P20" s="3">
        <v>360734418185</v>
      </c>
      <c r="Q20" s="3">
        <v>93819.32</v>
      </c>
      <c r="R20" s="24">
        <v>0</v>
      </c>
      <c r="S20" s="3">
        <v>3856000</v>
      </c>
      <c r="T20" s="2">
        <v>46175</v>
      </c>
      <c r="U20" s="3">
        <v>98365</v>
      </c>
      <c r="V20" s="3">
        <v>101921072390</v>
      </c>
      <c r="W20" s="3">
        <v>98628.11</v>
      </c>
      <c r="X20" s="24">
        <v>0.19</v>
      </c>
      <c r="Y20" s="3">
        <v>1037000</v>
      </c>
      <c r="Z20" s="2">
        <v>46175</v>
      </c>
      <c r="AA20" s="3">
        <v>99580</v>
      </c>
      <c r="AB20" s="3">
        <v>61233506009</v>
      </c>
      <c r="AC20" s="3">
        <v>99643.36</v>
      </c>
      <c r="AD20" s="24">
        <v>-0.01</v>
      </c>
      <c r="AE20" s="3">
        <v>615000</v>
      </c>
      <c r="AF20" s="2">
        <v>46175</v>
      </c>
      <c r="AG20" s="3">
        <v>106885</v>
      </c>
      <c r="AH20" s="3">
        <v>1281803565954</v>
      </c>
      <c r="AI20" s="3">
        <v>106994.9</v>
      </c>
      <c r="AJ20" s="24">
        <v>0</v>
      </c>
      <c r="AK20" s="3">
        <v>11992000</v>
      </c>
      <c r="AL20" s="3">
        <v>5.8724999999999996</v>
      </c>
      <c r="AM20" s="2">
        <v>46175</v>
      </c>
      <c r="AN20" s="3">
        <v>53925</v>
      </c>
      <c r="AO20" s="3">
        <v>1175164788582</v>
      </c>
      <c r="AP20" s="3">
        <v>53919.98</v>
      </c>
      <c r="AQ20" s="39">
        <v>0.02</v>
      </c>
      <c r="AR20" s="3">
        <v>21798000</v>
      </c>
      <c r="AS20" s="2">
        <v>46175</v>
      </c>
      <c r="AT20" s="3">
        <v>51030</v>
      </c>
      <c r="AU20" s="3">
        <v>414759532182</v>
      </c>
      <c r="AV20" s="3">
        <v>51007.54</v>
      </c>
      <c r="AW20" s="24">
        <v>0.03</v>
      </c>
      <c r="AX20" s="3">
        <v>8132000</v>
      </c>
      <c r="AY20" s="2">
        <v>46175</v>
      </c>
      <c r="AZ20" s="3">
        <v>103600</v>
      </c>
      <c r="BA20" s="3">
        <v>2156854948438</v>
      </c>
      <c r="BB20" s="3">
        <v>103723.51</v>
      </c>
      <c r="BC20" s="24">
        <v>0.02</v>
      </c>
      <c r="BD20" s="3">
        <v>20818000</v>
      </c>
      <c r="BE20" s="3">
        <v>5.7381000000000002</v>
      </c>
      <c r="BF20" s="2">
        <v>46175</v>
      </c>
      <c r="BG20" s="3">
        <v>49915</v>
      </c>
      <c r="BH20" s="3">
        <v>34832570779</v>
      </c>
      <c r="BI20" s="3">
        <v>49928.35</v>
      </c>
      <c r="BJ20" s="24">
        <v>-0.08</v>
      </c>
      <c r="BK20" s="3">
        <v>698000</v>
      </c>
      <c r="BL20" s="2">
        <v>46175</v>
      </c>
      <c r="BM20" s="3">
        <v>114535</v>
      </c>
      <c r="BN20" s="3">
        <v>578521042541</v>
      </c>
      <c r="BO20" s="3">
        <v>114679.06</v>
      </c>
      <c r="BP20" s="24">
        <v>0.04</v>
      </c>
      <c r="BQ20" s="3">
        <v>5047000</v>
      </c>
    </row>
    <row r="21" spans="1:69" ht="13.5" customHeight="1" x14ac:dyDescent="0.3">
      <c r="A21" s="2">
        <v>46174</v>
      </c>
      <c r="B21" s="3">
        <v>111220</v>
      </c>
      <c r="C21" s="3">
        <v>4306385803375</v>
      </c>
      <c r="D21" s="3">
        <v>110694.39999999999</v>
      </c>
      <c r="E21" s="24">
        <v>-0.09</v>
      </c>
      <c r="F21" s="3">
        <v>38692000</v>
      </c>
      <c r="G21" s="3">
        <v>5.9840999999999998</v>
      </c>
      <c r="H21" s="2">
        <v>46174</v>
      </c>
      <c r="I21" s="3">
        <v>89555</v>
      </c>
      <c r="J21" s="3">
        <v>292952075163</v>
      </c>
      <c r="K21" s="3">
        <v>88630.67</v>
      </c>
      <c r="L21" s="30">
        <v>-7.0000000000000007E-2</v>
      </c>
      <c r="M21" s="3">
        <v>3262000</v>
      </c>
      <c r="N21" s="2">
        <v>46174</v>
      </c>
      <c r="O21" s="3">
        <v>95530</v>
      </c>
      <c r="P21" s="3">
        <v>373548104112</v>
      </c>
      <c r="Q21" s="3">
        <v>93551.46</v>
      </c>
      <c r="R21" s="24">
        <v>-0.06</v>
      </c>
      <c r="S21" s="3">
        <v>3896000</v>
      </c>
      <c r="T21" s="2">
        <v>46174</v>
      </c>
      <c r="U21" s="3">
        <v>99035</v>
      </c>
      <c r="V21" s="3">
        <v>102788046468</v>
      </c>
      <c r="W21" s="3">
        <v>98284.54</v>
      </c>
      <c r="X21" s="24">
        <v>0.08</v>
      </c>
      <c r="Y21" s="3">
        <v>1037000</v>
      </c>
      <c r="Z21" s="2">
        <v>46174</v>
      </c>
      <c r="AA21" s="3">
        <v>99720</v>
      </c>
      <c r="AB21" s="3">
        <v>60358572459</v>
      </c>
      <c r="AC21" s="3">
        <v>99566.68</v>
      </c>
      <c r="AD21" s="24">
        <v>0.01</v>
      </c>
      <c r="AE21" s="3">
        <v>605000</v>
      </c>
      <c r="AF21" s="2">
        <v>46174</v>
      </c>
      <c r="AG21" s="3">
        <v>107540</v>
      </c>
      <c r="AH21" s="3">
        <v>1291688910209</v>
      </c>
      <c r="AI21" s="3">
        <v>106888.22</v>
      </c>
      <c r="AJ21" s="24">
        <v>0</v>
      </c>
      <c r="AK21" s="3">
        <v>12012000</v>
      </c>
      <c r="AL21" s="3">
        <v>5.9462999999999999</v>
      </c>
      <c r="AM21" s="2">
        <v>46174</v>
      </c>
      <c r="AN21" s="3">
        <v>53915</v>
      </c>
      <c r="AO21" s="3">
        <v>1154806469431</v>
      </c>
      <c r="AP21" s="3">
        <v>53911.59</v>
      </c>
      <c r="AQ21" s="39">
        <v>0.02</v>
      </c>
      <c r="AR21" s="3">
        <v>21422000</v>
      </c>
      <c r="AS21" s="2">
        <v>46174</v>
      </c>
      <c r="AT21" s="3">
        <v>51035</v>
      </c>
      <c r="AU21" s="3">
        <v>414086777212</v>
      </c>
      <c r="AV21" s="3">
        <v>51003.39</v>
      </c>
      <c r="AW21" s="24">
        <v>0.05</v>
      </c>
      <c r="AX21" s="3">
        <v>8114000</v>
      </c>
      <c r="AY21" s="2">
        <v>46174</v>
      </c>
      <c r="AZ21" s="3">
        <v>104165</v>
      </c>
      <c r="BA21" s="3">
        <v>2156781575624</v>
      </c>
      <c r="BB21" s="3">
        <v>103605.29</v>
      </c>
      <c r="BC21" s="24">
        <v>-0.01</v>
      </c>
      <c r="BD21" s="3">
        <v>20688000</v>
      </c>
      <c r="BE21" s="3">
        <v>5.8754</v>
      </c>
      <c r="BF21" s="2">
        <v>46174</v>
      </c>
      <c r="BG21" s="3">
        <v>49985</v>
      </c>
      <c r="BH21" s="3">
        <v>34885007842</v>
      </c>
      <c r="BI21" s="3">
        <v>49903.4</v>
      </c>
      <c r="BJ21" s="24">
        <v>0.02</v>
      </c>
      <c r="BK21" s="3">
        <v>698000</v>
      </c>
      <c r="BL21" s="2">
        <v>46174</v>
      </c>
      <c r="BM21" s="3">
        <v>114815</v>
      </c>
      <c r="BN21" s="3">
        <v>581795806621</v>
      </c>
      <c r="BO21" s="3">
        <v>114626.72</v>
      </c>
      <c r="BP21" s="24">
        <v>-0.08</v>
      </c>
      <c r="BQ21" s="3">
        <v>5067000</v>
      </c>
    </row>
    <row r="22" spans="1:69" ht="13.5" customHeight="1" x14ac:dyDescent="0.3">
      <c r="A22" s="2">
        <v>46171</v>
      </c>
      <c r="B22" s="3">
        <v>110645</v>
      </c>
      <c r="C22" s="3">
        <v>4332674073851</v>
      </c>
      <c r="D22" s="3">
        <v>111299.13</v>
      </c>
      <c r="E22" s="24">
        <v>-7.0000000000000007E-2</v>
      </c>
      <c r="F22" s="3">
        <v>39117000</v>
      </c>
      <c r="G22" s="3">
        <v>5.9095000000000004</v>
      </c>
      <c r="H22" s="2">
        <v>46171</v>
      </c>
      <c r="I22" s="3">
        <v>88730</v>
      </c>
      <c r="J22" s="3">
        <v>291341786269</v>
      </c>
      <c r="K22" s="3">
        <v>89807.5</v>
      </c>
      <c r="L22" s="30">
        <v>-0.28000000000000003</v>
      </c>
      <c r="M22" s="3">
        <v>3282000</v>
      </c>
      <c r="N22" s="2">
        <v>46171</v>
      </c>
      <c r="O22" s="3">
        <v>93685</v>
      </c>
      <c r="P22" s="3">
        <v>352000498025</v>
      </c>
      <c r="Q22" s="3">
        <v>95879.9</v>
      </c>
      <c r="R22" s="24">
        <v>-0.36</v>
      </c>
      <c r="S22" s="3">
        <v>3752000</v>
      </c>
      <c r="T22" s="2">
        <v>46171</v>
      </c>
      <c r="U22" s="3">
        <v>98505</v>
      </c>
      <c r="V22" s="3">
        <v>102116449680</v>
      </c>
      <c r="W22" s="3">
        <v>99120.58</v>
      </c>
      <c r="X22" s="24">
        <v>-0.09</v>
      </c>
      <c r="Y22" s="3">
        <v>1037000</v>
      </c>
      <c r="Z22" s="2">
        <v>46171</v>
      </c>
      <c r="AA22" s="3">
        <v>99600</v>
      </c>
      <c r="AB22" s="3">
        <v>59265974285</v>
      </c>
      <c r="AC22" s="3">
        <v>99766.24</v>
      </c>
      <c r="AD22" s="24">
        <v>-0.05</v>
      </c>
      <c r="AE22" s="3">
        <v>595000</v>
      </c>
      <c r="AF22" s="2">
        <v>46171</v>
      </c>
      <c r="AG22" s="3">
        <v>106995</v>
      </c>
      <c r="AH22" s="3">
        <v>1284173932754</v>
      </c>
      <c r="AI22" s="3">
        <v>107533.21</v>
      </c>
      <c r="AJ22" s="24">
        <v>0.01</v>
      </c>
      <c r="AK22" s="3">
        <v>12006000</v>
      </c>
      <c r="AL22" s="3">
        <v>5.8429000000000002</v>
      </c>
      <c r="AM22" s="2">
        <v>46171</v>
      </c>
      <c r="AN22" s="3">
        <v>53900</v>
      </c>
      <c r="AO22" s="3">
        <v>1174775496440</v>
      </c>
      <c r="AP22" s="3">
        <v>53907.5</v>
      </c>
      <c r="AQ22" s="39">
        <v>0.01</v>
      </c>
      <c r="AR22" s="3">
        <v>21798000</v>
      </c>
      <c r="AS22" s="2">
        <v>46171</v>
      </c>
      <c r="AT22" s="3">
        <v>51035</v>
      </c>
      <c r="AU22" s="3">
        <v>413864911584</v>
      </c>
      <c r="AV22" s="3">
        <v>51033.62</v>
      </c>
      <c r="AW22" s="24">
        <v>0</v>
      </c>
      <c r="AX22" s="3">
        <v>8114000</v>
      </c>
      <c r="AY22" s="2">
        <v>46171</v>
      </c>
      <c r="AZ22" s="3">
        <v>103635</v>
      </c>
      <c r="BA22" s="3">
        <v>2117081042662</v>
      </c>
      <c r="BB22" s="3">
        <v>104252.78</v>
      </c>
      <c r="BC22" s="24">
        <v>-0.08</v>
      </c>
      <c r="BD22" s="3">
        <v>20420000</v>
      </c>
      <c r="BE22" s="3">
        <v>5.8232999999999997</v>
      </c>
      <c r="BF22" s="2">
        <v>46171</v>
      </c>
      <c r="BG22" s="3">
        <v>49905</v>
      </c>
      <c r="BH22" s="3">
        <v>34839914317</v>
      </c>
      <c r="BI22" s="3">
        <v>49978.52</v>
      </c>
      <c r="BJ22" s="24">
        <v>0.01</v>
      </c>
      <c r="BK22" s="3">
        <v>698000</v>
      </c>
      <c r="BL22" s="2">
        <v>46171</v>
      </c>
      <c r="BM22" s="3">
        <v>114675</v>
      </c>
      <c r="BN22" s="3">
        <v>583230154297</v>
      </c>
      <c r="BO22" s="3">
        <v>114820.57</v>
      </c>
      <c r="BP22" s="24">
        <v>0</v>
      </c>
      <c r="BQ22" s="3">
        <v>5087000</v>
      </c>
    </row>
    <row r="23" spans="1:69" ht="13.5" customHeight="1" x14ac:dyDescent="0.3">
      <c r="A23" s="2">
        <v>46170</v>
      </c>
      <c r="B23" s="3">
        <v>110965</v>
      </c>
      <c r="C23" s="3">
        <v>4343657155906</v>
      </c>
      <c r="D23" s="3">
        <v>110761.92</v>
      </c>
      <c r="E23" s="24">
        <v>-0.11</v>
      </c>
      <c r="F23" s="3">
        <v>39168000</v>
      </c>
      <c r="G23" s="3">
        <v>5.9686000000000003</v>
      </c>
      <c r="H23" s="2">
        <v>46170</v>
      </c>
      <c r="I23" s="3">
        <v>89245</v>
      </c>
      <c r="J23" s="3">
        <v>292066640697</v>
      </c>
      <c r="K23" s="3">
        <v>88769.59</v>
      </c>
      <c r="L23" s="30">
        <v>-0.04</v>
      </c>
      <c r="M23" s="3">
        <v>3282000</v>
      </c>
      <c r="N23" s="2">
        <v>46170</v>
      </c>
      <c r="O23" s="3">
        <v>94515</v>
      </c>
      <c r="P23" s="3">
        <v>353480932024</v>
      </c>
      <c r="Q23" s="3">
        <v>93816.76</v>
      </c>
      <c r="R23" s="24">
        <v>-0.14000000000000001</v>
      </c>
      <c r="S23" s="3">
        <v>3756000</v>
      </c>
      <c r="T23" s="2">
        <v>46170</v>
      </c>
      <c r="U23" s="3">
        <v>98895</v>
      </c>
      <c r="V23" s="3">
        <v>97660920922</v>
      </c>
      <c r="W23" s="3">
        <v>98472.95</v>
      </c>
      <c r="X23" s="24">
        <v>0.03</v>
      </c>
      <c r="Y23" s="3">
        <v>989000</v>
      </c>
      <c r="Z23" s="2">
        <v>46170</v>
      </c>
      <c r="AA23" s="3">
        <v>99820</v>
      </c>
      <c r="AB23" s="3">
        <v>59335065774</v>
      </c>
      <c r="AC23" s="3">
        <v>99606.68</v>
      </c>
      <c r="AD23" s="24">
        <v>-0.01</v>
      </c>
      <c r="AE23" s="3">
        <v>595000</v>
      </c>
      <c r="AF23" s="2">
        <v>46170</v>
      </c>
      <c r="AG23" s="3">
        <v>107255</v>
      </c>
      <c r="AH23" s="3">
        <v>1296081259431</v>
      </c>
      <c r="AI23" s="3">
        <v>106961.01</v>
      </c>
      <c r="AJ23" s="24">
        <v>0.03</v>
      </c>
      <c r="AK23" s="3">
        <v>12100000</v>
      </c>
      <c r="AL23" s="3">
        <v>5.8564999999999996</v>
      </c>
      <c r="AM23" s="2">
        <v>46170</v>
      </c>
      <c r="AN23" s="3">
        <v>53890</v>
      </c>
      <c r="AO23" s="3">
        <v>1194096410676</v>
      </c>
      <c r="AP23" s="3">
        <v>53893.73</v>
      </c>
      <c r="AQ23" s="39">
        <v>0.01</v>
      </c>
      <c r="AR23" s="3">
        <v>22158000</v>
      </c>
      <c r="AS23" s="2">
        <v>46170</v>
      </c>
      <c r="AT23" s="3">
        <v>51050</v>
      </c>
      <c r="AU23" s="3">
        <v>419516712996</v>
      </c>
      <c r="AV23" s="3">
        <v>51006.27</v>
      </c>
      <c r="AW23" s="24">
        <v>0.06</v>
      </c>
      <c r="AX23" s="3">
        <v>8220000</v>
      </c>
      <c r="AY23" s="2">
        <v>46170</v>
      </c>
      <c r="AZ23" s="3">
        <v>103970</v>
      </c>
      <c r="BA23" s="3">
        <v>2111858473530</v>
      </c>
      <c r="BB23" s="3">
        <v>103676.84</v>
      </c>
      <c r="BC23" s="24">
        <v>-0.04</v>
      </c>
      <c r="BD23" s="3">
        <v>20343000</v>
      </c>
      <c r="BE23" s="3">
        <v>5.7957999999999998</v>
      </c>
      <c r="BF23" s="2">
        <v>46170</v>
      </c>
      <c r="BG23" s="3">
        <v>50000</v>
      </c>
      <c r="BH23" s="3">
        <v>34874982044</v>
      </c>
      <c r="BI23" s="3">
        <v>49913.919999999998</v>
      </c>
      <c r="BJ23" s="24">
        <v>-0.02</v>
      </c>
      <c r="BK23" s="3">
        <v>698000</v>
      </c>
      <c r="BL23" s="2">
        <v>46170</v>
      </c>
      <c r="BM23" s="3">
        <v>114800</v>
      </c>
      <c r="BN23" s="3">
        <v>585656630699</v>
      </c>
      <c r="BO23" s="3">
        <v>114651.1</v>
      </c>
      <c r="BP23" s="24">
        <v>0.02</v>
      </c>
      <c r="BQ23" s="3">
        <v>5102000</v>
      </c>
    </row>
    <row r="24" spans="1:69" ht="13.5" customHeight="1" x14ac:dyDescent="0.3">
      <c r="A24" s="2">
        <v>46169</v>
      </c>
      <c r="B24" s="3">
        <v>111030</v>
      </c>
      <c r="C24" s="3">
        <v>4326996106050</v>
      </c>
      <c r="D24" s="3">
        <v>110898.11</v>
      </c>
      <c r="E24" s="24">
        <v>0.06</v>
      </c>
      <c r="F24" s="3">
        <v>38987000</v>
      </c>
      <c r="G24" s="3">
        <v>5.9497999999999998</v>
      </c>
      <c r="H24" s="2">
        <v>46169</v>
      </c>
      <c r="I24" s="3">
        <v>89160</v>
      </c>
      <c r="J24" s="3">
        <v>291499771922</v>
      </c>
      <c r="K24" s="3">
        <v>88990.45</v>
      </c>
      <c r="L24" s="30">
        <v>0.28999999999999998</v>
      </c>
      <c r="M24" s="3">
        <v>3271000</v>
      </c>
      <c r="N24" s="2">
        <v>46169</v>
      </c>
      <c r="O24" s="3">
        <v>94025</v>
      </c>
      <c r="P24" s="3">
        <v>347347408434</v>
      </c>
      <c r="Q24" s="3">
        <v>94111</v>
      </c>
      <c r="R24" s="24">
        <v>0.43</v>
      </c>
      <c r="S24" s="3">
        <v>3689000</v>
      </c>
      <c r="T24" s="2">
        <v>46169</v>
      </c>
      <c r="U24" s="3">
        <v>99055</v>
      </c>
      <c r="V24" s="3">
        <v>92665206858</v>
      </c>
      <c r="W24" s="3">
        <v>98747.14</v>
      </c>
      <c r="X24" s="24">
        <v>0.15</v>
      </c>
      <c r="Y24" s="3">
        <v>936000</v>
      </c>
      <c r="Z24" s="2">
        <v>46169</v>
      </c>
      <c r="AA24" s="3">
        <v>99875</v>
      </c>
      <c r="AB24" s="3">
        <v>62314337395</v>
      </c>
      <c r="AC24" s="3">
        <v>99722.8</v>
      </c>
      <c r="AD24" s="24">
        <v>0.1</v>
      </c>
      <c r="AE24" s="3">
        <v>624000</v>
      </c>
      <c r="AF24" s="2">
        <v>46169</v>
      </c>
      <c r="AG24" s="3">
        <v>107205</v>
      </c>
      <c r="AH24" s="3">
        <v>1293430697216</v>
      </c>
      <c r="AI24" s="3">
        <v>107114.15</v>
      </c>
      <c r="AJ24" s="24">
        <v>0.13</v>
      </c>
      <c r="AK24" s="3">
        <v>12063000</v>
      </c>
      <c r="AL24" s="3">
        <v>5.8452999999999999</v>
      </c>
      <c r="AM24" s="2">
        <v>46169</v>
      </c>
      <c r="AN24" s="3">
        <v>53890</v>
      </c>
      <c r="AO24" s="3">
        <v>1181295773075</v>
      </c>
      <c r="AP24" s="3">
        <v>53890.080000000002</v>
      </c>
      <c r="AQ24" s="39">
        <v>0</v>
      </c>
      <c r="AR24" s="3">
        <v>21922000</v>
      </c>
      <c r="AS24" s="2">
        <v>46169</v>
      </c>
      <c r="AT24" s="3">
        <v>51060</v>
      </c>
      <c r="AU24" s="3">
        <v>419701437035</v>
      </c>
      <c r="AV24" s="3">
        <v>51036.1</v>
      </c>
      <c r="AW24" s="24">
        <v>0.03</v>
      </c>
      <c r="AX24" s="3">
        <v>8220000</v>
      </c>
      <c r="AY24" s="2">
        <v>46169</v>
      </c>
      <c r="AZ24" s="3">
        <v>103925</v>
      </c>
      <c r="BA24" s="3">
        <v>2115860281184</v>
      </c>
      <c r="BB24" s="3">
        <v>103812.54</v>
      </c>
      <c r="BC24" s="24">
        <v>0.15</v>
      </c>
      <c r="BD24" s="3">
        <v>20362000</v>
      </c>
      <c r="BE24" s="3">
        <v>5.8262999999999998</v>
      </c>
      <c r="BF24" s="2">
        <v>46169</v>
      </c>
      <c r="BG24" s="3">
        <v>50025</v>
      </c>
      <c r="BH24" s="3">
        <v>35113760175</v>
      </c>
      <c r="BI24" s="3">
        <v>49964.160000000003</v>
      </c>
      <c r="BJ24" s="24">
        <v>7.0000000000000007E-2</v>
      </c>
      <c r="BK24" s="3">
        <v>702000</v>
      </c>
      <c r="BL24" s="2">
        <v>46169</v>
      </c>
      <c r="BM24" s="3">
        <v>114945</v>
      </c>
      <c r="BN24" s="3">
        <v>586398963164</v>
      </c>
      <c r="BO24" s="3">
        <v>114789.62</v>
      </c>
      <c r="BP24" s="24">
        <v>0.01</v>
      </c>
      <c r="BQ24" s="3">
        <v>5102000</v>
      </c>
    </row>
    <row r="25" spans="1:69" ht="13.5" customHeight="1" x14ac:dyDescent="0.3">
      <c r="A25" s="2">
        <v>46168</v>
      </c>
      <c r="B25" s="3">
        <v>110765</v>
      </c>
      <c r="C25" s="3">
        <v>4301483209192</v>
      </c>
      <c r="D25" s="3">
        <v>110985.61</v>
      </c>
      <c r="E25" s="24">
        <v>0.04</v>
      </c>
      <c r="F25" s="3">
        <v>38851000</v>
      </c>
      <c r="G25" s="3">
        <v>5.9737999999999998</v>
      </c>
      <c r="H25" s="2">
        <v>46168</v>
      </c>
      <c r="I25" s="3">
        <v>88550</v>
      </c>
      <c r="J25" s="3">
        <v>289931788265</v>
      </c>
      <c r="K25" s="3">
        <v>89116.41</v>
      </c>
      <c r="L25" s="30">
        <v>0.05</v>
      </c>
      <c r="M25" s="3">
        <v>3271000</v>
      </c>
      <c r="N25" s="2">
        <v>46168</v>
      </c>
      <c r="O25" s="3">
        <v>93490</v>
      </c>
      <c r="P25" s="3">
        <v>344334438004</v>
      </c>
      <c r="Q25" s="3">
        <v>94157.61</v>
      </c>
      <c r="R25" s="24">
        <v>-0.14000000000000001</v>
      </c>
      <c r="S25" s="3">
        <v>3689000</v>
      </c>
      <c r="T25" s="2">
        <v>46168</v>
      </c>
      <c r="U25" s="3">
        <v>98510</v>
      </c>
      <c r="V25" s="3">
        <v>91562681939</v>
      </c>
      <c r="W25" s="3">
        <v>99001.29</v>
      </c>
      <c r="X25" s="24">
        <v>0.05</v>
      </c>
      <c r="Y25" s="3">
        <v>929000</v>
      </c>
      <c r="Z25" s="2">
        <v>46168</v>
      </c>
      <c r="AA25" s="3">
        <v>99635</v>
      </c>
      <c r="AB25" s="3">
        <v>63198436913</v>
      </c>
      <c r="AC25" s="3">
        <v>99862.720000000001</v>
      </c>
      <c r="AD25" s="24">
        <v>0.01</v>
      </c>
      <c r="AE25" s="3">
        <v>634000</v>
      </c>
      <c r="AF25" s="2">
        <v>46168</v>
      </c>
      <c r="AG25" s="3">
        <v>106870</v>
      </c>
      <c r="AH25" s="3">
        <v>1288273331779</v>
      </c>
      <c r="AI25" s="3">
        <v>107222.97</v>
      </c>
      <c r="AJ25" s="24">
        <v>-0.02</v>
      </c>
      <c r="AK25" s="3">
        <v>12050000</v>
      </c>
      <c r="AL25" s="3">
        <v>5.8567</v>
      </c>
      <c r="AM25" s="2">
        <v>46168</v>
      </c>
      <c r="AN25" s="3">
        <v>53890</v>
      </c>
      <c r="AO25" s="3">
        <v>1181626412050</v>
      </c>
      <c r="AP25" s="3">
        <v>53886.31</v>
      </c>
      <c r="AQ25" s="39">
        <v>0.01</v>
      </c>
      <c r="AR25" s="3">
        <v>21930000</v>
      </c>
      <c r="AS25" s="2">
        <v>46168</v>
      </c>
      <c r="AT25" s="3">
        <v>51025</v>
      </c>
      <c r="AU25" s="3">
        <v>419408695995</v>
      </c>
      <c r="AV25" s="3">
        <v>51058.57</v>
      </c>
      <c r="AW25" s="24">
        <v>0</v>
      </c>
      <c r="AX25" s="3">
        <v>8220000</v>
      </c>
      <c r="AY25" s="2">
        <v>46168</v>
      </c>
      <c r="AZ25" s="3">
        <v>103620</v>
      </c>
      <c r="BA25" s="3">
        <v>2103775671801</v>
      </c>
      <c r="BB25" s="3">
        <v>103912.2</v>
      </c>
      <c r="BC25" s="24">
        <v>0.01</v>
      </c>
      <c r="BD25" s="3">
        <v>20303000</v>
      </c>
      <c r="BE25" s="3">
        <v>5.7906000000000004</v>
      </c>
      <c r="BF25" s="2">
        <v>46168</v>
      </c>
      <c r="BG25" s="3">
        <v>49935</v>
      </c>
      <c r="BH25" s="3">
        <v>35062518557</v>
      </c>
      <c r="BI25" s="3">
        <v>50019.6</v>
      </c>
      <c r="BJ25" s="24">
        <v>0.01</v>
      </c>
      <c r="BK25" s="3">
        <v>702000</v>
      </c>
      <c r="BL25" s="2">
        <v>46168</v>
      </c>
      <c r="BM25" s="3">
        <v>114690</v>
      </c>
      <c r="BN25" s="3">
        <v>585437303892</v>
      </c>
      <c r="BO25" s="3">
        <v>114935.12</v>
      </c>
      <c r="BP25" s="24">
        <v>0.01</v>
      </c>
      <c r="BQ25" s="3">
        <v>5102000</v>
      </c>
    </row>
    <row r="26" spans="1:69" ht="13.5" customHeight="1" x14ac:dyDescent="0.3">
      <c r="A26" s="2">
        <v>46164</v>
      </c>
      <c r="B26" s="3">
        <v>110685</v>
      </c>
      <c r="C26" s="3">
        <v>4293091834154</v>
      </c>
      <c r="D26" s="3">
        <v>110717.44</v>
      </c>
      <c r="E26" s="24">
        <v>0.04</v>
      </c>
      <c r="F26" s="3">
        <v>38851000</v>
      </c>
      <c r="G26" s="3">
        <v>5.9862000000000002</v>
      </c>
      <c r="H26" s="2">
        <v>46164</v>
      </c>
      <c r="I26" s="3">
        <v>88600</v>
      </c>
      <c r="J26" s="3">
        <v>288634499989</v>
      </c>
      <c r="K26" s="3">
        <v>88637.05</v>
      </c>
      <c r="L26" s="30">
        <v>-0.1</v>
      </c>
      <c r="M26" s="3">
        <v>3271000</v>
      </c>
      <c r="N26" s="2">
        <v>46164</v>
      </c>
      <c r="O26" s="3">
        <v>93385</v>
      </c>
      <c r="P26" s="3">
        <v>341414628243</v>
      </c>
      <c r="Q26" s="3">
        <v>93340.86</v>
      </c>
      <c r="R26" s="24">
        <v>0.16</v>
      </c>
      <c r="S26" s="3">
        <v>3679000</v>
      </c>
      <c r="T26" s="2">
        <v>46164</v>
      </c>
      <c r="U26" s="3">
        <v>98290</v>
      </c>
      <c r="V26" s="3">
        <v>91116272472</v>
      </c>
      <c r="W26" s="3">
        <v>98560.48</v>
      </c>
      <c r="X26" s="24">
        <v>-0.05</v>
      </c>
      <c r="Y26" s="3">
        <v>929000</v>
      </c>
      <c r="Z26" s="2">
        <v>46164</v>
      </c>
      <c r="AA26" s="3">
        <v>99580</v>
      </c>
      <c r="AB26" s="3">
        <v>63108895012</v>
      </c>
      <c r="AC26" s="3">
        <v>99682.08</v>
      </c>
      <c r="AD26" s="24">
        <v>-0.05</v>
      </c>
      <c r="AE26" s="3">
        <v>634000</v>
      </c>
      <c r="AF26" s="2">
        <v>46164</v>
      </c>
      <c r="AG26" s="3">
        <v>106830</v>
      </c>
      <c r="AH26" s="3">
        <v>1287850495218</v>
      </c>
      <c r="AI26" s="3">
        <v>106910.65</v>
      </c>
      <c r="AJ26" s="24">
        <v>-0.04</v>
      </c>
      <c r="AK26" s="3">
        <v>12074000</v>
      </c>
      <c r="AL26" s="3">
        <v>5.8249000000000004</v>
      </c>
      <c r="AM26" s="2">
        <v>46164</v>
      </c>
      <c r="AN26" s="3">
        <v>53880</v>
      </c>
      <c r="AO26" s="3">
        <v>1181238918964</v>
      </c>
      <c r="AP26" s="3">
        <v>53881.73</v>
      </c>
      <c r="AQ26" s="39">
        <v>0.02</v>
      </c>
      <c r="AR26" s="3">
        <v>21930000</v>
      </c>
      <c r="AS26" s="2">
        <v>46164</v>
      </c>
      <c r="AT26" s="3">
        <v>51015</v>
      </c>
      <c r="AU26" s="3">
        <v>419418575045</v>
      </c>
      <c r="AV26" s="3">
        <v>51022.96</v>
      </c>
      <c r="AW26" s="24">
        <v>0</v>
      </c>
      <c r="AX26" s="3">
        <v>8226000</v>
      </c>
      <c r="AY26" s="2">
        <v>46164</v>
      </c>
      <c r="AZ26" s="3">
        <v>103520</v>
      </c>
      <c r="BA26" s="3">
        <v>2099143188911</v>
      </c>
      <c r="BB26" s="3">
        <v>103618.96</v>
      </c>
      <c r="BC26" s="24">
        <v>0</v>
      </c>
      <c r="BD26" s="3">
        <v>20304000</v>
      </c>
      <c r="BE26" s="3">
        <v>5.8541999999999996</v>
      </c>
      <c r="BF26" s="2">
        <v>46164</v>
      </c>
      <c r="BG26" s="3">
        <v>49930</v>
      </c>
      <c r="BH26" s="3">
        <v>35021121671</v>
      </c>
      <c r="BI26" s="3">
        <v>49946.61</v>
      </c>
      <c r="BJ26" s="24">
        <v>-0.02</v>
      </c>
      <c r="BK26" s="3">
        <v>702000</v>
      </c>
      <c r="BL26" s="2">
        <v>46164</v>
      </c>
      <c r="BM26" s="3">
        <v>114680</v>
      </c>
      <c r="BN26" s="3">
        <v>587248877434</v>
      </c>
      <c r="BO26" s="3">
        <v>114746.63</v>
      </c>
      <c r="BP26" s="24">
        <v>-0.05</v>
      </c>
      <c r="BQ26" s="3">
        <v>5124000</v>
      </c>
    </row>
    <row r="27" spans="1:69" ht="13.5" customHeight="1" x14ac:dyDescent="0.3">
      <c r="A27" s="2">
        <v>46163</v>
      </c>
      <c r="B27" s="3">
        <v>110495</v>
      </c>
      <c r="C27" s="3">
        <v>4309858208079</v>
      </c>
      <c r="D27" s="3">
        <v>110501.45</v>
      </c>
      <c r="E27" s="24">
        <v>0.17</v>
      </c>
      <c r="F27" s="3">
        <v>39005000</v>
      </c>
      <c r="G27" s="3">
        <v>6.0162000000000004</v>
      </c>
      <c r="H27" s="2">
        <v>46163</v>
      </c>
      <c r="I27" s="3">
        <v>88120</v>
      </c>
      <c r="J27" s="3">
        <v>288566024023</v>
      </c>
      <c r="K27" s="3">
        <v>88240.45</v>
      </c>
      <c r="L27" s="30">
        <v>0.41</v>
      </c>
      <c r="M27" s="3">
        <v>3271000</v>
      </c>
      <c r="N27" s="2">
        <v>46163</v>
      </c>
      <c r="O27" s="3">
        <v>92810</v>
      </c>
      <c r="P27" s="3">
        <v>341417807397</v>
      </c>
      <c r="Q27" s="3">
        <v>92800.93</v>
      </c>
      <c r="R27" s="24">
        <v>0.63</v>
      </c>
      <c r="S27" s="3">
        <v>3679000</v>
      </c>
      <c r="T27" s="2">
        <v>46163</v>
      </c>
      <c r="U27" s="3">
        <v>97950</v>
      </c>
      <c r="V27" s="3">
        <v>91020658086</v>
      </c>
      <c r="W27" s="3">
        <v>98079.95</v>
      </c>
      <c r="X27" s="24">
        <v>0.21</v>
      </c>
      <c r="Y27" s="3">
        <v>929000</v>
      </c>
      <c r="Z27" s="2">
        <v>46163</v>
      </c>
      <c r="AA27" s="3">
        <v>99530</v>
      </c>
      <c r="AB27" s="3">
        <v>63097869045</v>
      </c>
      <c r="AC27" s="3">
        <v>99540.84</v>
      </c>
      <c r="AD27" s="24">
        <v>0.04</v>
      </c>
      <c r="AE27" s="3">
        <v>634000</v>
      </c>
      <c r="AF27" s="2">
        <v>46163</v>
      </c>
      <c r="AG27" s="3">
        <v>106685</v>
      </c>
      <c r="AH27" s="3">
        <v>1292120778159</v>
      </c>
      <c r="AI27" s="3">
        <v>106663.12</v>
      </c>
      <c r="AJ27" s="24">
        <v>0.16</v>
      </c>
      <c r="AK27" s="3">
        <v>12117000</v>
      </c>
      <c r="AL27" s="3">
        <v>5.8242000000000003</v>
      </c>
      <c r="AM27" s="2">
        <v>46163</v>
      </c>
      <c r="AN27" s="3">
        <v>53870</v>
      </c>
      <c r="AO27" s="3">
        <v>1179761380514</v>
      </c>
      <c r="AP27" s="3">
        <v>53864.06</v>
      </c>
      <c r="AQ27" s="39">
        <v>0.03</v>
      </c>
      <c r="AR27" s="3">
        <v>21904000</v>
      </c>
      <c r="AS27" s="2">
        <v>46163</v>
      </c>
      <c r="AT27" s="3">
        <v>50990</v>
      </c>
      <c r="AU27" s="3">
        <v>404902784903</v>
      </c>
      <c r="AV27" s="3">
        <v>50986.94</v>
      </c>
      <c r="AW27" s="24">
        <v>0.06</v>
      </c>
      <c r="AX27" s="3">
        <v>7942000</v>
      </c>
      <c r="AY27" s="2">
        <v>46163</v>
      </c>
      <c r="AZ27" s="3">
        <v>103385</v>
      </c>
      <c r="BA27" s="3">
        <v>2106437859171</v>
      </c>
      <c r="BB27" s="3">
        <v>103385.7</v>
      </c>
      <c r="BC27" s="24">
        <v>0.13</v>
      </c>
      <c r="BD27" s="3">
        <v>20378000</v>
      </c>
      <c r="BE27" s="3">
        <v>5.8556999999999997</v>
      </c>
      <c r="BF27" s="2">
        <v>46163</v>
      </c>
      <c r="BG27" s="3">
        <v>49895</v>
      </c>
      <c r="BH27" s="3">
        <v>35016791400</v>
      </c>
      <c r="BI27" s="3">
        <v>49887.64</v>
      </c>
      <c r="BJ27" s="24">
        <v>0.08</v>
      </c>
      <c r="BK27" s="3">
        <v>702000</v>
      </c>
      <c r="BL27" s="2">
        <v>46163</v>
      </c>
      <c r="BM27" s="3">
        <v>114635</v>
      </c>
      <c r="BN27" s="3">
        <v>587294382652</v>
      </c>
      <c r="BO27" s="3">
        <v>114607.51</v>
      </c>
      <c r="BP27" s="24">
        <v>0.06</v>
      </c>
      <c r="BQ27" s="3">
        <v>5124000</v>
      </c>
    </row>
    <row r="28" spans="1:69" ht="13.5" customHeight="1" x14ac:dyDescent="0.3">
      <c r="A28" s="2">
        <v>46162</v>
      </c>
      <c r="B28" s="3">
        <v>110310</v>
      </c>
      <c r="C28" s="3">
        <v>4316133135535</v>
      </c>
      <c r="D28" s="3">
        <v>110495.02</v>
      </c>
      <c r="E28" s="24">
        <v>0</v>
      </c>
      <c r="F28" s="3">
        <v>39074000</v>
      </c>
      <c r="G28" s="3">
        <v>6.1468999999999996</v>
      </c>
      <c r="H28" s="2">
        <v>46162</v>
      </c>
      <c r="I28" s="3">
        <v>87810</v>
      </c>
      <c r="J28" s="3">
        <v>288662364824</v>
      </c>
      <c r="K28" s="3">
        <v>88219.51</v>
      </c>
      <c r="L28" s="30">
        <v>-0.11</v>
      </c>
      <c r="M28" s="3">
        <v>3276000</v>
      </c>
      <c r="N28" s="2">
        <v>46162</v>
      </c>
      <c r="O28" s="3">
        <v>92165</v>
      </c>
      <c r="P28" s="3">
        <v>339458358003</v>
      </c>
      <c r="Q28" s="3">
        <v>92801.8</v>
      </c>
      <c r="R28" s="24">
        <v>0.01</v>
      </c>
      <c r="S28" s="3">
        <v>3670000</v>
      </c>
      <c r="T28" s="2">
        <v>46162</v>
      </c>
      <c r="U28" s="3">
        <v>97645</v>
      </c>
      <c r="V28" s="3">
        <v>90836274620</v>
      </c>
      <c r="W28" s="3">
        <v>97977.03</v>
      </c>
      <c r="X28" s="24">
        <v>-0.03</v>
      </c>
      <c r="Y28" s="3">
        <v>928000</v>
      </c>
      <c r="Z28" s="2">
        <v>46162</v>
      </c>
      <c r="AA28" s="3">
        <v>99485</v>
      </c>
      <c r="AB28" s="3">
        <v>60124384055</v>
      </c>
      <c r="AC28" s="3">
        <v>99523.45</v>
      </c>
      <c r="AD28" s="24">
        <v>0.01</v>
      </c>
      <c r="AE28" s="3">
        <v>604000</v>
      </c>
      <c r="AF28" s="2">
        <v>46162</v>
      </c>
      <c r="AG28" s="3">
        <v>106560</v>
      </c>
      <c r="AH28" s="3">
        <v>1291616959938</v>
      </c>
      <c r="AI28" s="3">
        <v>106637.02</v>
      </c>
      <c r="AJ28" s="24">
        <v>0.04</v>
      </c>
      <c r="AK28" s="3">
        <v>12118000</v>
      </c>
      <c r="AL28" s="3">
        <v>5.8456999999999999</v>
      </c>
      <c r="AM28" s="2">
        <v>46162</v>
      </c>
      <c r="AN28" s="3">
        <v>53870</v>
      </c>
      <c r="AO28" s="3">
        <v>1179677581158</v>
      </c>
      <c r="AP28" s="3">
        <v>53860.55</v>
      </c>
      <c r="AQ28" s="39">
        <v>0.02</v>
      </c>
      <c r="AR28" s="3">
        <v>21904000</v>
      </c>
      <c r="AS28" s="2">
        <v>46162</v>
      </c>
      <c r="AT28" s="3">
        <v>50995</v>
      </c>
      <c r="AU28" s="3">
        <v>389922706051</v>
      </c>
      <c r="AV28" s="3">
        <v>50982.47</v>
      </c>
      <c r="AW28" s="24">
        <v>0.01</v>
      </c>
      <c r="AX28" s="3">
        <v>7648000</v>
      </c>
      <c r="AY28" s="2">
        <v>46162</v>
      </c>
      <c r="AZ28" s="3">
        <v>103240</v>
      </c>
      <c r="BA28" s="3">
        <v>2106872779256</v>
      </c>
      <c r="BB28" s="3">
        <v>103368.23</v>
      </c>
      <c r="BC28" s="24">
        <v>0.02</v>
      </c>
      <c r="BD28" s="3">
        <v>20392000</v>
      </c>
      <c r="BE28" s="3">
        <v>5.8384999999999998</v>
      </c>
      <c r="BF28" s="2">
        <v>46162</v>
      </c>
      <c r="BG28" s="3">
        <v>49895</v>
      </c>
      <c r="BH28" s="3">
        <v>35020956076</v>
      </c>
      <c r="BI28" s="3">
        <v>49881.47</v>
      </c>
      <c r="BJ28" s="24">
        <v>0.03</v>
      </c>
      <c r="BK28" s="3">
        <v>702000</v>
      </c>
      <c r="BL28" s="2">
        <v>46162</v>
      </c>
      <c r="BM28" s="3">
        <v>114670</v>
      </c>
      <c r="BN28" s="3">
        <v>589798840362</v>
      </c>
      <c r="BO28" s="3">
        <v>114616.39</v>
      </c>
      <c r="BP28" s="24">
        <v>0.02</v>
      </c>
      <c r="BQ28" s="3">
        <v>5144000</v>
      </c>
    </row>
    <row r="29" spans="1:69" ht="13.5" customHeight="1" x14ac:dyDescent="0.3">
      <c r="A29" s="2">
        <v>46161</v>
      </c>
      <c r="B29" s="3">
        <v>110400</v>
      </c>
      <c r="C29" s="3">
        <v>4263372338538</v>
      </c>
      <c r="D29" s="3">
        <v>110460.49</v>
      </c>
      <c r="E29" s="24">
        <v>-0.14000000000000001</v>
      </c>
      <c r="F29" s="3">
        <v>38614000</v>
      </c>
      <c r="G29" s="3">
        <v>6.2396000000000003</v>
      </c>
      <c r="H29" s="2">
        <v>46161</v>
      </c>
      <c r="I29" s="3">
        <v>87965</v>
      </c>
      <c r="J29" s="3">
        <v>288286951071</v>
      </c>
      <c r="K29" s="3">
        <v>88114.27</v>
      </c>
      <c r="L29" s="30">
        <v>-0.35</v>
      </c>
      <c r="M29" s="3">
        <v>3276000</v>
      </c>
      <c r="N29" s="2">
        <v>46161</v>
      </c>
      <c r="O29" s="3">
        <v>92440</v>
      </c>
      <c r="P29" s="3">
        <v>339657504006</v>
      </c>
      <c r="Q29" s="3">
        <v>92495.47</v>
      </c>
      <c r="R29" s="24">
        <v>-0.36</v>
      </c>
      <c r="S29" s="3">
        <v>3678000</v>
      </c>
      <c r="T29" s="2">
        <v>46161</v>
      </c>
      <c r="U29" s="3">
        <v>97785</v>
      </c>
      <c r="V29" s="3">
        <v>109115943200</v>
      </c>
      <c r="W29" s="3">
        <v>97883.92</v>
      </c>
      <c r="X29" s="24">
        <v>-0.24</v>
      </c>
      <c r="Y29" s="3">
        <v>1118000</v>
      </c>
      <c r="Z29" s="2">
        <v>46161</v>
      </c>
      <c r="AA29" s="3">
        <v>99530</v>
      </c>
      <c r="AB29" s="3">
        <v>58107195607</v>
      </c>
      <c r="AC29" s="3">
        <v>99543.679999999993</v>
      </c>
      <c r="AD29" s="24">
        <v>-0.06</v>
      </c>
      <c r="AE29" s="3">
        <v>584000</v>
      </c>
      <c r="AF29" s="2">
        <v>46161</v>
      </c>
      <c r="AG29" s="3">
        <v>106625</v>
      </c>
      <c r="AH29" s="3">
        <v>1299946807030</v>
      </c>
      <c r="AI29" s="3">
        <v>106586.64</v>
      </c>
      <c r="AJ29" s="24">
        <v>-0.02</v>
      </c>
      <c r="AK29" s="3">
        <v>12204000</v>
      </c>
      <c r="AL29" s="3">
        <v>5.8273999999999999</v>
      </c>
      <c r="AM29" s="2">
        <v>46161</v>
      </c>
      <c r="AN29" s="3">
        <v>53870</v>
      </c>
      <c r="AO29" s="3">
        <v>1179476619215</v>
      </c>
      <c r="AP29" s="3">
        <v>53856.72</v>
      </c>
      <c r="AQ29" s="39">
        <v>0.02</v>
      </c>
      <c r="AR29" s="3">
        <v>21902000</v>
      </c>
      <c r="AS29" s="2">
        <v>46161</v>
      </c>
      <c r="AT29" s="3">
        <v>50970</v>
      </c>
      <c r="AU29" s="3">
        <v>391847511054</v>
      </c>
      <c r="AV29" s="3">
        <v>50983.62</v>
      </c>
      <c r="AW29" s="24">
        <v>0.02</v>
      </c>
      <c r="AX29" s="3">
        <v>7686000</v>
      </c>
      <c r="AY29" s="2">
        <v>46161</v>
      </c>
      <c r="AZ29" s="3">
        <v>103360</v>
      </c>
      <c r="BA29" s="3">
        <v>2118640735892</v>
      </c>
      <c r="BB29" s="3">
        <v>103318.59</v>
      </c>
      <c r="BC29" s="24">
        <v>-0.08</v>
      </c>
      <c r="BD29" s="3">
        <v>20519000</v>
      </c>
      <c r="BE29" s="3">
        <v>5.8132000000000001</v>
      </c>
      <c r="BF29" s="2">
        <v>46161</v>
      </c>
      <c r="BG29" s="3">
        <v>49855</v>
      </c>
      <c r="BH29" s="3">
        <v>34909837183</v>
      </c>
      <c r="BI29" s="3">
        <v>49887.4</v>
      </c>
      <c r="BJ29" s="24">
        <v>0.02</v>
      </c>
      <c r="BK29" s="3">
        <v>700000</v>
      </c>
      <c r="BL29" s="2">
        <v>46161</v>
      </c>
      <c r="BM29" s="3">
        <v>114600</v>
      </c>
      <c r="BN29" s="3">
        <v>590727083847</v>
      </c>
      <c r="BO29" s="3">
        <v>114657.63</v>
      </c>
      <c r="BP29" s="24">
        <v>0.01</v>
      </c>
      <c r="BQ29" s="3">
        <v>5154000</v>
      </c>
    </row>
    <row r="30" spans="1:69" ht="13.5" customHeight="1" x14ac:dyDescent="0.3">
      <c r="A30" s="2">
        <v>46160</v>
      </c>
      <c r="B30" s="3">
        <v>110635</v>
      </c>
      <c r="C30" s="3">
        <v>4257521064228</v>
      </c>
      <c r="D30" s="3">
        <v>110410.02</v>
      </c>
      <c r="E30" s="24">
        <v>-0.01</v>
      </c>
      <c r="F30" s="3">
        <v>38481000</v>
      </c>
      <c r="G30" s="3">
        <v>6.1429</v>
      </c>
      <c r="H30" s="2">
        <v>46160</v>
      </c>
      <c r="I30" s="3">
        <v>88415</v>
      </c>
      <c r="J30" s="3">
        <v>289759952626</v>
      </c>
      <c r="K30" s="3">
        <v>87999.679999999993</v>
      </c>
      <c r="L30" s="30">
        <v>-0.04</v>
      </c>
      <c r="M30" s="3">
        <v>3277000</v>
      </c>
      <c r="N30" s="2">
        <v>46160</v>
      </c>
      <c r="O30" s="3">
        <v>93345</v>
      </c>
      <c r="P30" s="3">
        <v>337868788667</v>
      </c>
      <c r="Q30" s="3">
        <v>92348.42</v>
      </c>
      <c r="R30" s="24">
        <v>0.1</v>
      </c>
      <c r="S30" s="3">
        <v>3617000</v>
      </c>
      <c r="T30" s="2">
        <v>46160</v>
      </c>
      <c r="U30" s="3">
        <v>97745</v>
      </c>
      <c r="V30" s="3">
        <v>112049657234</v>
      </c>
      <c r="W30" s="3">
        <v>97599.23</v>
      </c>
      <c r="X30" s="24">
        <v>0.19</v>
      </c>
      <c r="Y30" s="3">
        <v>1146000</v>
      </c>
      <c r="Z30" s="2">
        <v>46160</v>
      </c>
      <c r="AA30" s="3">
        <v>99400</v>
      </c>
      <c r="AB30" s="3">
        <v>56098319440</v>
      </c>
      <c r="AC30" s="3">
        <v>99498.62</v>
      </c>
      <c r="AD30" s="24">
        <v>0.03</v>
      </c>
      <c r="AE30" s="3">
        <v>564000</v>
      </c>
      <c r="AF30" s="2">
        <v>46160</v>
      </c>
      <c r="AG30" s="3">
        <v>106745</v>
      </c>
      <c r="AH30" s="3">
        <v>1306344317200</v>
      </c>
      <c r="AI30" s="3">
        <v>106518.09</v>
      </c>
      <c r="AJ30" s="24">
        <v>0.1</v>
      </c>
      <c r="AK30" s="3">
        <v>12241000</v>
      </c>
      <c r="AL30" s="3">
        <v>5.8628999999999998</v>
      </c>
      <c r="AM30" s="2">
        <v>46160</v>
      </c>
      <c r="AN30" s="3">
        <v>53855</v>
      </c>
      <c r="AO30" s="3">
        <v>1179583767066</v>
      </c>
      <c r="AP30" s="3">
        <v>53852.46</v>
      </c>
      <c r="AQ30" s="39">
        <v>0.03</v>
      </c>
      <c r="AR30" s="3">
        <v>21906000</v>
      </c>
      <c r="AS30" s="2">
        <v>46160</v>
      </c>
      <c r="AT30" s="3">
        <v>50985</v>
      </c>
      <c r="AU30" s="3">
        <v>393386066078</v>
      </c>
      <c r="AV30" s="3">
        <v>50981.98</v>
      </c>
      <c r="AW30" s="24">
        <v>-0.02</v>
      </c>
      <c r="AX30" s="3">
        <v>7718000</v>
      </c>
      <c r="AY30" s="2">
        <v>46160</v>
      </c>
      <c r="AZ30" s="3">
        <v>103390</v>
      </c>
      <c r="BA30" s="3">
        <v>2123478952058</v>
      </c>
      <c r="BB30" s="3">
        <v>103252.63</v>
      </c>
      <c r="BC30" s="24">
        <v>0.1</v>
      </c>
      <c r="BD30" s="3">
        <v>20526000</v>
      </c>
      <c r="BE30" s="3">
        <v>5.7794999999999996</v>
      </c>
      <c r="BF30" s="2">
        <v>46160</v>
      </c>
      <c r="BG30" s="3">
        <v>49875</v>
      </c>
      <c r="BH30" s="3">
        <v>34998144193</v>
      </c>
      <c r="BI30" s="3">
        <v>49871.199999999997</v>
      </c>
      <c r="BJ30" s="24">
        <v>-0.03</v>
      </c>
      <c r="BK30" s="3">
        <v>702000</v>
      </c>
      <c r="BL30" s="2">
        <v>46160</v>
      </c>
      <c r="BM30" s="3">
        <v>114465</v>
      </c>
      <c r="BN30" s="3">
        <v>593872518240</v>
      </c>
      <c r="BO30" s="3">
        <v>114615.27</v>
      </c>
      <c r="BP30" s="24">
        <v>-0.01</v>
      </c>
      <c r="BQ30" s="3">
        <v>5184000</v>
      </c>
    </row>
    <row r="31" spans="1:69" ht="13.5" customHeight="1" x14ac:dyDescent="0.3">
      <c r="A31" s="2">
        <v>46157</v>
      </c>
      <c r="B31" s="3">
        <v>111445</v>
      </c>
      <c r="C31" s="3">
        <v>4234625817033</v>
      </c>
      <c r="D31" s="3">
        <v>110639.56</v>
      </c>
      <c r="E31" s="24">
        <v>0</v>
      </c>
      <c r="F31" s="3">
        <v>38039000</v>
      </c>
      <c r="G31" s="3">
        <v>6.1905000000000001</v>
      </c>
      <c r="H31" s="2">
        <v>46157</v>
      </c>
      <c r="I31" s="3">
        <v>89730</v>
      </c>
      <c r="J31" s="3">
        <v>293861433517</v>
      </c>
      <c r="K31" s="3">
        <v>88422.32</v>
      </c>
      <c r="L31" s="30">
        <v>-0.01</v>
      </c>
      <c r="M31" s="3">
        <v>3277000</v>
      </c>
      <c r="N31" s="2">
        <v>46157</v>
      </c>
      <c r="O31" s="3">
        <v>95805</v>
      </c>
      <c r="P31" s="3">
        <v>348097229405</v>
      </c>
      <c r="Q31" s="3">
        <v>93411.33</v>
      </c>
      <c r="R31" s="24">
        <v>-7.0000000000000007E-2</v>
      </c>
      <c r="S31" s="3">
        <v>3637000</v>
      </c>
      <c r="T31" s="2">
        <v>46157</v>
      </c>
      <c r="U31" s="3">
        <v>98880</v>
      </c>
      <c r="V31" s="3">
        <v>113061817822</v>
      </c>
      <c r="W31" s="3">
        <v>97774.57</v>
      </c>
      <c r="X31" s="24">
        <v>-0.03</v>
      </c>
      <c r="Y31" s="3">
        <v>1145000</v>
      </c>
      <c r="Z31" s="2">
        <v>46157</v>
      </c>
      <c r="AA31" s="3">
        <v>99725</v>
      </c>
      <c r="AB31" s="3">
        <v>55260097937</v>
      </c>
      <c r="AC31" s="3">
        <v>99465.11</v>
      </c>
      <c r="AD31" s="24">
        <v>-7.0000000000000007E-2</v>
      </c>
      <c r="AE31" s="3">
        <v>554000</v>
      </c>
      <c r="AF31" s="2">
        <v>46157</v>
      </c>
      <c r="AG31" s="3">
        <v>107555</v>
      </c>
      <c r="AH31" s="3">
        <v>1291192061654</v>
      </c>
      <c r="AI31" s="3">
        <v>106718.76</v>
      </c>
      <c r="AJ31" s="24">
        <v>0.02</v>
      </c>
      <c r="AK31" s="3">
        <v>12020000</v>
      </c>
      <c r="AL31" s="3">
        <v>5.9537000000000004</v>
      </c>
      <c r="AM31" s="2">
        <v>46157</v>
      </c>
      <c r="AN31" s="3">
        <v>53845</v>
      </c>
      <c r="AO31" s="3">
        <v>1192250882062</v>
      </c>
      <c r="AP31" s="3">
        <v>53847.519999999997</v>
      </c>
      <c r="AQ31" s="39">
        <v>0.01</v>
      </c>
      <c r="AR31" s="3">
        <v>22146000</v>
      </c>
      <c r="AS31" s="2">
        <v>46157</v>
      </c>
      <c r="AT31" s="3">
        <v>51035</v>
      </c>
      <c r="AU31" s="3">
        <v>393483778198</v>
      </c>
      <c r="AV31" s="3">
        <v>50969.95</v>
      </c>
      <c r="AW31" s="24">
        <v>0.03</v>
      </c>
      <c r="AX31" s="3">
        <v>7714000</v>
      </c>
      <c r="AY31" s="2">
        <v>46157</v>
      </c>
      <c r="AZ31" s="3">
        <v>104210</v>
      </c>
      <c r="BA31" s="3">
        <v>2135104272676</v>
      </c>
      <c r="BB31" s="3">
        <v>103453.13</v>
      </c>
      <c r="BC31" s="24">
        <v>-0.06</v>
      </c>
      <c r="BD31" s="3">
        <v>20501000</v>
      </c>
      <c r="BE31" s="3">
        <v>5.8723999999999998</v>
      </c>
      <c r="BF31" s="2">
        <v>46157</v>
      </c>
      <c r="BG31" s="3">
        <v>49995</v>
      </c>
      <c r="BH31" s="3">
        <v>35074806010</v>
      </c>
      <c r="BI31" s="3">
        <v>49854.91</v>
      </c>
      <c r="BJ31" s="24">
        <v>0.04</v>
      </c>
      <c r="BK31" s="3">
        <v>702000</v>
      </c>
      <c r="BL31" s="2">
        <v>46157</v>
      </c>
      <c r="BM31" s="3">
        <v>114870</v>
      </c>
      <c r="BN31" s="3">
        <v>599266144333</v>
      </c>
      <c r="BO31" s="3">
        <v>114558.74</v>
      </c>
      <c r="BP31" s="24">
        <v>-0.08</v>
      </c>
      <c r="BQ31" s="3">
        <v>5217000</v>
      </c>
    </row>
    <row r="32" spans="1:69" ht="13.5" customHeight="1" x14ac:dyDescent="0.3">
      <c r="A32" s="2">
        <v>46156</v>
      </c>
      <c r="B32" s="3">
        <v>111615</v>
      </c>
      <c r="C32" s="3">
        <v>4234888989123</v>
      </c>
      <c r="D32" s="3">
        <v>111323.27</v>
      </c>
      <c r="E32" s="24">
        <v>0.11</v>
      </c>
      <c r="F32" s="3">
        <v>37990000</v>
      </c>
      <c r="G32" s="3">
        <v>6.1920000000000002</v>
      </c>
      <c r="H32" s="2">
        <v>46156</v>
      </c>
      <c r="I32" s="3">
        <v>89995</v>
      </c>
      <c r="J32" s="3">
        <v>303812109032</v>
      </c>
      <c r="K32" s="3">
        <v>89673.919999999998</v>
      </c>
      <c r="L32" s="30">
        <v>0.06</v>
      </c>
      <c r="M32" s="3">
        <v>3377000</v>
      </c>
      <c r="N32" s="2">
        <v>46156</v>
      </c>
      <c r="O32" s="3">
        <v>96320</v>
      </c>
      <c r="P32" s="3">
        <v>350290807012</v>
      </c>
      <c r="Q32" s="3">
        <v>95709.99</v>
      </c>
      <c r="R32" s="24">
        <v>0.1</v>
      </c>
      <c r="S32" s="3">
        <v>3637000</v>
      </c>
      <c r="T32" s="2">
        <v>46156</v>
      </c>
      <c r="U32" s="3">
        <v>99050</v>
      </c>
      <c r="V32" s="3">
        <v>113333731102</v>
      </c>
      <c r="W32" s="3">
        <v>98743.95</v>
      </c>
      <c r="X32" s="24">
        <v>0.14000000000000001</v>
      </c>
      <c r="Y32" s="3">
        <v>1145000</v>
      </c>
      <c r="Z32" s="2">
        <v>46156</v>
      </c>
      <c r="AA32" s="3">
        <v>99800</v>
      </c>
      <c r="AB32" s="3">
        <v>55285461297</v>
      </c>
      <c r="AC32" s="3">
        <v>99747.47</v>
      </c>
      <c r="AD32" s="24">
        <v>-0.02</v>
      </c>
      <c r="AE32" s="3">
        <v>554000</v>
      </c>
      <c r="AF32" s="2">
        <v>46156</v>
      </c>
      <c r="AG32" s="3">
        <v>107570</v>
      </c>
      <c r="AH32" s="3">
        <v>1276244938526</v>
      </c>
      <c r="AI32" s="3">
        <v>107420.3</v>
      </c>
      <c r="AJ32" s="24">
        <v>0.13</v>
      </c>
      <c r="AK32" s="3">
        <v>11864000</v>
      </c>
      <c r="AL32" s="3">
        <v>5.9665999999999997</v>
      </c>
      <c r="AM32" s="2">
        <v>46156</v>
      </c>
      <c r="AN32" s="3">
        <v>53840</v>
      </c>
      <c r="AO32" s="3">
        <v>1193331753698</v>
      </c>
      <c r="AP32" s="3">
        <v>53835.95</v>
      </c>
      <c r="AQ32" s="39">
        <v>0.02</v>
      </c>
      <c r="AR32" s="3">
        <v>22168000</v>
      </c>
      <c r="AS32" s="2">
        <v>46156</v>
      </c>
      <c r="AT32" s="3">
        <v>51010</v>
      </c>
      <c r="AU32" s="3">
        <v>392876388378</v>
      </c>
      <c r="AV32" s="3">
        <v>51009.05</v>
      </c>
      <c r="AW32" s="24">
        <v>0.05</v>
      </c>
      <c r="AX32" s="3">
        <v>7702000</v>
      </c>
      <c r="AY32" s="2">
        <v>46156</v>
      </c>
      <c r="AZ32" s="3">
        <v>104405</v>
      </c>
      <c r="BA32" s="3">
        <v>2136317844227</v>
      </c>
      <c r="BB32" s="3">
        <v>104146.35</v>
      </c>
      <c r="BC32" s="24">
        <v>0.06</v>
      </c>
      <c r="BD32" s="3">
        <v>20482000</v>
      </c>
      <c r="BE32" s="3">
        <v>5.9141000000000004</v>
      </c>
      <c r="BF32" s="2">
        <v>46156</v>
      </c>
      <c r="BG32" s="3">
        <v>49960</v>
      </c>
      <c r="BH32" s="3">
        <v>34585426145</v>
      </c>
      <c r="BI32" s="3">
        <v>49964.11</v>
      </c>
      <c r="BJ32" s="24">
        <v>0.06</v>
      </c>
      <c r="BK32" s="3">
        <v>692000</v>
      </c>
      <c r="BL32" s="2">
        <v>46156</v>
      </c>
      <c r="BM32" s="3">
        <v>114905</v>
      </c>
      <c r="BN32" s="3">
        <v>600643698815</v>
      </c>
      <c r="BO32" s="3">
        <v>114867.96</v>
      </c>
      <c r="BP32" s="24">
        <v>0</v>
      </c>
      <c r="BQ32" s="3">
        <v>5227000</v>
      </c>
    </row>
    <row r="33" spans="1:69" ht="13.5" customHeight="1" x14ac:dyDescent="0.3">
      <c r="A33" s="2">
        <v>46155</v>
      </c>
      <c r="B33" s="3">
        <v>111435</v>
      </c>
      <c r="C33" s="3">
        <v>4206256594804</v>
      </c>
      <c r="D33" s="3">
        <v>111473.78</v>
      </c>
      <c r="E33" s="24">
        <v>0.13</v>
      </c>
      <c r="F33" s="3">
        <v>37758000</v>
      </c>
      <c r="G33" s="3">
        <v>6.1421000000000001</v>
      </c>
      <c r="H33" s="2">
        <v>46155</v>
      </c>
      <c r="I33" s="3">
        <v>89975</v>
      </c>
      <c r="J33" s="3">
        <v>303101116905</v>
      </c>
      <c r="K33" s="3">
        <v>89965.09</v>
      </c>
      <c r="L33" s="30">
        <v>0.03</v>
      </c>
      <c r="M33" s="3">
        <v>3373000</v>
      </c>
      <c r="N33" s="2">
        <v>46155</v>
      </c>
      <c r="O33" s="3">
        <v>96470</v>
      </c>
      <c r="P33" s="3">
        <v>349568448154</v>
      </c>
      <c r="Q33" s="3">
        <v>96313.12</v>
      </c>
      <c r="R33" s="24">
        <v>0.01</v>
      </c>
      <c r="S33" s="3">
        <v>3634000</v>
      </c>
      <c r="T33" s="2">
        <v>46155</v>
      </c>
      <c r="U33" s="3">
        <v>98985</v>
      </c>
      <c r="V33" s="3">
        <v>115408244436</v>
      </c>
      <c r="W33" s="3">
        <v>98981.42</v>
      </c>
      <c r="X33" s="24">
        <v>7.0000000000000007E-2</v>
      </c>
      <c r="Y33" s="3">
        <v>1167000</v>
      </c>
      <c r="Z33" s="2">
        <v>46155</v>
      </c>
      <c r="AA33" s="3">
        <v>99770</v>
      </c>
      <c r="AB33" s="3">
        <v>54335898322</v>
      </c>
      <c r="AC33" s="3">
        <v>99793.25</v>
      </c>
      <c r="AD33" s="24">
        <v>0.01</v>
      </c>
      <c r="AE33" s="3">
        <v>545000</v>
      </c>
      <c r="AF33" s="2">
        <v>46155</v>
      </c>
      <c r="AG33" s="3">
        <v>107550</v>
      </c>
      <c r="AH33" s="3">
        <v>1269344779740</v>
      </c>
      <c r="AI33" s="3">
        <v>107572.9</v>
      </c>
      <c r="AJ33" s="24">
        <v>0</v>
      </c>
      <c r="AK33" s="3">
        <v>11809000</v>
      </c>
      <c r="AL33" s="3">
        <v>5.9175000000000004</v>
      </c>
      <c r="AM33" s="2">
        <v>46155</v>
      </c>
      <c r="AN33" s="3">
        <v>53830</v>
      </c>
      <c r="AO33" s="3">
        <v>1190423594698</v>
      </c>
      <c r="AP33" s="3">
        <v>53831.28</v>
      </c>
      <c r="AQ33" s="39">
        <v>0.02</v>
      </c>
      <c r="AR33" s="3">
        <v>22116000</v>
      </c>
      <c r="AS33" s="2">
        <v>46155</v>
      </c>
      <c r="AT33" s="3">
        <v>51000</v>
      </c>
      <c r="AU33" s="3">
        <v>389183198846</v>
      </c>
      <c r="AV33" s="3">
        <v>51009.66</v>
      </c>
      <c r="AW33" s="24">
        <v>0</v>
      </c>
      <c r="AX33" s="3">
        <v>7634000</v>
      </c>
      <c r="AY33" s="2">
        <v>46155</v>
      </c>
      <c r="AZ33" s="3">
        <v>104260</v>
      </c>
      <c r="BA33" s="3">
        <v>2130320886472</v>
      </c>
      <c r="BB33" s="3">
        <v>104302.21</v>
      </c>
      <c r="BC33" s="24">
        <v>0.1</v>
      </c>
      <c r="BD33" s="3">
        <v>20442000</v>
      </c>
      <c r="BE33" s="3">
        <v>5.8898999999999999</v>
      </c>
      <c r="BF33" s="2">
        <v>46155</v>
      </c>
      <c r="BG33" s="3">
        <v>49975</v>
      </c>
      <c r="BH33" s="3">
        <v>34356454578</v>
      </c>
      <c r="BI33" s="3">
        <v>49978.94</v>
      </c>
      <c r="BJ33" s="24">
        <v>-0.04</v>
      </c>
      <c r="BK33" s="3">
        <v>688000</v>
      </c>
      <c r="BL33" s="2">
        <v>46155</v>
      </c>
      <c r="BM33" s="3">
        <v>114820</v>
      </c>
      <c r="BN33" s="3">
        <v>603530575424</v>
      </c>
      <c r="BO33" s="3">
        <v>114911.75</v>
      </c>
      <c r="BP33" s="24">
        <v>-0.01</v>
      </c>
      <c r="BQ33" s="3">
        <v>5257000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selection activeCell="T19" sqref="T19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1387</v>
      </c>
      <c r="B1" s="2">
        <v>36588</v>
      </c>
      <c r="C1" s="42" t="s">
        <v>1388</v>
      </c>
      <c r="D1" s="2">
        <v>46197</v>
      </c>
      <c r="E1" s="43" t="s">
        <v>1389</v>
      </c>
      <c r="F1" s="3">
        <v>365</v>
      </c>
      <c r="G1" s="42" t="s">
        <v>1390</v>
      </c>
      <c r="H1" s="3" t="s">
        <v>1391</v>
      </c>
      <c r="I1" s="42" t="s">
        <v>5</v>
      </c>
      <c r="J1" s="3" t="s">
        <v>9</v>
      </c>
      <c r="K1" s="42" t="s">
        <v>1392</v>
      </c>
      <c r="L1" s="30">
        <v>0</v>
      </c>
      <c r="M1" s="42" t="s">
        <v>1393</v>
      </c>
      <c r="N1" s="3" t="s">
        <v>1394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2727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2728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2729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2730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2731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2732</v>
      </c>
    </row>
    <row r="3" spans="1:23" x14ac:dyDescent="0.3">
      <c r="A3" s="4" t="s">
        <v>2726</v>
      </c>
      <c r="B3" s="5" t="s">
        <v>1398</v>
      </c>
      <c r="C3" s="4" t="s">
        <v>2726</v>
      </c>
      <c r="D3" s="5" t="s">
        <v>1398</v>
      </c>
      <c r="E3" s="4" t="s">
        <v>2726</v>
      </c>
      <c r="F3" s="5" t="s">
        <v>1398</v>
      </c>
      <c r="G3" s="4" t="s">
        <v>2726</v>
      </c>
      <c r="H3" s="5" t="s">
        <v>1398</v>
      </c>
      <c r="I3" s="4" t="s">
        <v>2726</v>
      </c>
      <c r="J3" s="5" t="s">
        <v>1398</v>
      </c>
      <c r="K3" s="4" t="s">
        <v>2726</v>
      </c>
      <c r="L3" s="5" t="s">
        <v>1398</v>
      </c>
      <c r="M3" s="21" t="s">
        <v>2733</v>
      </c>
      <c r="N3" s="21" t="s">
        <v>2734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49">
        <f>AVERAGE(B4,D4,F4)</f>
        <v>1.3333333333333331E-2</v>
      </c>
      <c r="N4" s="49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49">
        <f t="shared" ref="M5:M32" si="0">AVERAGE(B5,D5,F5)</f>
        <v>-0.06</v>
      </c>
      <c r="N5" s="49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49">
        <f t="shared" si="0"/>
        <v>-2.6666666666666668E-2</v>
      </c>
      <c r="N6" s="49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49">
        <f t="shared" si="0"/>
        <v>-3.3333333333333333E-2</v>
      </c>
      <c r="N7" s="49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49">
        <f t="shared" si="0"/>
        <v>6.9999999999999993E-2</v>
      </c>
      <c r="N8" s="49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49">
        <f t="shared" si="0"/>
        <v>-6.0000000000000005E-2</v>
      </c>
      <c r="N9" s="49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49">
        <f t="shared" si="0"/>
        <v>4.9999999999999996E-2</v>
      </c>
      <c r="N10" s="49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49">
        <f t="shared" si="0"/>
        <v>0.03</v>
      </c>
      <c r="N11" s="49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49">
        <f t="shared" si="0"/>
        <v>-9.3333333333333338E-2</v>
      </c>
      <c r="N12" s="49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49">
        <f t="shared" si="0"/>
        <v>9.6666666666666679E-2</v>
      </c>
      <c r="N13" s="49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49">
        <f t="shared" si="0"/>
        <v>-0.12333333333333334</v>
      </c>
      <c r="N14" s="49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49">
        <f t="shared" si="0"/>
        <v>0.10999999999999999</v>
      </c>
      <c r="N15" s="49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49">
        <f t="shared" si="0"/>
        <v>-0.17666666666666667</v>
      </c>
      <c r="N16" s="49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49">
        <f t="shared" si="0"/>
        <v>-3.6666666666666674E-2</v>
      </c>
      <c r="N17" s="49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49">
        <f t="shared" si="0"/>
        <v>6.3333333333333339E-2</v>
      </c>
      <c r="N18" s="49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49">
        <f t="shared" si="0"/>
        <v>-4.6666666666666669E-2</v>
      </c>
      <c r="N19" s="49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49">
        <f t="shared" si="0"/>
        <v>-6.3333333333333339E-2</v>
      </c>
      <c r="N20" s="49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4">
        <f t="shared" si="0"/>
        <v>-7.3333333333333348E-2</v>
      </c>
      <c r="N21" s="24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4">
        <f t="shared" si="0"/>
        <v>-8.666666666666667E-2</v>
      </c>
      <c r="N22" s="24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4">
        <f t="shared" si="0"/>
        <v>9.0000000000000011E-2</v>
      </c>
      <c r="N23" s="24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4">
        <f t="shared" si="0"/>
        <v>0.03</v>
      </c>
      <c r="N24" s="24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4">
        <f t="shared" si="0"/>
        <v>2.6666666666666668E-2</v>
      </c>
      <c r="N25" s="24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4">
        <f t="shared" si="0"/>
        <v>0.1566666666666667</v>
      </c>
      <c r="N26" s="24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4">
        <f t="shared" si="0"/>
        <v>6.6666666666666671E-3</v>
      </c>
      <c r="N27" s="24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4">
        <f t="shared" si="0"/>
        <v>-0.12000000000000001</v>
      </c>
      <c r="N28" s="24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4">
        <f t="shared" si="0"/>
        <v>2.6666666666666672E-2</v>
      </c>
      <c r="N29" s="24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4">
        <f t="shared" si="0"/>
        <v>-0.02</v>
      </c>
      <c r="N30" s="24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4">
        <f t="shared" si="0"/>
        <v>9.3333333333333324E-2</v>
      </c>
      <c r="N31" s="24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4">
        <f t="shared" si="0"/>
        <v>0.12</v>
      </c>
      <c r="N32" s="24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4">
        <f>AVERAGE(B33,D33,F33)</f>
        <v>3.6666666666666667E-2</v>
      </c>
      <c r="N33" s="24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4">
        <f t="shared" ref="M34:M97" si="8">AVERAGE(B34,D34,F34)</f>
        <v>-3.3333333333333333E-2</v>
      </c>
      <c r="N34" s="24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4">
        <f t="shared" si="8"/>
        <v>-8.3333333333333329E-2</v>
      </c>
      <c r="N35" s="24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4">
        <f t="shared" si="8"/>
        <v>-0.01</v>
      </c>
      <c r="N36" s="24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4">
        <f t="shared" si="8"/>
        <v>4.6666666666666669E-2</v>
      </c>
      <c r="N37" s="24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4">
        <f t="shared" si="8"/>
        <v>-0.01</v>
      </c>
      <c r="N38" s="24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4">
        <f t="shared" si="8"/>
        <v>-5.000000000000001E-2</v>
      </c>
      <c r="N39" s="24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4">
        <f t="shared" si="8"/>
        <v>-0.02</v>
      </c>
      <c r="N40" s="24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4">
        <f t="shared" si="8"/>
        <v>3.3333333333333333E-2</v>
      </c>
      <c r="N41" s="24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4">
        <f t="shared" si="8"/>
        <v>-4.9999999999999996E-2</v>
      </c>
      <c r="N42" s="24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4">
        <f t="shared" si="8"/>
        <v>1.6666666666666666E-2</v>
      </c>
      <c r="N43" s="24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4">
        <f t="shared" si="8"/>
        <v>-0.04</v>
      </c>
      <c r="N44" s="24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4">
        <f t="shared" si="8"/>
        <v>-0.01</v>
      </c>
      <c r="N45" s="24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4">
        <f t="shared" si="8"/>
        <v>1.6666666666666666E-2</v>
      </c>
      <c r="N46" s="24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4">
        <f t="shared" si="8"/>
        <v>-3.3333333333333322E-3</v>
      </c>
      <c r="N47" s="24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4">
        <f t="shared" si="8"/>
        <v>-2.3333333333333334E-2</v>
      </c>
      <c r="N48" s="24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4">
        <f t="shared" si="8"/>
        <v>-3.6666666666666674E-2</v>
      </c>
      <c r="N49" s="24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4">
        <f t="shared" si="8"/>
        <v>0.04</v>
      </c>
      <c r="N50" s="24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4">
        <f t="shared" si="8"/>
        <v>-1.3333333333333334E-2</v>
      </c>
      <c r="N51" s="24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4">
        <f t="shared" si="8"/>
        <v>-2.3333333333333334E-2</v>
      </c>
      <c r="N52" s="24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4">
        <f t="shared" si="8"/>
        <v>-0.02</v>
      </c>
      <c r="N53" s="24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4">
        <f t="shared" si="8"/>
        <v>-0.02</v>
      </c>
      <c r="N54" s="24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4">
        <f t="shared" si="8"/>
        <v>7.3333333333333334E-2</v>
      </c>
      <c r="N55" s="24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4">
        <f t="shared" si="8"/>
        <v>-6.6666666666666671E-3</v>
      </c>
      <c r="N56" s="24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4">
        <f t="shared" si="8"/>
        <v>3.0000000000000002E-2</v>
      </c>
      <c r="N57" s="24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4">
        <f t="shared" si="8"/>
        <v>-3.3333333333333333E-2</v>
      </c>
      <c r="N58" s="24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4">
        <f t="shared" si="8"/>
        <v>-0.10666666666666667</v>
      </c>
      <c r="N59" s="24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4">
        <f t="shared" si="8"/>
        <v>0.02</v>
      </c>
      <c r="N60" s="24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49">
        <f t="shared" si="8"/>
        <v>2.6666666666666672E-2</v>
      </c>
      <c r="N61" s="49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49">
        <f t="shared" si="8"/>
        <v>0.01</v>
      </c>
      <c r="N62" s="49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49">
        <f t="shared" si="8"/>
        <v>4.3333333333333335E-2</v>
      </c>
      <c r="N63" s="49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49">
        <f t="shared" si="8"/>
        <v>0.02</v>
      </c>
      <c r="N64" s="49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49">
        <f t="shared" si="8"/>
        <v>0.02</v>
      </c>
      <c r="N65" s="49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49">
        <f t="shared" si="8"/>
        <v>9.0000000000000011E-2</v>
      </c>
      <c r="N66" s="49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49">
        <f t="shared" si="8"/>
        <v>0.17333333333333334</v>
      </c>
      <c r="N67" s="49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49">
        <f t="shared" si="8"/>
        <v>0.01</v>
      </c>
      <c r="N68" s="49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49">
        <f t="shared" si="8"/>
        <v>-3.3333333333333322E-3</v>
      </c>
      <c r="N69" s="49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49">
        <f t="shared" si="8"/>
        <v>0.12666666666666668</v>
      </c>
      <c r="N70" s="49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49">
        <f t="shared" si="8"/>
        <v>0.01</v>
      </c>
      <c r="N71" s="49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49">
        <f t="shared" si="8"/>
        <v>5.6666666666666664E-2</v>
      </c>
      <c r="N72" s="49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49">
        <f t="shared" si="8"/>
        <v>5.000000000000001E-2</v>
      </c>
      <c r="N73" s="49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49">
        <f t="shared" si="8"/>
        <v>4.3333333333333335E-2</v>
      </c>
      <c r="N74" s="49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49">
        <f t="shared" si="8"/>
        <v>4.6666666666666669E-2</v>
      </c>
      <c r="N75" s="49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49">
        <f t="shared" si="8"/>
        <v>3.3333333333333333E-2</v>
      </c>
      <c r="N76" s="49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49">
        <f t="shared" si="8"/>
        <v>-4.3333333333333335E-2</v>
      </c>
      <c r="N77" s="49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49">
        <f t="shared" si="8"/>
        <v>0.02</v>
      </c>
      <c r="N78" s="49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49">
        <f t="shared" si="8"/>
        <v>-0.08</v>
      </c>
      <c r="N79" s="49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49">
        <f t="shared" si="8"/>
        <v>-0.04</v>
      </c>
      <c r="N80" s="49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49">
        <f t="shared" si="8"/>
        <v>6.6666666666666666E-2</v>
      </c>
      <c r="N81" s="49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4">
        <f t="shared" si="8"/>
        <v>-0.04</v>
      </c>
      <c r="N82" s="24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4">
        <f t="shared" si="8"/>
        <v>0.13333333333333333</v>
      </c>
      <c r="N83" s="24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4">
        <f t="shared" si="8"/>
        <v>9.3333333333333338E-2</v>
      </c>
      <c r="N84" s="24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4">
        <f t="shared" si="8"/>
        <v>-4.6666666666666669E-2</v>
      </c>
      <c r="N85" s="24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4">
        <f t="shared" si="8"/>
        <v>1.6666666666666666E-2</v>
      </c>
      <c r="N86" s="24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4">
        <f t="shared" si="8"/>
        <v>3.3333333333333335E-3</v>
      </c>
      <c r="N87" s="24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4">
        <f t="shared" si="8"/>
        <v>6.3333333333333339E-2</v>
      </c>
      <c r="N88" s="24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4">
        <f t="shared" si="8"/>
        <v>-0.01</v>
      </c>
      <c r="N89" s="24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4">
        <f t="shared" si="8"/>
        <v>4.3333333333333335E-2</v>
      </c>
      <c r="N90" s="24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4">
        <f t="shared" si="8"/>
        <v>6.6666666666666671E-3</v>
      </c>
      <c r="N91" s="24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4">
        <f t="shared" si="8"/>
        <v>2.3333333333333334E-2</v>
      </c>
      <c r="N92" s="24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4">
        <f t="shared" si="8"/>
        <v>-1.6666666666666666E-2</v>
      </c>
      <c r="N93" s="24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4">
        <f t="shared" si="8"/>
        <v>7.6666666666666661E-2</v>
      </c>
      <c r="N94" s="24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4">
        <f t="shared" si="8"/>
        <v>0.08</v>
      </c>
      <c r="N95" s="24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4">
        <f t="shared" si="8"/>
        <v>9.3333333333333338E-2</v>
      </c>
      <c r="N96" s="24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4">
        <f t="shared" si="8"/>
        <v>6.6666666666666666E-2</v>
      </c>
      <c r="N97" s="24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4">
        <f t="shared" ref="M98:M161" si="13">AVERAGE(B98,D98,F98)</f>
        <v>0.10999999999999999</v>
      </c>
      <c r="N98" s="24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4">
        <f t="shared" si="13"/>
        <v>0.02</v>
      </c>
      <c r="N99" s="24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4">
        <f t="shared" si="13"/>
        <v>4.3333333333333335E-2</v>
      </c>
      <c r="N100" s="24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4">
        <f t="shared" si="13"/>
        <v>2.6666666666666668E-2</v>
      </c>
      <c r="N101" s="24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4">
        <f t="shared" si="13"/>
        <v>-6.6666666666666671E-3</v>
      </c>
      <c r="N102" s="24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4">
        <f t="shared" si="13"/>
        <v>5.3333333333333337E-2</v>
      </c>
      <c r="N103" s="24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4">
        <f t="shared" si="13"/>
        <v>-0.14000000000000001</v>
      </c>
      <c r="N104" s="24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4">
        <f t="shared" si="13"/>
        <v>-3.3333333333333333E-2</v>
      </c>
      <c r="N105" s="24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4">
        <f t="shared" si="13"/>
        <v>-0.01</v>
      </c>
      <c r="N106" s="24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4">
        <f t="shared" si="13"/>
        <v>-2.3333333333333334E-2</v>
      </c>
      <c r="N107" s="24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4">
        <f t="shared" si="13"/>
        <v>0</v>
      </c>
      <c r="N108" s="24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4">
        <f t="shared" si="13"/>
        <v>3.3333333333333333E-2</v>
      </c>
      <c r="N109" s="24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4">
        <f t="shared" si="13"/>
        <v>-6.6666666666666671E-3</v>
      </c>
      <c r="N110" s="24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4">
        <f t="shared" si="13"/>
        <v>3.3333333333333333E-2</v>
      </c>
      <c r="N111" s="24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4">
        <f t="shared" si="13"/>
        <v>5.000000000000001E-2</v>
      </c>
      <c r="N112" s="24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4">
        <f t="shared" si="13"/>
        <v>0.04</v>
      </c>
      <c r="N113" s="24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4">
        <f t="shared" si="13"/>
        <v>6.6666666666666666E-2</v>
      </c>
      <c r="N114" s="24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4">
        <f t="shared" si="13"/>
        <v>0.11333333333333333</v>
      </c>
      <c r="N115" s="24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4">
        <f t="shared" si="13"/>
        <v>6.0000000000000005E-2</v>
      </c>
      <c r="N116" s="24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4">
        <f t="shared" si="13"/>
        <v>1.6666666666666666E-2</v>
      </c>
      <c r="N117" s="24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4">
        <f t="shared" si="13"/>
        <v>0</v>
      </c>
      <c r="N118" s="24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4">
        <f t="shared" si="13"/>
        <v>1.6666666666666666E-2</v>
      </c>
      <c r="N119" s="24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49">
        <f t="shared" si="13"/>
        <v>0.94333333333333336</v>
      </c>
      <c r="N120" s="49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49">
        <f t="shared" si="13"/>
        <v>0.12</v>
      </c>
      <c r="N121" s="49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49">
        <f t="shared" si="13"/>
        <v>5.000000000000001E-2</v>
      </c>
      <c r="N122" s="49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49">
        <f t="shared" si="13"/>
        <v>9.0000000000000011E-2</v>
      </c>
      <c r="N123" s="49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49">
        <f t="shared" si="13"/>
        <v>0.12333333333333334</v>
      </c>
      <c r="N124" s="49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49">
        <f t="shared" si="13"/>
        <v>2.3333333333333334E-2</v>
      </c>
      <c r="N125" s="49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49">
        <f t="shared" si="13"/>
        <v>0.11333333333333334</v>
      </c>
      <c r="N126" s="49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49">
        <f t="shared" si="13"/>
        <v>6.6666666666666666E-2</v>
      </c>
      <c r="N127" s="49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49">
        <f t="shared" si="13"/>
        <v>-3.333333333333334E-3</v>
      </c>
      <c r="N128" s="49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49">
        <f t="shared" si="13"/>
        <v>7.0000000000000007E-2</v>
      </c>
      <c r="N129" s="49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49">
        <f t="shared" si="13"/>
        <v>-3.3333333333333333E-2</v>
      </c>
      <c r="N130" s="49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49">
        <f t="shared" si="13"/>
        <v>0</v>
      </c>
      <c r="N131" s="49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49">
        <f t="shared" si="13"/>
        <v>1.4266666666666667</v>
      </c>
      <c r="N132" s="49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49">
        <f t="shared" si="13"/>
        <v>5.3333333333333344E-2</v>
      </c>
      <c r="N133" s="49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49">
        <f t="shared" si="13"/>
        <v>0</v>
      </c>
      <c r="N134" s="49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49">
        <f t="shared" si="13"/>
        <v>-3.3333333333333333E-2</v>
      </c>
      <c r="N135" s="49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49">
        <f t="shared" si="13"/>
        <v>-0.1566666666666667</v>
      </c>
      <c r="N136" s="49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49">
        <f t="shared" si="13"/>
        <v>3.333333333333334E-3</v>
      </c>
      <c r="N137" s="49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49">
        <f t="shared" si="13"/>
        <v>-8.666666666666667E-2</v>
      </c>
      <c r="N138" s="49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49">
        <f t="shared" si="13"/>
        <v>0.02</v>
      </c>
      <c r="N139" s="49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49">
        <f t="shared" si="13"/>
        <v>3.666666666666666E-2</v>
      </c>
      <c r="N140" s="49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4">
        <f t="shared" si="13"/>
        <v>-5.000000000000001E-2</v>
      </c>
      <c r="N141" s="24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4">
        <f t="shared" si="13"/>
        <v>0.04</v>
      </c>
      <c r="N142" s="24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4">
        <f t="shared" si="13"/>
        <v>3.3333333333333335E-3</v>
      </c>
      <c r="N143" s="24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4">
        <f t="shared" si="13"/>
        <v>-3.3333333333333335E-3</v>
      </c>
      <c r="N144" s="24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4">
        <f t="shared" si="13"/>
        <v>2.6666666666666661E-2</v>
      </c>
      <c r="N145" s="24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4">
        <f t="shared" si="13"/>
        <v>6.3333333333333339E-2</v>
      </c>
      <c r="N146" s="24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4">
        <f t="shared" si="13"/>
        <v>0.08</v>
      </c>
      <c r="N147" s="24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4">
        <f t="shared" si="13"/>
        <v>3.3333333333333335E-3</v>
      </c>
      <c r="N148" s="24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4">
        <f t="shared" si="13"/>
        <v>3.3333333333333333E-2</v>
      </c>
      <c r="N149" s="24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4">
        <f t="shared" si="13"/>
        <v>-3.3333333333333333E-2</v>
      </c>
      <c r="N150" s="24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4">
        <f t="shared" si="13"/>
        <v>0.12666666666666668</v>
      </c>
      <c r="N151" s="24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4">
        <f t="shared" si="13"/>
        <v>-2.3333333333333334E-2</v>
      </c>
      <c r="N152" s="24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4">
        <f t="shared" si="13"/>
        <v>-0.24</v>
      </c>
      <c r="N153" s="24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4">
        <f t="shared" si="13"/>
        <v>-1.6666666666666666E-2</v>
      </c>
      <c r="N154" s="24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4">
        <f t="shared" si="13"/>
        <v>6.6666666666666654E-3</v>
      </c>
      <c r="N155" s="24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4">
        <f t="shared" si="13"/>
        <v>1.3333333333333334E-2</v>
      </c>
      <c r="N156" s="24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4">
        <f t="shared" si="13"/>
        <v>0.16</v>
      </c>
      <c r="N157" s="24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4">
        <f t="shared" si="13"/>
        <v>0.02</v>
      </c>
      <c r="N158" s="24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4">
        <f t="shared" si="13"/>
        <v>3.6666666666666674E-2</v>
      </c>
      <c r="N159" s="24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4">
        <f t="shared" si="13"/>
        <v>4.3333333333333335E-2</v>
      </c>
      <c r="N160" s="24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4">
        <f t="shared" si="13"/>
        <v>9.6666666666666665E-2</v>
      </c>
      <c r="N161" s="24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4">
        <f t="shared" ref="M162:M225" si="18">AVERAGE(B162,D162,F162)</f>
        <v>9.6666666666666679E-2</v>
      </c>
      <c r="N162" s="24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4">
        <f t="shared" si="18"/>
        <v>-0.01</v>
      </c>
      <c r="N163" s="24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4">
        <f t="shared" si="18"/>
        <v>6.3333333333333339E-2</v>
      </c>
      <c r="N164" s="24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4">
        <f t="shared" si="18"/>
        <v>3.6666666666666667E-2</v>
      </c>
      <c r="N165" s="24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4">
        <f t="shared" si="18"/>
        <v>2.3333333333333334E-2</v>
      </c>
      <c r="N166" s="24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4">
        <f t="shared" si="18"/>
        <v>2.3333333333333334E-2</v>
      </c>
      <c r="N167" s="24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4">
        <f t="shared" si="18"/>
        <v>-0.04</v>
      </c>
      <c r="N168" s="24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4">
        <f t="shared" si="18"/>
        <v>3.6666666666666674E-2</v>
      </c>
      <c r="N169" s="24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4">
        <f t="shared" si="18"/>
        <v>4.3333333333333335E-2</v>
      </c>
      <c r="N170" s="24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4">
        <f t="shared" si="18"/>
        <v>-2.6666666666666668E-2</v>
      </c>
      <c r="N171" s="24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4">
        <f t="shared" si="18"/>
        <v>0.14333333333333334</v>
      </c>
      <c r="N172" s="24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4">
        <f t="shared" si="18"/>
        <v>5.6666666666666664E-2</v>
      </c>
      <c r="N173" s="24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4">
        <f t="shared" si="18"/>
        <v>3.333333333333334E-3</v>
      </c>
      <c r="N174" s="24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4">
        <f t="shared" si="18"/>
        <v>7.6666666666666661E-2</v>
      </c>
      <c r="N175" s="24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4">
        <f t="shared" si="18"/>
        <v>1.6666666666666666E-2</v>
      </c>
      <c r="N176" s="24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4">
        <f t="shared" si="18"/>
        <v>2.3333333333333334E-2</v>
      </c>
      <c r="N177" s="24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4">
        <f t="shared" si="18"/>
        <v>0.11666666666666665</v>
      </c>
      <c r="N178" s="24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49">
        <f t="shared" si="18"/>
        <v>-6.6666666666666645E-3</v>
      </c>
      <c r="N179" s="49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49">
        <f t="shared" si="18"/>
        <v>2.6666666666666668E-2</v>
      </c>
      <c r="N180" s="49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49">
        <f t="shared" si="18"/>
        <v>-2.3333333333333334E-2</v>
      </c>
      <c r="N181" s="49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49">
        <f t="shared" si="18"/>
        <v>-4.3333333333333335E-2</v>
      </c>
      <c r="N182" s="49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49">
        <f t="shared" si="18"/>
        <v>-0.06</v>
      </c>
      <c r="N183" s="49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49">
        <f t="shared" si="18"/>
        <v>6.6666666666666671E-3</v>
      </c>
      <c r="N184" s="49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49">
        <f t="shared" si="18"/>
        <v>-2.3333333333333334E-2</v>
      </c>
      <c r="N185" s="49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49">
        <f t="shared" si="18"/>
        <v>-2.6666666666666668E-2</v>
      </c>
      <c r="N186" s="49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49">
        <f t="shared" si="18"/>
        <v>-3.3333333333333333E-2</v>
      </c>
      <c r="N187" s="49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49">
        <f t="shared" si="18"/>
        <v>-0.02</v>
      </c>
      <c r="N188" s="49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49">
        <f t="shared" si="18"/>
        <v>-4.3333333333333335E-2</v>
      </c>
      <c r="N189" s="49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49">
        <f t="shared" si="18"/>
        <v>3.6666666666666674E-2</v>
      </c>
      <c r="N190" s="49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49">
        <f t="shared" si="18"/>
        <v>-0.02</v>
      </c>
      <c r="N191" s="49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49">
        <f t="shared" si="18"/>
        <v>-3.3333333333333335E-3</v>
      </c>
      <c r="N192" s="49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49">
        <f t="shared" si="18"/>
        <v>-2.3333333333333334E-2</v>
      </c>
      <c r="N193" s="49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49">
        <f t="shared" si="18"/>
        <v>0.04</v>
      </c>
      <c r="N194" s="49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49">
        <f t="shared" si="18"/>
        <v>3.6666666666666674E-2</v>
      </c>
      <c r="N195" s="49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49">
        <f t="shared" si="18"/>
        <v>4.9999999999999996E-2</v>
      </c>
      <c r="N196" s="49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49">
        <f t="shared" si="18"/>
        <v>-0.04</v>
      </c>
      <c r="N197" s="49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49">
        <f t="shared" si="18"/>
        <v>-0.01</v>
      </c>
      <c r="N198" s="49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49">
        <f t="shared" si="18"/>
        <v>-0.01</v>
      </c>
      <c r="N199" s="49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49">
        <f t="shared" si="18"/>
        <v>3.3333333333333335E-3</v>
      </c>
      <c r="N200" s="49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4">
        <f t="shared" si="18"/>
        <v>1.3333333333333334E-2</v>
      </c>
      <c r="N201" s="24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4">
        <f t="shared" si="18"/>
        <v>6.3333333333333339E-2</v>
      </c>
      <c r="N202" s="24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4">
        <f t="shared" si="18"/>
        <v>0</v>
      </c>
      <c r="N203" s="24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4">
        <f t="shared" si="18"/>
        <v>-1.3333333333333334E-2</v>
      </c>
      <c r="N204" s="24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4">
        <f t="shared" si="18"/>
        <v>0.03</v>
      </c>
      <c r="N205" s="24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4">
        <f t="shared" si="18"/>
        <v>-0.02</v>
      </c>
      <c r="N206" s="24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4">
        <f t="shared" si="18"/>
        <v>-3.3333333333333335E-3</v>
      </c>
      <c r="N207" s="24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4">
        <f t="shared" si="18"/>
        <v>-0.03</v>
      </c>
      <c r="N208" s="24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4">
        <f t="shared" si="18"/>
        <v>-0.02</v>
      </c>
      <c r="N209" s="24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4">
        <f t="shared" si="18"/>
        <v>-3.3333333333333333E-2</v>
      </c>
      <c r="N210" s="24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4">
        <f t="shared" si="18"/>
        <v>-2.3333333333333334E-2</v>
      </c>
      <c r="N211" s="24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4">
        <f t="shared" si="18"/>
        <v>-3.6666666666666674E-2</v>
      </c>
      <c r="N212" s="24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4">
        <f t="shared" si="18"/>
        <v>2.6666666666666668E-2</v>
      </c>
      <c r="N213" s="24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4">
        <f t="shared" si="18"/>
        <v>3.3333333333333333E-2</v>
      </c>
      <c r="N214" s="24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4">
        <f t="shared" si="18"/>
        <v>6.6666666666666671E-3</v>
      </c>
      <c r="N215" s="24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4">
        <f t="shared" si="18"/>
        <v>-4.6666666666666669E-2</v>
      </c>
      <c r="N216" s="24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4">
        <f t="shared" si="18"/>
        <v>6.6666666666666666E-2</v>
      </c>
      <c r="N217" s="24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4">
        <f t="shared" si="18"/>
        <v>-1.6666666666666666E-2</v>
      </c>
      <c r="N218" s="24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4">
        <f t="shared" si="18"/>
        <v>1.3333333333333334E-2</v>
      </c>
      <c r="N219" s="24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4">
        <f t="shared" si="18"/>
        <v>0</v>
      </c>
      <c r="N220" s="24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4">
        <f t="shared" si="18"/>
        <v>0.04</v>
      </c>
      <c r="N221" s="24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4">
        <f t="shared" si="18"/>
        <v>5.000000000000001E-2</v>
      </c>
      <c r="N222" s="24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4">
        <f t="shared" si="18"/>
        <v>-2.6666666666666668E-2</v>
      </c>
      <c r="N223" s="24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4">
        <f t="shared" si="18"/>
        <v>0.03</v>
      </c>
      <c r="N224" s="24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4">
        <f t="shared" si="18"/>
        <v>-1.3333333333333334E-2</v>
      </c>
      <c r="N225" s="24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4">
        <f t="shared" ref="M226:M289" si="23">AVERAGE(B226,D226,F226)</f>
        <v>3.3333333333333335E-3</v>
      </c>
      <c r="N226" s="24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4">
        <f t="shared" si="23"/>
        <v>-6.6666666666666671E-3</v>
      </c>
      <c r="N227" s="24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4">
        <f t="shared" si="23"/>
        <v>0</v>
      </c>
      <c r="N228" s="24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4">
        <f t="shared" si="23"/>
        <v>1.3333333333333331E-2</v>
      </c>
      <c r="N229" s="24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4">
        <f t="shared" si="23"/>
        <v>7.0000000000000007E-2</v>
      </c>
      <c r="N230" s="24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4">
        <f t="shared" si="23"/>
        <v>-0.01</v>
      </c>
      <c r="N231" s="24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4">
        <f t="shared" si="23"/>
        <v>-2.3333333333333334E-2</v>
      </c>
      <c r="N232" s="24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4">
        <f t="shared" si="23"/>
        <v>1.3333333333333334E-2</v>
      </c>
      <c r="N233" s="24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4">
        <f t="shared" si="23"/>
        <v>6.6666666666666645E-3</v>
      </c>
      <c r="N234" s="24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4">
        <f t="shared" si="23"/>
        <v>-0.04</v>
      </c>
      <c r="N235" s="24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4">
        <f t="shared" si="23"/>
        <v>0.03</v>
      </c>
      <c r="N236" s="24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4">
        <f t="shared" si="23"/>
        <v>-2.3333333333333334E-2</v>
      </c>
      <c r="N237" s="24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4">
        <f t="shared" si="23"/>
        <v>-2.3333333333333334E-2</v>
      </c>
      <c r="N238" s="24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4">
        <f t="shared" si="23"/>
        <v>0.03</v>
      </c>
      <c r="N239" s="24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4">
        <f t="shared" si="23"/>
        <v>0.06</v>
      </c>
      <c r="N240" s="24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4">
        <f t="shared" si="23"/>
        <v>3.3333333333333335E-3</v>
      </c>
      <c r="N241" s="24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4">
        <f t="shared" si="23"/>
        <v>-1.3333333333333331E-2</v>
      </c>
      <c r="N242" s="24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4">
        <f t="shared" si="23"/>
        <v>-0.02</v>
      </c>
      <c r="N243" s="24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4">
        <f t="shared" si="23"/>
        <v>0.02</v>
      </c>
      <c r="N244" s="24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4">
        <f t="shared" si="23"/>
        <v>8.666666666666667E-2</v>
      </c>
      <c r="N245" s="24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4">
        <f t="shared" si="23"/>
        <v>-8.3333333333333329E-2</v>
      </c>
      <c r="N246" s="24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4">
        <f t="shared" si="23"/>
        <v>3.333333333333334E-3</v>
      </c>
      <c r="N247" s="24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4">
        <f t="shared" si="23"/>
        <v>-6.6666666666666671E-3</v>
      </c>
      <c r="N248" s="24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4">
        <f t="shared" si="23"/>
        <v>3.3333333333333333E-2</v>
      </c>
      <c r="N249" s="24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4">
        <f t="shared" si="23"/>
        <v>-2.3333333333333334E-2</v>
      </c>
      <c r="N250" s="24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4">
        <f t="shared" si="23"/>
        <v>7.3333333333333348E-2</v>
      </c>
      <c r="N251" s="24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4">
        <f t="shared" si="23"/>
        <v>0</v>
      </c>
      <c r="N252" s="24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4">
        <f t="shared" si="23"/>
        <v>-0.02</v>
      </c>
      <c r="N253" s="24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4">
        <f t="shared" si="23"/>
        <v>0.08</v>
      </c>
      <c r="N254" s="24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4">
        <f t="shared" si="23"/>
        <v>-9.6666666666666679E-2</v>
      </c>
      <c r="N255" s="24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4">
        <f t="shared" si="23"/>
        <v>-3.0000000000000002E-2</v>
      </c>
      <c r="N256" s="24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4">
        <f t="shared" si="23"/>
        <v>0.01</v>
      </c>
      <c r="N257" s="24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4">
        <f t="shared" si="23"/>
        <v>-0.01</v>
      </c>
      <c r="N258" s="24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4">
        <f t="shared" si="23"/>
        <v>6.6666666666666723E-3</v>
      </c>
      <c r="N259" s="24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4">
        <f t="shared" si="23"/>
        <v>-7.0000000000000007E-2</v>
      </c>
      <c r="N260" s="24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4">
        <f t="shared" si="23"/>
        <v>3.3333333333333335E-3</v>
      </c>
      <c r="N261" s="24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4">
        <f t="shared" si="23"/>
        <v>1.3333333333333331E-2</v>
      </c>
      <c r="N262" s="24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4">
        <f t="shared" si="23"/>
        <v>-0.14333333333333334</v>
      </c>
      <c r="N263" s="24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4">
        <f t="shared" si="23"/>
        <v>3.3333333333333333E-2</v>
      </c>
      <c r="N264" s="24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4">
        <f t="shared" si="23"/>
        <v>-2.6666666666666668E-2</v>
      </c>
      <c r="N265" s="24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4">
        <f t="shared" si="23"/>
        <v>2.3333333333333334E-2</v>
      </c>
      <c r="N266" s="24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4">
        <f t="shared" si="23"/>
        <v>0.02</v>
      </c>
      <c r="N267" s="24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4">
        <f t="shared" si="23"/>
        <v>-1.3333333333333331E-2</v>
      </c>
      <c r="N268" s="24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4">
        <f t="shared" si="23"/>
        <v>-0.06</v>
      </c>
      <c r="N269" s="24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4">
        <f t="shared" si="23"/>
        <v>4.6666666666666669E-2</v>
      </c>
      <c r="N270" s="24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4">
        <f t="shared" si="23"/>
        <v>6.9999999999999993E-2</v>
      </c>
      <c r="N271" s="24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4">
        <f t="shared" si="23"/>
        <v>1.3333333333333334E-2</v>
      </c>
      <c r="N272" s="24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4">
        <f t="shared" si="23"/>
        <v>4.6666666666666669E-2</v>
      </c>
      <c r="N273" s="24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4">
        <f t="shared" si="23"/>
        <v>6.6666666666666654E-3</v>
      </c>
      <c r="N274" s="24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4">
        <f t="shared" si="23"/>
        <v>-2.3333333333333334E-2</v>
      </c>
      <c r="N275" s="24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4">
        <f t="shared" si="23"/>
        <v>-0.03</v>
      </c>
      <c r="N276" s="24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4">
        <f t="shared" si="23"/>
        <v>2.3333333333333334E-2</v>
      </c>
      <c r="N277" s="24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4">
        <f t="shared" si="23"/>
        <v>1.3333333333333334E-2</v>
      </c>
      <c r="N278" s="24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4">
        <f t="shared" si="23"/>
        <v>5.000000000000001E-2</v>
      </c>
      <c r="N279" s="24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4">
        <f t="shared" si="23"/>
        <v>0.08</v>
      </c>
      <c r="N280" s="24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4">
        <f t="shared" si="23"/>
        <v>5.6666666666666664E-2</v>
      </c>
      <c r="N281" s="24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4">
        <f t="shared" si="23"/>
        <v>0.10333333333333335</v>
      </c>
      <c r="N282" s="24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4">
        <f t="shared" si="23"/>
        <v>7.0000000000000007E-2</v>
      </c>
      <c r="N283" s="24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4">
        <f t="shared" si="23"/>
        <v>0</v>
      </c>
      <c r="N284" s="24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4">
        <f t="shared" si="23"/>
        <v>0.08</v>
      </c>
      <c r="N285" s="24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4">
        <f t="shared" si="23"/>
        <v>1.6666666666666666E-2</v>
      </c>
      <c r="N286" s="24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4">
        <f t="shared" si="23"/>
        <v>1.3333333333333334E-2</v>
      </c>
      <c r="N287" s="24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4">
        <f t="shared" si="23"/>
        <v>0.01</v>
      </c>
      <c r="N288" s="24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4">
        <f t="shared" si="23"/>
        <v>3.3333333333333335E-3</v>
      </c>
      <c r="N289" s="24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4">
        <f t="shared" ref="M290:M353" si="28">AVERAGE(B290,D290,F290)</f>
        <v>2.3333333333333334E-2</v>
      </c>
      <c r="N290" s="24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4">
        <f t="shared" si="28"/>
        <v>8.3333333333333329E-2</v>
      </c>
      <c r="N291" s="24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4">
        <f t="shared" si="28"/>
        <v>-3.3333333333333322E-3</v>
      </c>
      <c r="N292" s="24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4">
        <f t="shared" si="28"/>
        <v>0</v>
      </c>
      <c r="N293" s="24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4">
        <f t="shared" si="28"/>
        <v>0.02</v>
      </c>
      <c r="N294" s="24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4">
        <f t="shared" si="28"/>
        <v>-2.3333333333333334E-2</v>
      </c>
      <c r="N295" s="24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4">
        <f t="shared" si="28"/>
        <v>9.6666666666666679E-2</v>
      </c>
      <c r="N296" s="24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4">
        <f t="shared" si="28"/>
        <v>-3.3333333333333333E-2</v>
      </c>
      <c r="N297" s="24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4">
        <f t="shared" si="28"/>
        <v>-0.04</v>
      </c>
      <c r="N298" s="24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4">
        <f t="shared" si="28"/>
        <v>-1.0000000000000002E-2</v>
      </c>
      <c r="N299" s="24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4">
        <f t="shared" si="28"/>
        <v>-2.3333333333333334E-2</v>
      </c>
      <c r="N300" s="24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4">
        <f t="shared" si="28"/>
        <v>0.10333333333333335</v>
      </c>
      <c r="N301" s="24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4">
        <f t="shared" si="28"/>
        <v>-3.3333333333333335E-3</v>
      </c>
      <c r="N302" s="24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4">
        <f t="shared" si="28"/>
        <v>0.04</v>
      </c>
      <c r="N303" s="24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4">
        <f t="shared" si="28"/>
        <v>0.02</v>
      </c>
      <c r="N304" s="24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4">
        <f t="shared" si="28"/>
        <v>-6.6666666666666671E-3</v>
      </c>
      <c r="N305" s="24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4">
        <f t="shared" si="28"/>
        <v>8.3333333333333329E-2</v>
      </c>
      <c r="N306" s="24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4">
        <f t="shared" si="28"/>
        <v>7.0000000000000007E-2</v>
      </c>
      <c r="N307" s="24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4">
        <f t="shared" si="28"/>
        <v>-0.01</v>
      </c>
      <c r="N308" s="24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4">
        <f t="shared" si="28"/>
        <v>0.02</v>
      </c>
      <c r="N309" s="24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4">
        <f t="shared" si="28"/>
        <v>-6.6666666666666671E-3</v>
      </c>
      <c r="N310" s="24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4">
        <f t="shared" si="28"/>
        <v>7.3333333333333348E-2</v>
      </c>
      <c r="N311" s="24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4">
        <f t="shared" si="28"/>
        <v>-5.6666666666666671E-2</v>
      </c>
      <c r="N312" s="24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4">
        <f t="shared" si="28"/>
        <v>4.6666666666666669E-2</v>
      </c>
      <c r="N313" s="24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4">
        <f t="shared" si="28"/>
        <v>0.03</v>
      </c>
      <c r="N314" s="24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4">
        <f t="shared" si="28"/>
        <v>-2.3333333333333334E-2</v>
      </c>
      <c r="N315" s="24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4">
        <f t="shared" si="28"/>
        <v>5.6666666666666664E-2</v>
      </c>
      <c r="N316" s="24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4">
        <f t="shared" si="28"/>
        <v>6.6666666666666671E-3</v>
      </c>
      <c r="N317" s="24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4">
        <f t="shared" si="28"/>
        <v>1.3333333333333331E-2</v>
      </c>
      <c r="N318" s="24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4">
        <f t="shared" si="28"/>
        <v>3.6666666666666674E-2</v>
      </c>
      <c r="N319" s="24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4">
        <f t="shared" si="28"/>
        <v>-0.03</v>
      </c>
      <c r="N320" s="24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4">
        <f t="shared" si="28"/>
        <v>7.6666666666666661E-2</v>
      </c>
      <c r="N321" s="24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4">
        <f t="shared" si="28"/>
        <v>9.3333333333333338E-2</v>
      </c>
      <c r="N322" s="24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4">
        <f t="shared" si="28"/>
        <v>9.0000000000000011E-2</v>
      </c>
      <c r="N323" s="24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4">
        <f t="shared" si="28"/>
        <v>-0.03</v>
      </c>
      <c r="N324" s="24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4">
        <f t="shared" si="28"/>
        <v>4.6666666666666669E-2</v>
      </c>
      <c r="N325" s="24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4">
        <f t="shared" si="28"/>
        <v>0.04</v>
      </c>
      <c r="N326" s="24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4">
        <f t="shared" si="28"/>
        <v>7.6666666666666675E-2</v>
      </c>
      <c r="N327" s="24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4">
        <f t="shared" si="28"/>
        <v>4.3333333333333335E-2</v>
      </c>
      <c r="N328" s="24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4">
        <f t="shared" si="28"/>
        <v>0.06</v>
      </c>
      <c r="N329" s="24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4">
        <f t="shared" si="28"/>
        <v>2.3333333333333334E-2</v>
      </c>
      <c r="N330" s="24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4">
        <f t="shared" si="28"/>
        <v>5.3333333333333337E-2</v>
      </c>
      <c r="N331" s="24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4">
        <f t="shared" si="28"/>
        <v>0.06</v>
      </c>
      <c r="N332" s="24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4">
        <f t="shared" si="28"/>
        <v>7.0000000000000007E-2</v>
      </c>
      <c r="N333" s="24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4">
        <f t="shared" si="28"/>
        <v>0.01</v>
      </c>
      <c r="N334" s="24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4">
        <f t="shared" si="28"/>
        <v>5.6666666666666664E-2</v>
      </c>
      <c r="N335" s="24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4">
        <f t="shared" si="28"/>
        <v>0.02</v>
      </c>
      <c r="N336" s="24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4">
        <f t="shared" si="28"/>
        <v>5.3333333333333337E-2</v>
      </c>
      <c r="N337" s="24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4">
        <f t="shared" si="28"/>
        <v>9.0000000000000011E-2</v>
      </c>
      <c r="N338" s="24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4">
        <f t="shared" si="28"/>
        <v>5.000000000000001E-2</v>
      </c>
      <c r="N339" s="24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4">
        <f t="shared" si="28"/>
        <v>8.3333333333333329E-2</v>
      </c>
      <c r="N340" s="24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4">
        <f t="shared" si="28"/>
        <v>-5.6666666666666671E-2</v>
      </c>
      <c r="N341" s="24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4">
        <f t="shared" si="28"/>
        <v>2.6666666666666661E-2</v>
      </c>
      <c r="N342" s="24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4">
        <f t="shared" si="28"/>
        <v>0.03</v>
      </c>
      <c r="N343" s="24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4">
        <f t="shared" si="28"/>
        <v>0.01</v>
      </c>
      <c r="N344" s="24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4">
        <f t="shared" si="28"/>
        <v>1.6666666666666666E-2</v>
      </c>
      <c r="N345" s="24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4">
        <f t="shared" si="28"/>
        <v>5.3333333333333344E-2</v>
      </c>
      <c r="N346" s="24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4">
        <f t="shared" si="28"/>
        <v>5.3333333333333337E-2</v>
      </c>
      <c r="N347" s="24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4">
        <f t="shared" si="28"/>
        <v>3.666666666666666E-2</v>
      </c>
      <c r="N348" s="24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4">
        <f t="shared" si="28"/>
        <v>9.0000000000000011E-2</v>
      </c>
      <c r="N349" s="24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4">
        <f t="shared" si="28"/>
        <v>8.3333333333333329E-2</v>
      </c>
      <c r="N350" s="24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4">
        <f t="shared" si="28"/>
        <v>0.15333333333333335</v>
      </c>
      <c r="N351" s="24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4">
        <f t="shared" si="28"/>
        <v>3.3333333333333333E-2</v>
      </c>
      <c r="N352" s="24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4">
        <f t="shared" si="28"/>
        <v>3.3333333333333333E-2</v>
      </c>
      <c r="N353" s="24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4">
        <f t="shared" ref="M354:M368" si="33">AVERAGE(B354,D354,F354)</f>
        <v>2.6666666666666668E-2</v>
      </c>
      <c r="N354" s="24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4">
        <f t="shared" si="33"/>
        <v>-3.3333333333333318E-3</v>
      </c>
      <c r="N355" s="24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4">
        <f t="shared" si="33"/>
        <v>0.08</v>
      </c>
      <c r="N356" s="24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4">
        <f t="shared" si="33"/>
        <v>-6.3333333333333339E-2</v>
      </c>
      <c r="N357" s="24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4">
        <f t="shared" si="33"/>
        <v>3.333333333333334E-3</v>
      </c>
      <c r="N358" s="24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4">
        <f t="shared" si="33"/>
        <v>-8.666666666666667E-2</v>
      </c>
      <c r="N359" s="24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4">
        <f t="shared" si="33"/>
        <v>-6.6666666666666666E-2</v>
      </c>
      <c r="N360" s="24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4">
        <f t="shared" si="33"/>
        <v>-0.10666666666666667</v>
      </c>
      <c r="N361" s="24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4">
        <f t="shared" si="33"/>
        <v>-0.03</v>
      </c>
      <c r="N362" s="24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4">
        <f t="shared" si="33"/>
        <v>8.3333333333333329E-2</v>
      </c>
      <c r="N363" s="24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4">
        <f t="shared" si="33"/>
        <v>6.0000000000000005E-2</v>
      </c>
      <c r="N364" s="24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4">
        <f t="shared" si="33"/>
        <v>2.3333333333333334E-2</v>
      </c>
      <c r="N365" s="24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4">
        <f t="shared" si="33"/>
        <v>0.03</v>
      </c>
      <c r="N366" s="24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4">
        <f t="shared" si="33"/>
        <v>-8.3333333333333329E-2</v>
      </c>
      <c r="N367" s="24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4">
        <f t="shared" si="33"/>
        <v>-0.10333333333333333</v>
      </c>
      <c r="N368" s="24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괴리율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2026-06-24T23:07:53Z</dcterms:modified>
</cp:coreProperties>
</file>