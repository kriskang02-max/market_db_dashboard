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2BE8407-25D7-4F09-BEA7-E83837D21F6B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X3" i="1" l="1"/>
  <c r="CN3" i="1"/>
  <c r="CD3" i="1"/>
  <c r="BT3" i="1"/>
  <c r="BJ3" i="1"/>
  <c r="AZ3" i="1"/>
  <c r="AP3" i="1"/>
  <c r="AF3" i="1"/>
  <c r="V3" i="1"/>
  <c r="L3" i="1"/>
  <c r="B3" i="1"/>
  <c r="Z2" i="2"/>
  <c r="BL2" i="2"/>
  <c r="AF2" i="2"/>
  <c r="AS2" i="2"/>
  <c r="AM2" i="2"/>
  <c r="AY2" i="2"/>
  <c r="BF2" i="2"/>
  <c r="N2" i="2"/>
  <c r="H2" i="2"/>
  <c r="A2" i="2"/>
  <c r="T2" i="2"/>
  <c r="A7" i="1"/>
  <c r="AO7" i="1"/>
  <c r="K7" i="1"/>
  <c r="BS7" i="1"/>
  <c r="AY7" i="1"/>
  <c r="BI7" i="1"/>
  <c r="CC7" i="1"/>
  <c r="AE7" i="1"/>
  <c r="CW7" i="1"/>
  <c r="U7" i="1"/>
  <c r="CM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sharedStrings.xml><?xml version="1.0" encoding="utf-8"?>
<sst xmlns="http://schemas.openxmlformats.org/spreadsheetml/2006/main" count="4327" uniqueCount="2722">
  <si>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</si>
  <si>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</si>
  <si>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</si>
  <si>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</si>
  <si>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</si>
  <si>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</si>
  <si>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</si>
  <si>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</si>
  <si>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</si>
  <si>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</si>
  <si>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</si>
  <si>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</si>
  <si>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</si>
  <si>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</si>
  <si>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</si>
  <si>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</si>
  <si>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</si>
  <si>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</si>
  <si>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</si>
  <si>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</si>
  <si>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</si>
  <si>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</si>
  <si>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</si>
  <si>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</si>
  <si>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</si>
  <si>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</si>
  <si>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</si>
  <si>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</si>
  <si>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</si>
  <si>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</si>
  <si>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</si>
  <si>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</si>
  <si>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</si>
  <si>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</si>
  <si>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</si>
  <si>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KR4A67690003</t>
  </si>
  <si>
    <t>A6769000</t>
  </si>
  <si>
    <t>2026-09 국채선물10(신)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</si>
  <si>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</si>
  <si>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</si>
  <si>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</si>
  <si>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</si>
  <si>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</si>
  <si>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</si>
  <si>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</si>
  <si>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</si>
  <si>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</si>
  <si>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</si>
  <si>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</si>
  <si>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</si>
  <si>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</si>
  <si>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</si>
  <si>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</si>
  <si>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</si>
  <si>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</si>
  <si>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</si>
  <si>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</si>
  <si>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</si>
  <si>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</si>
  <si>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</si>
  <si>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</si>
  <si>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</si>
  <si>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</si>
  <si>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</si>
  <si>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</si>
  <si>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</si>
  <si>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</si>
  <si>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</si>
  <si>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</si>
  <si>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</si>
  <si>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</si>
  <si>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</si>
  <si>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</si>
  <si>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</si>
  <si>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</si>
  <si>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</si>
  <si>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</si>
  <si>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</si>
  <si>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</si>
  <si>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</si>
  <si>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</si>
  <si>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</si>
  <si>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</si>
  <si>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</si>
  <si>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</si>
  <si>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</si>
  <si>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</si>
  <si>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</si>
  <si>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</si>
  <si>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</si>
  <si>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</si>
  <si>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</si>
  <si>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</si>
  <si>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</si>
  <si>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</si>
  <si>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</si>
  <si>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</si>
  <si>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</si>
  <si>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</si>
  <si>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</si>
  <si>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</si>
  <si>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</si>
  <si>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</si>
  <si>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</si>
  <si>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</si>
  <si>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</si>
  <si>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</si>
  <si>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</si>
  <si>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</si>
  <si>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</si>
  <si>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</si>
  <si>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</si>
  <si>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</si>
  <si>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</si>
  <si>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</si>
  <si>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</si>
  <si>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</si>
  <si>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</si>
  <si>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</si>
  <si>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</si>
  <si>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</si>
  <si>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</si>
  <si>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</si>
  <si>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</si>
  <si>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</si>
  <si>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</si>
  <si>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</si>
  <si>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</si>
  <si>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</si>
  <si>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</si>
  <si>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</si>
  <si>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</si>
  <si>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</si>
  <si>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</si>
  <si>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</si>
  <si>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</si>
  <si>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</si>
  <si>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KR4A65690005</t>
  </si>
  <si>
    <t>A6569000</t>
  </si>
  <si>
    <t>2026-09 국채선물3(신)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</si>
  <si>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</si>
  <si>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</si>
  <si>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</si>
  <si>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</si>
  <si>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</si>
  <si>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</si>
  <si>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</si>
  <si>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</si>
  <si>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</si>
  <si>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</si>
  <si>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KR6029882F83</t>
  </si>
  <si>
    <t>029882</t>
  </si>
  <si>
    <t>현대캐피탈2069</t>
  </si>
  <si>
    <t>KR350108GC11</t>
  </si>
  <si>
    <t>50108G</t>
  </si>
  <si>
    <t>한국전력공사채권1124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</si>
  <si>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</si>
  <si>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</si>
  <si>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</si>
  <si>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</si>
  <si>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</si>
  <si>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</si>
  <si>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</si>
  <si>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</si>
  <si>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</si>
  <si>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008563</t>
  </si>
  <si>
    <t>메리츠증권2311-3</t>
  </si>
  <si>
    <t>KR103502GAC2</t>
  </si>
  <si>
    <t>국고채권01500-3012(20-9)</t>
  </si>
  <si>
    <t>KR6136301E56</t>
  </si>
  <si>
    <t>136301</t>
  </si>
  <si>
    <t>알씨아이파이낸셜서비스코리아124-1</t>
  </si>
  <si>
    <t>KR6051912E33</t>
  </si>
  <si>
    <t>051912</t>
  </si>
  <si>
    <t>LG화학57-2</t>
  </si>
  <si>
    <t>KR6033665G46</t>
  </si>
  <si>
    <t>033665</t>
  </si>
  <si>
    <t>우리금융캐피탈545-1(녹)</t>
  </si>
  <si>
    <t>KR310515GG67</t>
  </si>
  <si>
    <t>10515G</t>
  </si>
  <si>
    <t>중소기업은행(신)2606이2A-23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</si>
  <si>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</si>
  <si>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</si>
  <si>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</si>
  <si>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</si>
  <si>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</si>
  <si>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</si>
  <si>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</si>
  <si>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</si>
  <si>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</si>
  <si>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</si>
  <si>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</si>
  <si>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</si>
  <si>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</si>
  <si>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068171</t>
  </si>
  <si>
    <t>한국동서발전53-1</t>
  </si>
  <si>
    <t>KR353401GF99</t>
  </si>
  <si>
    <t>53401G</t>
  </si>
  <si>
    <t>대전도시공사2025-50</t>
  </si>
  <si>
    <t>KR350201GE80</t>
  </si>
  <si>
    <t>50201G</t>
  </si>
  <si>
    <t>서울교통공사2024-2(녹)</t>
  </si>
  <si>
    <t>KR103502G966</t>
  </si>
  <si>
    <t>국고채권01875-2906(19-4)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</si>
  <si>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</si>
  <si>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</si>
  <si>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</si>
  <si>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</si>
  <si>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</si>
  <si>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</si>
  <si>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</si>
  <si>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</si>
  <si>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KRZE08801F6Q</t>
  </si>
  <si>
    <t>E08801</t>
  </si>
  <si>
    <t>신한 자금부 20250624-365-1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</si>
  <si>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</si>
  <si>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</si>
  <si>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</si>
  <si>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</si>
  <si>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</si>
  <si>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</si>
  <si>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</si>
  <si>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</si>
  <si>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</si>
  <si>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</si>
  <si>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</si>
  <si>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</si>
  <si>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</si>
  <si>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KR6138042C74</t>
  </si>
  <si>
    <t>138042</t>
  </si>
  <si>
    <t>메리츠금융지주14-2</t>
  </si>
  <si>
    <t>KR6176943E49</t>
  </si>
  <si>
    <t>아이엠캐피탈114-3</t>
  </si>
  <si>
    <t>KR6169376E73</t>
  </si>
  <si>
    <t>169376</t>
  </si>
  <si>
    <t>메리츠캐피탈259-5</t>
  </si>
  <si>
    <t>KR6025083E22</t>
  </si>
  <si>
    <t>025083</t>
  </si>
  <si>
    <t>하나에프앤아이187-3</t>
  </si>
  <si>
    <t>KR6169379EA7</t>
  </si>
  <si>
    <t>169379</t>
  </si>
  <si>
    <t>메리츠캐피탈265-5</t>
  </si>
  <si>
    <t>KR6169372F19</t>
  </si>
  <si>
    <t>169372</t>
  </si>
  <si>
    <t>메리츠캐피탈270-2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</si>
  <si>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</si>
  <si>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</si>
  <si>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</si>
  <si>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</si>
  <si>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</si>
  <si>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</si>
  <si>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</si>
  <si>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</si>
  <si>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</si>
  <si>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</si>
  <si>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</si>
  <si>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</si>
  <si>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</si>
  <si>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</si>
  <si>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KR355701GG66</t>
  </si>
  <si>
    <t>55701G</t>
  </si>
  <si>
    <t>울산광역시도시공사21</t>
  </si>
  <si>
    <t>KR6097244EC6</t>
  </si>
  <si>
    <t>097244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</si>
  <si>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</si>
  <si>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</si>
  <si>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</si>
  <si>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</si>
  <si>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</si>
  <si>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</si>
  <si>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</si>
  <si>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KR355601GG59</t>
  </si>
  <si>
    <t>55601G</t>
  </si>
  <si>
    <t>충청남도개발공사2026-3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</si>
  <si>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</si>
  <si>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</si>
  <si>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</si>
  <si>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</si>
  <si>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</si>
  <si>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</si>
  <si>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</si>
  <si>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57501G</t>
  </si>
  <si>
    <t>해외인프라도시개발채권5-1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</si>
  <si>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</si>
  <si>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</si>
  <si>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</si>
  <si>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</si>
  <si>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</si>
  <si>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</si>
  <si>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</si>
  <si>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</si>
  <si>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</si>
  <si>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</si>
  <si>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</si>
  <si>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</si>
  <si>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066561</t>
  </si>
  <si>
    <t>한국중부발전78-1</t>
  </si>
  <si>
    <t>KR6019805G46</t>
  </si>
  <si>
    <t>019805</t>
  </si>
  <si>
    <t>하나캐피탈478-2</t>
  </si>
  <si>
    <t>KR6095923G50</t>
  </si>
  <si>
    <t>095923</t>
  </si>
  <si>
    <t>현대커머셜573-3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</si>
  <si>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</si>
  <si>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</si>
  <si>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</si>
  <si>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</si>
  <si>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</si>
  <si>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</si>
  <si>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KRZE08801FCX</t>
  </si>
  <si>
    <t>신한 자금부 20251230-182-1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</si>
  <si>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</si>
  <si>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</si>
  <si>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</si>
  <si>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</si>
  <si>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</si>
  <si>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</si>
  <si>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</si>
  <si>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</si>
  <si>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</si>
  <si>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</si>
  <si>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</si>
  <si>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한국도로공사고속도로건설채권986</t>
  </si>
  <si>
    <t>KR6079313EA5</t>
  </si>
  <si>
    <t>079313</t>
  </si>
  <si>
    <t>JB 우리캐피탈523-3(지)</t>
  </si>
  <si>
    <t>KR6174149G51</t>
  </si>
  <si>
    <t>174149</t>
  </si>
  <si>
    <t>우리카드285-2</t>
  </si>
  <si>
    <t>KR6063623E61</t>
  </si>
  <si>
    <t>063623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</si>
  <si>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</si>
  <si>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</si>
  <si>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</si>
  <si>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</si>
  <si>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</si>
  <si>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</si>
  <si>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KR6033665EB1</t>
  </si>
  <si>
    <t>우리금융캐피탈514-5</t>
  </si>
  <si>
    <t>KR6138101G37</t>
  </si>
  <si>
    <t>138101</t>
  </si>
  <si>
    <t>SK지오센트릭24-1</t>
  </si>
  <si>
    <t>KR6025081G30</t>
  </si>
  <si>
    <t>025081</t>
  </si>
  <si>
    <t>하나에프앤아이191-1</t>
  </si>
  <si>
    <t>KR6095921F53</t>
  </si>
  <si>
    <t>095921</t>
  </si>
  <si>
    <t>현대커머셜551-1</t>
  </si>
  <si>
    <t>KR6097244F67</t>
  </si>
  <si>
    <t>엔에이치농협캐피탈248-4</t>
  </si>
  <si>
    <t>KRZE08101F8V</t>
  </si>
  <si>
    <t>E08101</t>
  </si>
  <si>
    <t>하나 금융기관영업팀 20250828-365-1</t>
  </si>
  <si>
    <t>KR6016361E99</t>
  </si>
  <si>
    <t>016361</t>
  </si>
  <si>
    <t>삼성증권21-1</t>
  </si>
  <si>
    <t>KR6029881F76</t>
  </si>
  <si>
    <t>029881</t>
  </si>
  <si>
    <t>현대캐피탈2062-1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</si>
  <si>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</si>
  <si>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</si>
  <si>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</si>
  <si>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</si>
  <si>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</si>
  <si>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</si>
  <si>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</si>
  <si>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</si>
  <si>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KRZFE30495G5</t>
  </si>
  <si>
    <t>FE3049</t>
  </si>
  <si>
    <t>한국투자증권 20260515-122-137</t>
  </si>
  <si>
    <t>KR2001021G38</t>
  </si>
  <si>
    <t>001021</t>
  </si>
  <si>
    <t>서울특별시채권2026-2</t>
  </si>
  <si>
    <t>KR6019452FC7</t>
  </si>
  <si>
    <t>019452</t>
  </si>
  <si>
    <t>아이비케이캐피탈342-2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</si>
  <si>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</si>
  <si>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</si>
  <si>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</si>
  <si>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</si>
  <si>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</si>
  <si>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</si>
  <si>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</si>
  <si>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</si>
  <si>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</si>
  <si>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</si>
  <si>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</si>
  <si>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KR6023781F47</t>
  </si>
  <si>
    <t>023781</t>
  </si>
  <si>
    <t>신한캐피탈510-1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</si>
  <si>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</si>
  <si>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</si>
  <si>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</si>
  <si>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</si>
  <si>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</si>
  <si>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</si>
  <si>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</si>
  <si>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</si>
  <si>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</si>
  <si>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</si>
  <si>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</si>
  <si>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</si>
  <si>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</si>
  <si>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KRZE00601F9H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</si>
  <si>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</si>
  <si>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</si>
  <si>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</si>
  <si>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</si>
  <si>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</si>
  <si>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</si>
  <si>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</si>
  <si>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</si>
  <si>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</si>
  <si>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</si>
  <si>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</si>
  <si>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</si>
  <si>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</si>
  <si>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</si>
  <si>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</si>
  <si>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</si>
  <si>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</si>
  <si>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</si>
  <si>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</si>
  <si>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</si>
  <si>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</si>
  <si>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</si>
  <si>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</si>
  <si>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</si>
  <si>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01980A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</si>
  <si>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</si>
  <si>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</si>
  <si>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</si>
  <si>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</si>
  <si>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</si>
  <si>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</si>
  <si>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</si>
  <si>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</si>
  <si>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</si>
  <si>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</si>
  <si>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</si>
  <si>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</si>
  <si>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</si>
  <si>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</si>
  <si>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</si>
  <si>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</si>
  <si>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</si>
  <si>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</si>
  <si>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</si>
  <si>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</si>
  <si>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</si>
  <si>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</si>
  <si>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</si>
  <si>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</si>
  <si>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</si>
  <si>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</si>
  <si>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</si>
  <si>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</si>
  <si>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</si>
  <si>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</si>
  <si>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KRZS039494M8</t>
  </si>
  <si>
    <t>S03949</t>
  </si>
  <si>
    <t>키움증권 20260508-91-30(단)</t>
  </si>
  <si>
    <t>KRZF0149W4G2</t>
  </si>
  <si>
    <t>F0149W</t>
  </si>
  <si>
    <t>케이에이치엘제십팔차(CP)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</si>
  <si>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</si>
  <si>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</si>
  <si>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</si>
  <si>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</si>
  <si>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</si>
  <si>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</si>
  <si>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</si>
  <si>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</si>
  <si>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</si>
  <si>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</si>
  <si>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</si>
  <si>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KRZE00602G6K</t>
  </si>
  <si>
    <t>E00602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</si>
  <si>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</si>
  <si>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</si>
  <si>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</si>
  <si>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</si>
  <si>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</si>
  <si>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</si>
  <si>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</si>
  <si>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</si>
  <si>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</si>
  <si>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</si>
  <si>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</si>
  <si>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</si>
  <si>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000038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</si>
  <si>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</si>
  <si>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</si>
  <si>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</si>
  <si>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</si>
  <si>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</si>
  <si>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</si>
  <si>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</si>
  <si>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</si>
  <si>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</si>
  <si>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</si>
  <si>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</si>
  <si>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</si>
  <si>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</si>
  <si>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</si>
  <si>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</si>
  <si>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</si>
  <si>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</si>
  <si>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</si>
  <si>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</si>
  <si>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</si>
  <si>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</si>
  <si>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</si>
  <si>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56110G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</si>
  <si>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</si>
  <si>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</si>
  <si>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</si>
  <si>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</si>
  <si>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</si>
  <si>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</si>
  <si>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</si>
  <si>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</si>
  <si>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</si>
  <si>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</si>
  <si>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</si>
  <si>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</si>
  <si>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</si>
  <si>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</si>
  <si>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</si>
  <si>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</si>
  <si>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</si>
  <si>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</si>
  <si>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</si>
  <si>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</si>
  <si>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</si>
  <si>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</si>
  <si>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</si>
  <si>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</si>
  <si>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</si>
  <si>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</si>
  <si>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</si>
  <si>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</si>
  <si>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</si>
  <si>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</si>
  <si>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</si>
  <si>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</si>
  <si>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</si>
  <si>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</si>
  <si>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</si>
  <si>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</si>
  <si>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</si>
  <si>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</si>
  <si>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</si>
  <si>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</si>
  <si>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</si>
  <si>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</si>
  <si>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</si>
  <si>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</si>
  <si>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</si>
  <si>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</si>
  <si>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</si>
  <si>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</si>
  <si>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</si>
  <si>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</si>
  <si>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</si>
  <si>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</si>
  <si>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</si>
  <si>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</si>
  <si>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</si>
  <si>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</si>
  <si>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</si>
  <si>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KRZF023539G1</t>
  </si>
  <si>
    <t>F02353</t>
  </si>
  <si>
    <t>롯데쇼핑(CP)</t>
  </si>
  <si>
    <t>KRZF023538G1</t>
  </si>
  <si>
    <t>KRZF023537G1</t>
  </si>
  <si>
    <t>KRZF023536G1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</si>
  <si>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</si>
  <si>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</si>
  <si>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</si>
  <si>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</si>
  <si>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</si>
  <si>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</si>
  <si>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</si>
  <si>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</si>
  <si>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</si>
  <si>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</si>
  <si>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KRZF00594EF8</t>
  </si>
  <si>
    <t>F00594</t>
  </si>
  <si>
    <t>엔에이치투자증권(CP)</t>
  </si>
  <si>
    <t>KRZF00594DF8</t>
  </si>
  <si>
    <t>KRZF00594CF8</t>
  </si>
  <si>
    <t>KRZF00594BF8</t>
  </si>
  <si>
    <t>KR6003492F56</t>
  </si>
  <si>
    <t>003492</t>
  </si>
  <si>
    <t>대한항공111-2</t>
  </si>
  <si>
    <t>KR6214344F67</t>
  </si>
  <si>
    <t>214344</t>
  </si>
  <si>
    <t>한국투자캐피탈128-2</t>
  </si>
  <si>
    <t>KR6028671EA8</t>
  </si>
  <si>
    <t>028671</t>
  </si>
  <si>
    <t>팬오션22</t>
  </si>
  <si>
    <t>KR6031441E76</t>
  </si>
  <si>
    <t>031441</t>
  </si>
  <si>
    <t>신세계푸드5-1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</si>
  <si>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</si>
  <si>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</si>
  <si>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</si>
  <si>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</si>
  <si>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</si>
  <si>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</si>
  <si>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</si>
  <si>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</si>
  <si>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</si>
  <si>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</si>
  <si>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</si>
  <si>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</si>
  <si>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</si>
  <si>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</si>
  <si>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</si>
  <si>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KR6019455G31</t>
  </si>
  <si>
    <t>019455</t>
  </si>
  <si>
    <t>아이비케이캐피탈348-2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</si>
  <si>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</si>
  <si>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</si>
  <si>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</si>
  <si>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</si>
  <si>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</si>
  <si>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</si>
  <si>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</si>
  <si>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</si>
  <si>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</si>
  <si>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</si>
  <si>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</si>
  <si>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</si>
  <si>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</si>
  <si>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</si>
  <si>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</si>
  <si>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</si>
  <si>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</si>
  <si>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</si>
  <si>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</si>
  <si>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</si>
  <si>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</si>
  <si>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</si>
  <si>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</si>
  <si>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</si>
  <si>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</si>
  <si>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</si>
  <si>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</si>
  <si>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</si>
  <si>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</si>
  <si>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</si>
  <si>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</si>
  <si>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</si>
  <si>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</si>
  <si>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</si>
  <si>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</si>
  <si>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</si>
  <si>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</si>
  <si>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</si>
  <si>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</si>
  <si>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</si>
  <si>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</si>
  <si>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</si>
  <si>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</si>
  <si>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064311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</si>
  <si>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</si>
  <si>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</si>
  <si>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</si>
  <si>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</si>
  <si>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</si>
  <si>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</si>
  <si>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</si>
  <si>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</si>
  <si>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</si>
  <si>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</si>
  <si>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</si>
  <si>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</si>
  <si>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</si>
  <si>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</si>
  <si>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</si>
  <si>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</si>
  <si>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</si>
  <si>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</si>
  <si>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</si>
  <si>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</si>
  <si>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</si>
  <si>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</si>
  <si>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</si>
  <si>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KR6046299F27</t>
  </si>
  <si>
    <t>046299</t>
  </si>
  <si>
    <t>엠캐피탈378-5</t>
  </si>
  <si>
    <t>KR6066574692</t>
  </si>
  <si>
    <t>066574</t>
  </si>
  <si>
    <t>LG전자79-4</t>
  </si>
  <si>
    <t>KR6139481F28</t>
  </si>
  <si>
    <t>이마트28-1</t>
  </si>
  <si>
    <t>KR609523DF25</t>
  </si>
  <si>
    <t>09523D</t>
  </si>
  <si>
    <t>애큐온캐피탈242-8</t>
  </si>
  <si>
    <t>KRZF11752FFM</t>
  </si>
  <si>
    <t>F11752</t>
  </si>
  <si>
    <t>에스케이엔무브(CP)</t>
  </si>
  <si>
    <t>KRZF11752EFM</t>
  </si>
  <si>
    <t>KR6034231FA0</t>
  </si>
  <si>
    <t>034231</t>
  </si>
  <si>
    <t>파라다이스8-1</t>
  </si>
  <si>
    <t>KRZF103343G5</t>
  </si>
  <si>
    <t>F10334</t>
  </si>
  <si>
    <t>대신에프앤아이(CP)</t>
  </si>
  <si>
    <t>KRZF11752VF9</t>
  </si>
  <si>
    <t>KRZF11752TF9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</si>
  <si>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</si>
  <si>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</si>
  <si>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</si>
  <si>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</si>
  <si>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</si>
  <si>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</si>
  <si>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</si>
  <si>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</si>
  <si>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</si>
  <si>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</si>
  <si>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</si>
  <si>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</si>
  <si>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</si>
  <si>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</si>
  <si>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</si>
  <si>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</si>
  <si>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KR6051501F39</t>
  </si>
  <si>
    <t>051501</t>
  </si>
  <si>
    <t>씨제이프레시웨이15-1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</si>
  <si>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</si>
  <si>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</si>
  <si>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</si>
  <si>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</si>
  <si>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</si>
  <si>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</si>
  <si>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</si>
  <si>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</si>
  <si>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</si>
  <si>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</si>
  <si>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</si>
  <si>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</si>
  <si>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</si>
  <si>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</si>
  <si>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</si>
  <si>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</si>
  <si>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</si>
  <si>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</si>
  <si>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</si>
  <si>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</si>
  <si>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</si>
  <si>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</si>
  <si>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</si>
  <si>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</si>
  <si>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</si>
  <si>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</si>
  <si>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</si>
  <si>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</si>
  <si>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</si>
  <si>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</si>
  <si>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</si>
  <si>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</si>
  <si>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</si>
  <si>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000036</t>
  </si>
  <si>
    <t>우리은행28-10-이표05-갑-23</t>
  </si>
  <si>
    <t>KR6004947EA0</t>
  </si>
  <si>
    <t>004947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</si>
  <si>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</si>
  <si>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</si>
  <si>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</si>
  <si>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</si>
  <si>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</si>
  <si>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</si>
  <si>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</si>
  <si>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</si>
  <si>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</si>
  <si>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</si>
  <si>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</si>
  <si>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</si>
  <si>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</si>
  <si>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</si>
  <si>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</si>
  <si>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</si>
  <si>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</si>
  <si>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</si>
  <si>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</si>
  <si>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</si>
  <si>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</si>
  <si>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</si>
  <si>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</si>
  <si>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</si>
  <si>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</si>
  <si>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</si>
  <si>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</si>
  <si>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</si>
  <si>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</si>
  <si>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</si>
  <si>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</si>
  <si>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</si>
  <si>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</si>
  <si>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</si>
  <si>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</si>
  <si>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</si>
  <si>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</si>
  <si>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</si>
  <si>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</si>
  <si>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</si>
  <si>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</si>
  <si>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</si>
  <si>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</si>
  <si>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</si>
  <si>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</si>
  <si>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</si>
  <si>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</si>
  <si>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</si>
  <si>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</si>
  <si>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</si>
  <si>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</si>
  <si>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</si>
  <si>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</si>
  <si>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</si>
  <si>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</si>
  <si>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</si>
  <si>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</si>
  <si>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</si>
  <si>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</si>
  <si>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</si>
  <si>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</si>
  <si>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</si>
  <si>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</si>
  <si>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</si>
  <si>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</si>
  <si>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</si>
  <si>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</si>
  <si>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</si>
  <si>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</si>
  <si>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</si>
  <si>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</si>
  <si>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</si>
  <si>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</si>
  <si>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</si>
  <si>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</si>
  <si>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</si>
  <si>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</si>
  <si>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</si>
  <si>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</si>
  <si>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</si>
  <si>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</si>
  <si>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</si>
  <si>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</si>
  <si>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</si>
  <si>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</si>
  <si>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</si>
  <si>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</si>
  <si>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</si>
  <si>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</si>
  <si>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</si>
  <si>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</si>
  <si>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</si>
  <si>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</si>
  <si>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</si>
  <si>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</si>
  <si>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</si>
  <si>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</si>
  <si>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</si>
  <si>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</si>
  <si>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</si>
  <si>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</si>
  <si>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</si>
  <si>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</si>
  <si>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</si>
  <si>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</si>
  <si>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</si>
  <si>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</si>
  <si>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</si>
  <si>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</si>
  <si>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</si>
  <si>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</si>
  <si>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</si>
  <si>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</si>
  <si>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</si>
  <si>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</si>
  <si>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KR350901G713</t>
  </si>
  <si>
    <t>한국수자원공사221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</si>
  <si>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</si>
  <si>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</si>
  <si>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</si>
  <si>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</si>
  <si>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</si>
  <si>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</si>
  <si>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</si>
  <si>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</si>
  <si>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</si>
  <si>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</si>
  <si>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KR350106GB71</t>
  </si>
  <si>
    <t>한국전력1053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</si>
  <si>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</si>
  <si>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</si>
  <si>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</si>
  <si>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</si>
  <si>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</si>
  <si>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</si>
  <si>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</si>
  <si>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</si>
  <si>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</si>
  <si>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</si>
  <si>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</si>
  <si>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</si>
  <si>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</si>
  <si>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</si>
  <si>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</si>
  <si>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</si>
  <si>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</si>
  <si>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</si>
  <si>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</si>
  <si>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</si>
  <si>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</si>
  <si>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</si>
  <si>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</si>
  <si>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</si>
  <si>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</si>
  <si>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</si>
  <si>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</si>
  <si>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</si>
  <si>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</si>
  <si>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</si>
  <si>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</si>
  <si>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</si>
  <si>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</si>
  <si>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</si>
  <si>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</si>
  <si>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</si>
  <si>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</si>
  <si>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</si>
  <si>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</si>
  <si>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</si>
  <si>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</si>
  <si>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</si>
  <si>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</si>
  <si>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</si>
  <si>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</si>
  <si>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</si>
  <si>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</si>
  <si>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KRZS07802577</t>
  </si>
  <si>
    <t>S07802</t>
  </si>
  <si>
    <t>엘에스증권 20260519-91-13(단)</t>
  </si>
  <si>
    <t>KRZS00680J7H</t>
  </si>
  <si>
    <t>S00680</t>
  </si>
  <si>
    <t>미래에셋증권 20260609-21-79(단)</t>
  </si>
  <si>
    <t>KRZS43647151</t>
  </si>
  <si>
    <t>S43647</t>
  </si>
  <si>
    <t>우리투자증권 20260612-90-18(단)</t>
  </si>
  <si>
    <t>KRZS45714298</t>
  </si>
  <si>
    <t>S45714</t>
  </si>
  <si>
    <t>비케이프로제구차 20260608-32-1(단)</t>
  </si>
  <si>
    <t>KRZS47670013</t>
  </si>
  <si>
    <t>S47670</t>
  </si>
  <si>
    <t>모멘텀제일차 20260520-92-1(단)</t>
  </si>
  <si>
    <t>KRZS0078P033</t>
  </si>
  <si>
    <t>S0078P</t>
  </si>
  <si>
    <t>트루프렌드상생제일차 20260610-30-3(단)</t>
  </si>
  <si>
    <t>KRZS27908054</t>
  </si>
  <si>
    <t>S27908</t>
  </si>
  <si>
    <t>키스아이비제십육차 20260527-33-1(단)</t>
  </si>
  <si>
    <t>KRZS0004L003</t>
  </si>
  <si>
    <t>S0004L</t>
  </si>
  <si>
    <t>비엔케이썸제이십삼차 20260519-63-1(단)</t>
  </si>
  <si>
    <t>KR6025083DB9</t>
  </si>
  <si>
    <t>하나에프앤아이186-3</t>
  </si>
  <si>
    <t>KRZS10334748</t>
  </si>
  <si>
    <t>S10334</t>
  </si>
  <si>
    <t>대신에프앤아이 20260407-91-4(단)</t>
  </si>
  <si>
    <t>KR6033665DA5</t>
  </si>
  <si>
    <t>우리금융캐피탈483-5</t>
  </si>
  <si>
    <t>KR6019453DA4</t>
  </si>
  <si>
    <t>019453</t>
  </si>
  <si>
    <t>아이비케이캐피탈291-3</t>
  </si>
  <si>
    <t>KR6176943E15</t>
  </si>
  <si>
    <t>아이엠캐피탈111-3</t>
  </si>
  <si>
    <t>KR607931CDC7</t>
  </si>
  <si>
    <t>07931C</t>
  </si>
  <si>
    <t>JB 우리캐피탈498-4</t>
  </si>
  <si>
    <t>KR6139482B88</t>
  </si>
  <si>
    <t>139482</t>
  </si>
  <si>
    <t>이마트22-2</t>
  </si>
  <si>
    <t>KR6034222B94</t>
  </si>
  <si>
    <t>034222</t>
  </si>
  <si>
    <t>엘지디스플레이43-2(녹)</t>
  </si>
  <si>
    <t>KRZS42059126</t>
  </si>
  <si>
    <t>S42059</t>
  </si>
  <si>
    <t>키움에프앤아이 20260424-91-9(단)</t>
  </si>
  <si>
    <t>KRZS0017506V</t>
  </si>
  <si>
    <t>S00175</t>
  </si>
  <si>
    <t>한양증권 20260422-90-8(단)</t>
  </si>
  <si>
    <t>KRZS0011H028</t>
  </si>
  <si>
    <t>S0011H</t>
  </si>
  <si>
    <t>비케이씨에스제이십이차 20260420-91-2(단)</t>
  </si>
  <si>
    <t>KRZS49662018</t>
  </si>
  <si>
    <t>S49662</t>
  </si>
  <si>
    <t>옐로우퍼피 20260507-92-1(단)</t>
  </si>
  <si>
    <t>KR6082974D91</t>
  </si>
  <si>
    <t>082974</t>
  </si>
  <si>
    <t>미래에셋캐피탈92-3</t>
  </si>
  <si>
    <t>KR6089861D92</t>
  </si>
  <si>
    <t>089861</t>
  </si>
  <si>
    <t>롯데렌탈59-2</t>
  </si>
  <si>
    <t>KR356002GD89</t>
  </si>
  <si>
    <t>56002G</t>
  </si>
  <si>
    <t>한국장학재단23-17(사)</t>
  </si>
  <si>
    <t>KR6029697E48</t>
  </si>
  <si>
    <t>029697</t>
  </si>
  <si>
    <t>롯데캐피탈459-7</t>
  </si>
  <si>
    <t>KR6104232DA8</t>
  </si>
  <si>
    <t>104232</t>
  </si>
  <si>
    <t>엘에스전선29-2</t>
  </si>
  <si>
    <t>KR6046293F15</t>
  </si>
  <si>
    <t>엠지캐피탈375-3</t>
  </si>
  <si>
    <t>KR6095239F35</t>
  </si>
  <si>
    <t>095239</t>
  </si>
  <si>
    <t>애큐온캐피탈245-1</t>
  </si>
  <si>
    <t>KR6023765F39</t>
  </si>
  <si>
    <t>023765</t>
  </si>
  <si>
    <t>한국캐피탈544-1</t>
  </si>
  <si>
    <t>KR6021963E42</t>
  </si>
  <si>
    <t>케이비캐피탈533-3</t>
  </si>
  <si>
    <t>KR6095231F17</t>
  </si>
  <si>
    <t>095231</t>
  </si>
  <si>
    <t>애큐온캐피탈239-1</t>
  </si>
  <si>
    <t>KR6176946D88</t>
  </si>
  <si>
    <t>176946</t>
  </si>
  <si>
    <t>아이엠캐피탈104-2</t>
  </si>
  <si>
    <t>KR6012451E65</t>
  </si>
  <si>
    <t>012451</t>
  </si>
  <si>
    <t>한화에어로스페이스128-1(녹)</t>
  </si>
  <si>
    <t>KR601980FE92</t>
  </si>
  <si>
    <t>01980F</t>
  </si>
  <si>
    <t>하나캐피탈438-3</t>
  </si>
  <si>
    <t>KR6097248E98</t>
  </si>
  <si>
    <t>097248</t>
  </si>
  <si>
    <t>엔에이치농협캐피탈236-1</t>
  </si>
  <si>
    <t>KR6037711E68</t>
  </si>
  <si>
    <t>037711</t>
  </si>
  <si>
    <t>광주신세계2-1</t>
  </si>
  <si>
    <t>KR381103GE19</t>
  </si>
  <si>
    <t>농금채(중앙회)2024-1이3Y-C</t>
  </si>
  <si>
    <t>KR6097247E16</t>
  </si>
  <si>
    <t>엔에이치농협캐피탈227-7</t>
  </si>
  <si>
    <t>KR6019804E23</t>
  </si>
  <si>
    <t>019804</t>
  </si>
  <si>
    <t>하나캐피탈420-4</t>
  </si>
  <si>
    <t>KR6169379E54</t>
  </si>
  <si>
    <t>메리츠캐피탈256-4</t>
  </si>
  <si>
    <t>KR6019802E25</t>
  </si>
  <si>
    <t>019802</t>
  </si>
  <si>
    <t>하나캐피탈420-2</t>
  </si>
  <si>
    <t>KR6029271EA6</t>
  </si>
  <si>
    <t>029271</t>
  </si>
  <si>
    <t>SK실트론51-1</t>
  </si>
  <si>
    <t>KR6145764E81</t>
  </si>
  <si>
    <t>145764</t>
  </si>
  <si>
    <t>BNK캐피탈358-2</t>
  </si>
  <si>
    <t>KR6145763E82</t>
  </si>
  <si>
    <t>145763</t>
  </si>
  <si>
    <t>BNK캐피탈358-1</t>
  </si>
  <si>
    <t>KR6000722D98</t>
  </si>
  <si>
    <t>000722</t>
  </si>
  <si>
    <t>현대건설307-2</t>
  </si>
  <si>
    <t>KR6108672B91</t>
  </si>
  <si>
    <t>108672</t>
  </si>
  <si>
    <t>LX하우시스13-2</t>
  </si>
  <si>
    <t>KR6065901E85</t>
  </si>
  <si>
    <t>065901</t>
  </si>
  <si>
    <t>현대카드905-1</t>
  </si>
  <si>
    <t>KR606590DE20</t>
  </si>
  <si>
    <t>06590D</t>
  </si>
  <si>
    <t>현대카드902-1</t>
  </si>
  <si>
    <t>KR6008271E87</t>
  </si>
  <si>
    <t>008271</t>
  </si>
  <si>
    <t>산은캐피탈744-1</t>
  </si>
  <si>
    <t>KR6019807E87</t>
  </si>
  <si>
    <t>019807</t>
  </si>
  <si>
    <t>하나캐피탈434-2</t>
  </si>
  <si>
    <t>KR6008564EB7</t>
  </si>
  <si>
    <t>008564</t>
  </si>
  <si>
    <t>메리츠증권2411-3</t>
  </si>
  <si>
    <t>KR6033662E33</t>
  </si>
  <si>
    <t>033662</t>
  </si>
  <si>
    <t>우리금융캐피탈499-2</t>
  </si>
  <si>
    <t>KR6136301F89</t>
  </si>
  <si>
    <t>알씨아이파이낸셜134</t>
  </si>
  <si>
    <t>KR6065901FB8</t>
  </si>
  <si>
    <t>현대카드945-1</t>
  </si>
  <si>
    <t>KR6019458E97</t>
  </si>
  <si>
    <t>019458</t>
  </si>
  <si>
    <t>아이비케이캐피탈313-3</t>
  </si>
  <si>
    <t>KR617414AE99</t>
  </si>
  <si>
    <t>17414A</t>
  </si>
  <si>
    <t>우리카드251-4</t>
  </si>
  <si>
    <t>KR6174148E96</t>
  </si>
  <si>
    <t>174148</t>
  </si>
  <si>
    <t>우리카드251-2</t>
  </si>
  <si>
    <t>KR6097242FB9</t>
  </si>
  <si>
    <t>097242</t>
  </si>
  <si>
    <t>엔에이치농협캐피탈254-2</t>
  </si>
  <si>
    <t>KR6039091E98</t>
  </si>
  <si>
    <t>039091</t>
  </si>
  <si>
    <t>현대트랜시스47-1</t>
  </si>
  <si>
    <t>KR6079311FC2</t>
  </si>
  <si>
    <t>079311</t>
  </si>
  <si>
    <t>JB 우리캐피탈551-1</t>
  </si>
  <si>
    <t>KR6167161F83</t>
  </si>
  <si>
    <t>167161</t>
  </si>
  <si>
    <t>벤츠파이낸셜46-1</t>
  </si>
  <si>
    <t>KR6029692987</t>
  </si>
  <si>
    <t>롯데캐피탈375-2</t>
  </si>
  <si>
    <t>KRZS00238802</t>
  </si>
  <si>
    <t>S00238</t>
  </si>
  <si>
    <t>케이씨씨 20260612-19-2(단)</t>
  </si>
  <si>
    <t>KR6079314698</t>
  </si>
  <si>
    <t>JB 우리캐피탈326</t>
  </si>
  <si>
    <t>KRZE00601F7A</t>
  </si>
  <si>
    <t>KR6089862B93</t>
  </si>
  <si>
    <t>롯데렌탈55-2(녹)</t>
  </si>
  <si>
    <t>KRZE08101F7H</t>
  </si>
  <si>
    <t>하나은행(CD)</t>
  </si>
  <si>
    <t>KRZF31010WG4</t>
  </si>
  <si>
    <t>F31010</t>
  </si>
  <si>
    <t>키움캐피탈(CP)</t>
  </si>
  <si>
    <t>KRZF0149W7G2</t>
  </si>
  <si>
    <t>KRZF0149W6G2</t>
  </si>
  <si>
    <t>KRZF0149W8G2</t>
  </si>
  <si>
    <t>KRZE00301G18</t>
  </si>
  <si>
    <t>E00301</t>
  </si>
  <si>
    <t>중소기업은행(CD)</t>
  </si>
  <si>
    <t>KR6095238F28</t>
  </si>
  <si>
    <t>095238</t>
  </si>
  <si>
    <t>애큐온캐피탈242-3</t>
  </si>
  <si>
    <t>KR6029696E49</t>
  </si>
  <si>
    <t>029696</t>
  </si>
  <si>
    <t>롯데캐피탈459-6</t>
  </si>
  <si>
    <t>KR6214342E86</t>
  </si>
  <si>
    <t>한국투자캐피탈113-2</t>
  </si>
  <si>
    <t>KR606590DB72</t>
  </si>
  <si>
    <t>현대카드828-2</t>
  </si>
  <si>
    <t>KRZS45714280</t>
  </si>
  <si>
    <t>비케이프로제구차 20260414-90-3(단)</t>
  </si>
  <si>
    <t>KR6006802E14</t>
  </si>
  <si>
    <t>미래에셋증권69-2</t>
  </si>
  <si>
    <t>KR6001631E79</t>
  </si>
  <si>
    <t>001631</t>
  </si>
  <si>
    <t>종근당홀딩스2</t>
  </si>
  <si>
    <t>KR6049772D86</t>
  </si>
  <si>
    <t>049772</t>
  </si>
  <si>
    <t>동원F&amp;B12-2</t>
  </si>
  <si>
    <t>KR6025081F31</t>
  </si>
  <si>
    <t>하나에프앤아이189-1</t>
  </si>
  <si>
    <t>KRZF02353CG1</t>
  </si>
  <si>
    <t>KRZF02353BG1</t>
  </si>
  <si>
    <t>KRZF02353AG1</t>
  </si>
  <si>
    <t>KRZF198036G1</t>
  </si>
  <si>
    <t>F19803</t>
  </si>
  <si>
    <t>롯데오토리스(CP)</t>
  </si>
  <si>
    <t>KRZF198035G1</t>
  </si>
  <si>
    <t>KRZF01117RF7</t>
  </si>
  <si>
    <t>F01117</t>
  </si>
  <si>
    <t>롯데케미칼(CP)</t>
  </si>
  <si>
    <t>KRZF01117SF7</t>
  </si>
  <si>
    <t>KRZF01117QF7</t>
  </si>
  <si>
    <t>KRZF01117PF7</t>
  </si>
  <si>
    <t>KRZF047817GH</t>
  </si>
  <si>
    <t>F04781</t>
  </si>
  <si>
    <t>한국항공우주산업(CP)</t>
  </si>
  <si>
    <t>KRZF047816GH</t>
  </si>
  <si>
    <t>KRZF047812GH</t>
  </si>
  <si>
    <t>KRZF047813GH</t>
  </si>
  <si>
    <t>KRZF047815GH</t>
  </si>
  <si>
    <t>KRZF047814GH</t>
  </si>
  <si>
    <t>KRZF023765G6</t>
  </si>
  <si>
    <t>F02376</t>
  </si>
  <si>
    <t>한국캐피탈(CP)</t>
  </si>
  <si>
    <t>KRZF023766G6</t>
  </si>
  <si>
    <t>KRZF023764G6</t>
  </si>
  <si>
    <t>KRZF095236G2</t>
  </si>
  <si>
    <t>F09523</t>
  </si>
  <si>
    <t>애큐온캐피탈(CP)</t>
  </si>
  <si>
    <t>10년국채 F 202609</t>
  </si>
  <si>
    <t>3년국채 F 202609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</si>
  <si>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</si>
  <si>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</si>
  <si>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</si>
  <si>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</si>
  <si>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</si>
  <si>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</si>
  <si>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</si>
  <si>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</si>
  <si>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</si>
  <si>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</si>
  <si>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</si>
  <si>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</si>
  <si>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</si>
  <si>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</si>
  <si>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</si>
  <si>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</si>
  <si>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</si>
  <si>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</si>
  <si>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</si>
  <si>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</si>
  <si>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</si>
  <si>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</si>
  <si>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</si>
  <si>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KR6004945665</t>
  </si>
  <si>
    <t>004945</t>
  </si>
  <si>
    <t>하나은행 조건부자본증권(상)39-06이10갑-2</t>
  </si>
  <si>
    <t>KR6176942G30</t>
  </si>
  <si>
    <t>아이엠캐피탈147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</si>
  <si>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</si>
  <si>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</si>
  <si>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</si>
  <si>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</si>
  <si>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</si>
  <si>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</si>
  <si>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</si>
  <si>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</si>
  <si>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</si>
  <si>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</si>
  <si>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</si>
  <si>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</si>
  <si>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</si>
  <si>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KRZE08401G4G</t>
  </si>
  <si>
    <t>E08401</t>
  </si>
  <si>
    <t>우리 여의도중앙기업영업지원팀 20260416-9</t>
  </si>
  <si>
    <t>KR6079315E86</t>
  </si>
  <si>
    <t>079315</t>
  </si>
  <si>
    <t>JB 우리캐피탈517-5</t>
  </si>
  <si>
    <t>KR354701GE87</t>
  </si>
  <si>
    <t>부산교통공사2024-09(녹)</t>
  </si>
  <si>
    <t>KR6176941EB3</t>
  </si>
  <si>
    <t>176941</t>
  </si>
  <si>
    <t>아이엠캐피탈123</t>
  </si>
  <si>
    <t>KRZE03901F88</t>
  </si>
  <si>
    <t>E03901</t>
  </si>
  <si>
    <t>경남 서울영업부 20250808-364-1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</si>
  <si>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</si>
  <si>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</si>
  <si>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</si>
  <si>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</si>
  <si>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</si>
  <si>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</si>
  <si>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</si>
  <si>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</si>
  <si>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</si>
  <si>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</si>
  <si>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</si>
  <si>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</si>
  <si>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</si>
  <si>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</si>
  <si>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</si>
  <si>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</si>
  <si>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</si>
  <si>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</si>
  <si>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</si>
  <si>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</si>
  <si>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</si>
  <si>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</si>
  <si>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</si>
  <si>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</si>
  <si>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</si>
  <si>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</si>
  <si>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</si>
  <si>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</si>
  <si>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</si>
  <si>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</si>
  <si>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</si>
  <si>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</si>
  <si>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</si>
  <si>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</si>
  <si>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</si>
  <si>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</si>
  <si>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</si>
  <si>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</si>
  <si>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</si>
  <si>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</si>
  <si>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</si>
  <si>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</si>
  <si>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</si>
  <si>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</si>
  <si>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</si>
  <si>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</si>
  <si>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</si>
  <si>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</si>
  <si>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</si>
  <si>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</si>
  <si>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</si>
  <si>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</si>
  <si>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</si>
  <si>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</si>
  <si>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</si>
  <si>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</si>
  <si>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</si>
  <si>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</si>
  <si>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</si>
  <si>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</si>
  <si>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</si>
  <si>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</si>
  <si>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KR6064983F13</t>
  </si>
  <si>
    <t>064983</t>
  </si>
  <si>
    <t>한국남동발전63-3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</si>
  <si>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</si>
  <si>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</si>
  <si>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</si>
  <si>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</si>
  <si>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</si>
  <si>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</si>
  <si>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</si>
  <si>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</si>
  <si>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</si>
  <si>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</si>
  <si>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</si>
  <si>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</si>
  <si>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</si>
  <si>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</si>
  <si>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</si>
  <si>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</si>
  <si>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</si>
  <si>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KR6029784F90</t>
  </si>
  <si>
    <t>029784</t>
  </si>
  <si>
    <t>삼성카드2815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</si>
  <si>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</si>
  <si>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</si>
  <si>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</si>
  <si>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</si>
  <si>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</si>
  <si>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</si>
  <si>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</si>
  <si>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</si>
  <si>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</si>
  <si>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</si>
  <si>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</si>
  <si>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</si>
  <si>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</si>
  <si>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</si>
  <si>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</si>
  <si>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</si>
  <si>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</si>
  <si>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</si>
  <si>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</si>
  <si>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</si>
  <si>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</si>
  <si>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</si>
  <si>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</si>
  <si>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</si>
  <si>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</si>
  <si>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</si>
  <si>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</si>
  <si>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</si>
  <si>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</si>
  <si>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</si>
  <si>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</si>
  <si>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</si>
  <si>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</si>
  <si>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</si>
  <si>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</si>
  <si>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</si>
  <si>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</si>
  <si>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</si>
  <si>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</si>
  <si>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</si>
  <si>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</si>
  <si>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</si>
  <si>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</si>
  <si>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</si>
  <si>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</si>
  <si>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</si>
  <si>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국고채권03500-2906(26-5)</t>
  </si>
  <si>
    <t>KR6037641F47</t>
  </si>
  <si>
    <t>037641</t>
  </si>
  <si>
    <t>지에스엔텍14-1</t>
  </si>
  <si>
    <t>KR6176944E55</t>
  </si>
  <si>
    <t>아이엠캐피탈115-4</t>
  </si>
  <si>
    <t>KRZF10334AF7</t>
  </si>
  <si>
    <t>대신에프앤아이 20250711-364-10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</si>
  <si>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</si>
  <si>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</si>
  <si>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</si>
  <si>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</si>
  <si>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</si>
  <si>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</si>
  <si>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</si>
  <si>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</si>
  <si>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</si>
  <si>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</si>
  <si>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</si>
  <si>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</si>
  <si>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</si>
  <si>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</si>
  <si>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</si>
  <si>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</si>
  <si>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</si>
  <si>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</si>
  <si>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</si>
  <si>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</si>
  <si>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</si>
  <si>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</si>
  <si>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</si>
  <si>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</si>
  <si>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</si>
  <si>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</si>
  <si>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KRZFE05947F9</t>
  </si>
  <si>
    <t>FE0594</t>
  </si>
  <si>
    <t>KRZFE05946F9</t>
  </si>
  <si>
    <t>KRZFE05942FM</t>
  </si>
  <si>
    <t>KRZFE05941FM</t>
  </si>
  <si>
    <t>KRZFA03451F9</t>
  </si>
  <si>
    <t>FA0345</t>
  </si>
  <si>
    <t>케이비증권(CP)</t>
  </si>
  <si>
    <t>KRZFA03452F9</t>
  </si>
  <si>
    <t>KRZF005949FA</t>
  </si>
  <si>
    <t>KRZF00594AFA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</si>
  <si>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</si>
  <si>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</si>
  <si>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</si>
  <si>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</si>
  <si>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</si>
  <si>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</si>
  <si>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</si>
  <si>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</si>
  <si>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</si>
  <si>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</si>
  <si>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</si>
  <si>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</si>
  <si>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</si>
  <si>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</si>
  <si>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</si>
  <si>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</si>
  <si>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</si>
  <si>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</si>
  <si>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</si>
  <si>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</si>
  <si>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</si>
  <si>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</si>
  <si>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</si>
  <si>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</si>
  <si>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</si>
  <si>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</si>
  <si>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</si>
  <si>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</si>
  <si>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</si>
  <si>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</si>
  <si>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</si>
  <si>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</si>
  <si>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</si>
  <si>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</si>
  <si>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</si>
  <si>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</si>
  <si>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</si>
  <si>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</si>
  <si>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</si>
  <si>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</si>
  <si>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</si>
  <si>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</si>
  <si>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</si>
  <si>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</si>
  <si>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KR310102GD93</t>
  </si>
  <si>
    <t>10102G</t>
  </si>
  <si>
    <t>통안04000-2609-03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</si>
  <si>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</si>
  <si>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</si>
  <si>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</si>
  <si>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</si>
  <si>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</si>
  <si>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</si>
  <si>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</si>
  <si>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</si>
  <si>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</si>
  <si>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</si>
  <si>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KR310101GE77</t>
  </si>
  <si>
    <t>통화안정증권 03200-2607-0200</t>
  </si>
  <si>
    <t>KR6003452D64</t>
  </si>
  <si>
    <t>KB증권42-2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</si>
  <si>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</si>
  <si>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</si>
  <si>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</si>
  <si>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</si>
  <si>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</si>
  <si>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</si>
  <si>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</si>
  <si>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</si>
  <si>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KR609724BD75</t>
  </si>
  <si>
    <t>09724B</t>
  </si>
  <si>
    <t>엔에이치농협캐피탈212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</si>
  <si>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</si>
  <si>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</si>
  <si>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</si>
  <si>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</si>
  <si>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</si>
  <si>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</si>
  <si>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</si>
  <si>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</si>
  <si>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</si>
  <si>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</si>
  <si>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</si>
  <si>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</si>
  <si>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KR6095922E79</t>
  </si>
  <si>
    <t>095922</t>
  </si>
  <si>
    <t>현대커머셜524-1</t>
  </si>
  <si>
    <t>KR6008272E52</t>
  </si>
  <si>
    <t>008272</t>
  </si>
  <si>
    <t>산은캐피탈734-2</t>
  </si>
  <si>
    <t>KR6000722B66</t>
  </si>
  <si>
    <t>현대건설305-2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</si>
  <si>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</si>
  <si>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</si>
  <si>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</si>
  <si>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</si>
  <si>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</si>
  <si>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</si>
  <si>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</si>
  <si>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KR6079319E58</t>
  </si>
  <si>
    <t>079319</t>
  </si>
  <si>
    <t>JB 우리캐피탈511-5</t>
  </si>
  <si>
    <t>KR602196BF10</t>
  </si>
  <si>
    <t>02196B</t>
  </si>
  <si>
    <t>케이비캐피탈552-5</t>
  </si>
  <si>
    <t>KR601945CE81</t>
  </si>
  <si>
    <t>01945C</t>
  </si>
  <si>
    <t>아이비케이캐피탈311-5</t>
  </si>
  <si>
    <t>KR6033663E32</t>
  </si>
  <si>
    <t>033663</t>
  </si>
  <si>
    <t>우리금융캐피탈499-3</t>
  </si>
  <si>
    <t>KR6030621EB7</t>
  </si>
  <si>
    <t>030621</t>
  </si>
  <si>
    <t>롯데카드548-1</t>
  </si>
  <si>
    <t>KR6007071EB4</t>
  </si>
  <si>
    <t>007071</t>
  </si>
  <si>
    <t>지에스리테일36-1</t>
  </si>
  <si>
    <t>KR6047051E99</t>
  </si>
  <si>
    <t>047051</t>
  </si>
  <si>
    <t>포스코인터33-1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</si>
  <si>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</si>
  <si>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</si>
  <si>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</si>
  <si>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</si>
  <si>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</si>
  <si>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</si>
  <si>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</si>
  <si>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</si>
  <si>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</si>
  <si>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</si>
  <si>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</si>
  <si>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</si>
  <si>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</si>
  <si>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</si>
  <si>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</si>
  <si>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</si>
  <si>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</si>
  <si>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</si>
  <si>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</si>
  <si>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</si>
  <si>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KR6097244B95</t>
  </si>
  <si>
    <t>엔에이치농협캐피탈169-4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</si>
  <si>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</si>
  <si>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</si>
  <si>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</si>
  <si>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</si>
  <si>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</si>
  <si>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</si>
  <si>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</si>
  <si>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</si>
  <si>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</si>
  <si>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</si>
  <si>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</si>
  <si>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</si>
  <si>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</si>
  <si>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</si>
  <si>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KR353601DD76</t>
  </si>
  <si>
    <t>53601D</t>
  </si>
  <si>
    <t>경기주택도시공사보상23-07가</t>
  </si>
  <si>
    <t>KRZE03901F87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</si>
  <si>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</si>
  <si>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</si>
  <si>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</si>
  <si>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</si>
  <si>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</si>
  <si>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</si>
  <si>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</si>
  <si>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</si>
  <si>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</si>
  <si>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</si>
  <si>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</si>
  <si>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</si>
  <si>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</si>
  <si>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</si>
  <si>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</si>
  <si>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</si>
  <si>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</si>
  <si>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</si>
  <si>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</si>
  <si>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</si>
  <si>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</si>
  <si>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</si>
  <si>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</si>
  <si>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</si>
  <si>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</si>
  <si>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</si>
  <si>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</si>
  <si>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</si>
  <si>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</si>
  <si>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KR381102G695</t>
  </si>
  <si>
    <t>81102G</t>
  </si>
  <si>
    <t>농금채(중앙회)2016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</si>
  <si>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</si>
  <si>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</si>
  <si>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</si>
  <si>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</si>
  <si>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</si>
  <si>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</si>
  <si>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</si>
  <si>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</si>
  <si>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</si>
  <si>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</si>
  <si>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</si>
  <si>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</si>
  <si>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</si>
  <si>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</si>
  <si>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</si>
  <si>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</si>
  <si>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</si>
  <si>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</si>
  <si>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</si>
  <si>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</si>
  <si>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</si>
  <si>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</si>
  <si>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</si>
  <si>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</si>
  <si>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</si>
  <si>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</si>
  <si>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</si>
  <si>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</si>
  <si>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</si>
  <si>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</si>
  <si>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</si>
  <si>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</si>
  <si>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</si>
  <si>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</si>
  <si>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</si>
  <si>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</si>
  <si>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</si>
  <si>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</si>
  <si>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</si>
  <si>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</si>
  <si>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</si>
  <si>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</si>
  <si>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</si>
  <si>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</si>
  <si>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</si>
  <si>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</si>
  <si>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</si>
  <si>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</si>
  <si>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</si>
  <si>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</si>
  <si>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</si>
  <si>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</si>
  <si>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</si>
  <si>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</si>
  <si>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</si>
  <si>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</si>
  <si>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</si>
  <si>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</si>
  <si>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</si>
  <si>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</si>
  <si>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</si>
  <si>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</si>
  <si>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</si>
  <si>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</si>
  <si>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</si>
  <si>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</si>
  <si>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</si>
  <si>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</si>
  <si>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</si>
  <si>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KRZE03201F94</t>
  </si>
  <si>
    <t>E03201</t>
  </si>
  <si>
    <t>부산은행(CD)</t>
  </si>
  <si>
    <t>KRZE08101G5D</t>
  </si>
  <si>
    <t>KRZF03949YF9</t>
  </si>
  <si>
    <t>F03949</t>
  </si>
  <si>
    <t>키움증권(CP)</t>
  </si>
  <si>
    <t>KRZF03949ZF9</t>
  </si>
  <si>
    <t>KRZFE05944F9</t>
  </si>
  <si>
    <t>KRZFE05945F9</t>
  </si>
  <si>
    <t>KRZF00345ZFM</t>
  </si>
  <si>
    <t>F00345</t>
  </si>
  <si>
    <t>KRZFA03450F9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</si>
  <si>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</si>
  <si>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</si>
  <si>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</si>
  <si>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</si>
  <si>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</si>
  <si>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</si>
  <si>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</si>
  <si>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</si>
  <si>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</si>
  <si>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</si>
  <si>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</si>
  <si>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</si>
  <si>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</si>
  <si>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</si>
  <si>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</si>
  <si>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</si>
  <si>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</si>
  <si>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</si>
  <si>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</si>
  <si>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</si>
  <si>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</si>
  <si>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</si>
  <si>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</si>
  <si>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</si>
  <si>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</si>
  <si>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</si>
  <si>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</si>
  <si>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</si>
  <si>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</si>
  <si>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</si>
  <si>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</si>
  <si>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</si>
  <si>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</si>
  <si>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</si>
  <si>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</si>
  <si>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</si>
  <si>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</si>
  <si>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</si>
  <si>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</si>
  <si>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</si>
  <si>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</si>
  <si>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</si>
  <si>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</si>
  <si>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</si>
  <si>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</si>
  <si>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</si>
  <si>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</si>
  <si>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</si>
  <si>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</si>
  <si>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</si>
  <si>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</si>
  <si>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</si>
  <si>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</si>
  <si>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</si>
  <si>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</si>
  <si>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</si>
  <si>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</si>
  <si>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</si>
  <si>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003451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</si>
  <si>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</si>
  <si>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</si>
  <si>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</si>
  <si>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</si>
  <si>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</si>
  <si>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</si>
  <si>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</si>
  <si>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</si>
  <si>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</si>
  <si>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</si>
  <si>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</si>
  <si>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</si>
  <si>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</si>
  <si>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</si>
  <si>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</si>
  <si>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</si>
  <si>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</si>
  <si>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</si>
  <si>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</si>
  <si>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</si>
  <si>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</si>
  <si>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</si>
  <si>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</si>
  <si>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</si>
  <si>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</si>
  <si>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</si>
  <si>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</si>
  <si>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</si>
  <si>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</si>
  <si>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</si>
  <si>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</si>
  <si>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</si>
  <si>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</si>
  <si>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</si>
  <si>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</si>
  <si>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</si>
  <si>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</si>
  <si>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</si>
  <si>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</si>
  <si>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</si>
  <si>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</si>
  <si>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</si>
  <si>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</si>
  <si>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</si>
  <si>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</si>
  <si>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</si>
  <si>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</si>
  <si>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</si>
  <si>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</si>
  <si>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</si>
  <si>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</si>
  <si>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</si>
  <si>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</si>
  <si>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</si>
  <si>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</si>
  <si>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</si>
  <si>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</si>
  <si>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</si>
  <si>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</si>
  <si>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</si>
  <si>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</si>
  <si>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</si>
  <si>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</si>
  <si>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</si>
  <si>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</si>
  <si>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</si>
  <si>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</si>
  <si>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</si>
  <si>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</si>
  <si>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</si>
  <si>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</si>
  <si>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</si>
  <si>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</si>
  <si>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</si>
  <si>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</si>
  <si>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</si>
  <si>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</si>
  <si>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</si>
  <si>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</si>
  <si>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</si>
  <si>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</si>
  <si>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</si>
  <si>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</si>
  <si>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</si>
  <si>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</si>
  <si>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</si>
  <si>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</si>
  <si>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56105G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</si>
  <si>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</si>
  <si>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</si>
  <si>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</si>
  <si>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</si>
  <si>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</si>
  <si>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</si>
  <si>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</si>
  <si>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</si>
  <si>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</si>
  <si>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</si>
  <si>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</si>
  <si>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</si>
  <si>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</si>
  <si>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</si>
  <si>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</si>
  <si>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</si>
  <si>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</si>
  <si>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</si>
  <si>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</si>
  <si>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</si>
  <si>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</si>
  <si>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064982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</si>
  <si>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</si>
  <si>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</si>
  <si>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</si>
  <si>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</si>
  <si>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</si>
  <si>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</si>
  <si>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032711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</si>
  <si>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</si>
  <si>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</si>
  <si>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</si>
  <si>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</si>
  <si>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</si>
  <si>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</si>
  <si>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</si>
  <si>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</si>
  <si>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</si>
  <si>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</si>
  <si>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</si>
  <si>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</si>
  <si>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</si>
  <si>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</si>
  <si>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</si>
  <si>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</si>
  <si>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</si>
  <si>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</si>
  <si>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</si>
  <si>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</si>
  <si>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</si>
  <si>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</si>
  <si>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</si>
  <si>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</si>
  <si>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</si>
  <si>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</si>
  <si>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</si>
  <si>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</si>
  <si>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</si>
  <si>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</si>
  <si>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</si>
  <si>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</si>
  <si>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</si>
  <si>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</si>
  <si>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</si>
  <si>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</si>
  <si>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</si>
  <si>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</si>
  <si>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</si>
  <si>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</si>
  <si>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</si>
  <si>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</si>
  <si>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</si>
  <si>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</si>
  <si>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</si>
  <si>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</si>
  <si>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</si>
  <si>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</si>
  <si>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</si>
  <si>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</si>
  <si>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</si>
  <si>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</si>
  <si>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</si>
  <si>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</si>
  <si>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</si>
  <si>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</si>
  <si>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</si>
  <si>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</si>
  <si>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</si>
  <si>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019809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</si>
  <si>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</si>
  <si>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</si>
  <si>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</si>
  <si>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</si>
  <si>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</si>
  <si>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</si>
  <si>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</si>
  <si>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</si>
  <si>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</si>
  <si>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</si>
  <si>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</si>
  <si>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</si>
  <si>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</si>
  <si>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</si>
  <si>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</si>
  <si>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</si>
  <si>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</si>
  <si>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</si>
  <si>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</si>
  <si>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</si>
  <si>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</si>
  <si>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</si>
  <si>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</si>
  <si>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</si>
  <si>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</si>
  <si>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</si>
  <si>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</si>
  <si>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</si>
  <si>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</si>
  <si>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</si>
  <si>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</si>
  <si>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</si>
  <si>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</si>
  <si>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</si>
  <si>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</si>
  <si>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</si>
  <si>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</si>
  <si>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</si>
  <si>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</si>
  <si>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</si>
  <si>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</si>
  <si>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</si>
  <si>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</si>
  <si>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</si>
  <si>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</si>
  <si>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</si>
  <si>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</si>
  <si>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</si>
  <si>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</si>
  <si>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</si>
  <si>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</si>
  <si>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</si>
  <si>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</si>
  <si>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</si>
  <si>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</si>
  <si>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</si>
  <si>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</si>
  <si>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</si>
  <si>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</si>
  <si>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</si>
  <si>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</si>
  <si>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</si>
  <si>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</si>
  <si>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</si>
  <si>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</si>
  <si>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</si>
  <si>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</si>
  <si>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</si>
  <si>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</si>
  <si>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</si>
  <si>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</si>
  <si>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</si>
  <si>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</si>
  <si>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</si>
  <si>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</si>
  <si>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</si>
  <si>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</si>
  <si>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</si>
  <si>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</si>
  <si>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</si>
  <si>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</si>
  <si>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</si>
  <si>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</si>
  <si>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</si>
  <si>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</si>
  <si>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</si>
  <si>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</si>
  <si>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</si>
  <si>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KRC0350C27C8</t>
  </si>
  <si>
    <t>국고채이자03500-2712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</si>
  <si>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</si>
  <si>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</si>
  <si>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</si>
  <si>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</si>
  <si>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</si>
  <si>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</si>
  <si>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</si>
  <si>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</si>
  <si>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</si>
  <si>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</si>
  <si>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</si>
  <si>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</si>
  <si>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</si>
  <si>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</si>
  <si>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</si>
  <si>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</si>
  <si>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</si>
  <si>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</si>
  <si>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</si>
  <si>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</si>
  <si>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</si>
  <si>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</si>
  <si>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</si>
  <si>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</si>
  <si>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</si>
  <si>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</si>
  <si>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</si>
  <si>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</si>
  <si>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</si>
  <si>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</si>
  <si>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</si>
  <si>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</si>
  <si>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KR6140173B80</t>
  </si>
  <si>
    <t>케이비국민카드334-3(사)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</si>
  <si>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</si>
  <si>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</si>
  <si>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</si>
  <si>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</si>
  <si>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</si>
  <si>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</si>
  <si>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</si>
  <si>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</si>
  <si>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</si>
  <si>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</si>
  <si>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</si>
  <si>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</si>
  <si>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</si>
  <si>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</si>
  <si>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</si>
  <si>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</si>
  <si>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</si>
  <si>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</si>
  <si>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</si>
  <si>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</si>
  <si>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</si>
  <si>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</si>
  <si>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</si>
  <si>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</si>
  <si>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</si>
  <si>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</si>
  <si>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</si>
  <si>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</si>
  <si>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</si>
  <si>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</si>
  <si>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</si>
  <si>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</si>
  <si>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</si>
  <si>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</si>
  <si>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</si>
  <si>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</si>
  <si>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</si>
  <si>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</si>
  <si>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</si>
  <si>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</si>
  <si>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</si>
  <si>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</si>
  <si>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</si>
  <si>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</si>
  <si>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</si>
  <si>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</si>
  <si>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</si>
  <si>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</si>
  <si>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</si>
  <si>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</si>
  <si>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</si>
  <si>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</si>
  <si>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</si>
  <si>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</si>
  <si>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</si>
  <si>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</si>
  <si>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</si>
  <si>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</si>
  <si>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</si>
  <si>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</si>
  <si>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</si>
  <si>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</si>
  <si>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</si>
  <si>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</si>
  <si>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</si>
  <si>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</si>
  <si>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</si>
  <si>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</si>
  <si>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</si>
  <si>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</si>
  <si>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</si>
  <si>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</si>
  <si>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</si>
  <si>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</si>
  <si>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</si>
  <si>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</si>
  <si>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</si>
  <si>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</si>
  <si>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</si>
  <si>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</si>
  <si>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</si>
  <si>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</si>
  <si>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</si>
  <si>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</si>
  <si>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</si>
  <si>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</si>
  <si>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</si>
  <si>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</si>
  <si>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</si>
  <si>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</si>
  <si>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</si>
  <si>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</si>
  <si>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</si>
  <si>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</si>
  <si>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</si>
  <si>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</si>
  <si>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</si>
  <si>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KR103503GE96</t>
  </si>
  <si>
    <t>국고02875-2609(24-9)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</si>
  <si>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</si>
  <si>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</si>
  <si>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</si>
  <si>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</si>
  <si>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</si>
  <si>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</si>
  <si>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</si>
  <si>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</si>
  <si>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</si>
  <si>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</si>
  <si>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</si>
  <si>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</si>
  <si>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</si>
  <si>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</si>
  <si>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</si>
  <si>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</si>
  <si>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</si>
  <si>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</si>
  <si>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</si>
  <si>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</si>
  <si>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</si>
  <si>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</si>
  <si>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</si>
  <si>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</si>
  <si>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KR350701GD86</t>
  </si>
  <si>
    <t>도로공사854</t>
  </si>
  <si>
    <t>KR6093052D69</t>
  </si>
  <si>
    <t>093052</t>
  </si>
  <si>
    <t>LF11-2</t>
  </si>
  <si>
    <t>KR6006802D98</t>
  </si>
  <si>
    <t>미래에셋증권67-2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</si>
  <si>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</si>
  <si>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</si>
  <si>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</si>
  <si>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</si>
  <si>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</si>
  <si>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</si>
  <si>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</si>
  <si>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</si>
  <si>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</si>
  <si>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KR103501GB91</t>
  </si>
  <si>
    <t>국고01750-2609(21-7)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</si>
  <si>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</si>
  <si>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</si>
  <si>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</si>
  <si>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</si>
  <si>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</si>
  <si>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</si>
  <si>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</si>
  <si>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</si>
  <si>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</si>
  <si>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</si>
  <si>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</si>
  <si>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</si>
  <si>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</si>
  <si>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</si>
  <si>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</si>
  <si>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</si>
  <si>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</si>
  <si>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</si>
  <si>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</si>
  <si>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</si>
  <si>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</si>
  <si>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</si>
  <si>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</si>
  <si>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</si>
  <si>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</si>
  <si>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</si>
  <si>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</si>
  <si>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</si>
  <si>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</si>
  <si>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</si>
  <si>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</si>
  <si>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</si>
  <si>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</si>
  <si>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</si>
  <si>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</si>
  <si>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</si>
  <si>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</si>
  <si>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</si>
  <si>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</si>
  <si>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</si>
  <si>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</si>
  <si>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</si>
  <si>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</si>
  <si>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</si>
  <si>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</si>
  <si>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</si>
  <si>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</si>
  <si>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</si>
  <si>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</si>
  <si>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</si>
  <si>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</si>
  <si>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</si>
  <si>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</si>
  <si>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</si>
  <si>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</si>
  <si>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</si>
  <si>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</si>
  <si>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</si>
  <si>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</si>
  <si>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</si>
  <si>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</si>
  <si>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</si>
  <si>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</si>
  <si>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</si>
  <si>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</si>
  <si>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</si>
  <si>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</si>
  <si>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</si>
  <si>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</si>
  <si>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KR353601DD68</t>
  </si>
  <si>
    <t>경기주택도시공사보상23-06가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</si>
  <si>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</si>
  <si>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</si>
  <si>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</si>
  <si>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</si>
  <si>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</si>
  <si>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</si>
  <si>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</si>
  <si>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</si>
  <si>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</si>
  <si>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</si>
  <si>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KRZF095235G2</t>
  </si>
  <si>
    <t>KRZF10334QG4</t>
  </si>
  <si>
    <t>KRZF10334RG4</t>
  </si>
  <si>
    <t>KRZF10334SG4</t>
  </si>
  <si>
    <t>KRZF10334TG4</t>
  </si>
  <si>
    <t>KRZF10334VG4</t>
  </si>
  <si>
    <t>KRZF09523HG2</t>
  </si>
  <si>
    <t>KRZF09523KG2</t>
  </si>
  <si>
    <t>KRZF09523LG2</t>
  </si>
  <si>
    <t>KRZF09523JG2</t>
  </si>
  <si>
    <t>KRZF103346G5</t>
  </si>
  <si>
    <t>KRZF103345G5</t>
  </si>
  <si>
    <t>KRZF095236G3</t>
  </si>
  <si>
    <t>KRZF095235G3</t>
  </si>
  <si>
    <t>KRZF03949MGF</t>
  </si>
  <si>
    <t>KRZF03949LGF</t>
  </si>
  <si>
    <t>KRZF198036G3</t>
  </si>
  <si>
    <t>KRZF198037G3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</si>
  <si>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</si>
  <si>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</si>
  <si>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</si>
  <si>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</si>
  <si>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</si>
  <si>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</si>
  <si>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</si>
  <si>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</si>
  <si>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</si>
  <si>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</si>
  <si>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</si>
  <si>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</si>
  <si>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</si>
  <si>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</si>
  <si>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</si>
  <si>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</si>
  <si>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</si>
  <si>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</si>
  <si>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</si>
  <si>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</si>
  <si>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</si>
  <si>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</si>
  <si>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</si>
  <si>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KRZS0011H033</t>
  </si>
  <si>
    <t>비케이씨에스제이십이차 20260610-92-1(단)</t>
  </si>
  <si>
    <t>KR6176944D98</t>
  </si>
  <si>
    <t>아이엠캐피탈105-4</t>
  </si>
  <si>
    <t>KRZFA57126G4</t>
  </si>
  <si>
    <t>KR6176943D81</t>
  </si>
  <si>
    <t>아이엠캐피탈103-2</t>
  </si>
  <si>
    <t>KR6029692F18</t>
  </si>
  <si>
    <t>롯데캐피탈473-2</t>
  </si>
  <si>
    <t>KR6079315G35</t>
  </si>
  <si>
    <t>JB 우리캐피탈557-1</t>
  </si>
  <si>
    <t>KR6195941EA2</t>
  </si>
  <si>
    <t>195941</t>
  </si>
  <si>
    <t>에이치케이이노엔5-1</t>
  </si>
  <si>
    <t>KR6097247D58</t>
  </si>
  <si>
    <t>엔에이치농협캐피탈206-3</t>
  </si>
  <si>
    <t>KR6136301F71</t>
  </si>
  <si>
    <t>알씨아이파이낸셜133</t>
  </si>
  <si>
    <t>KR6065906D99</t>
  </si>
  <si>
    <t>065906</t>
  </si>
  <si>
    <t>현대카드883-2</t>
  </si>
  <si>
    <t>KRZF0149W5G2</t>
  </si>
  <si>
    <t>KRZF02353DG1</t>
  </si>
  <si>
    <t>KRZF047818GH</t>
  </si>
  <si>
    <t>KRZF047819GH</t>
  </si>
  <si>
    <t>KRZF023763G6</t>
  </si>
  <si>
    <t>KRZF10334WG4</t>
  </si>
  <si>
    <t>KRZF095237G2</t>
  </si>
  <si>
    <t>KRZF095238G2</t>
  </si>
  <si>
    <t>KRZF103344G5</t>
  </si>
  <si>
    <t>KRZF198035G3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</si>
  <si>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</si>
  <si>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</si>
  <si>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</si>
  <si>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</si>
  <si>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</si>
  <si>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</si>
  <si>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</si>
  <si>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</si>
  <si>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</si>
  <si>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KR6145764G30</t>
  </si>
  <si>
    <t>BNK캐피탈387-5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</si>
  <si>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</si>
  <si>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</si>
  <si>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</si>
  <si>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</si>
  <si>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</si>
  <si>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</si>
  <si>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</si>
  <si>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</si>
  <si>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KR6029884G31</t>
  </si>
  <si>
    <t>현대캐피탈2094-1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</si>
  <si>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</si>
  <si>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</si>
  <si>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</si>
  <si>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</si>
  <si>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</si>
  <si>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</si>
  <si>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</si>
  <si>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</si>
  <si>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</si>
  <si>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</si>
  <si>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</si>
  <si>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</si>
  <si>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</si>
  <si>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</si>
  <si>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</si>
  <si>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</si>
  <si>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</si>
  <si>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</si>
  <si>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</si>
  <si>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</si>
  <si>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</si>
  <si>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</si>
  <si>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</si>
  <si>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</si>
  <si>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</si>
  <si>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</si>
  <si>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</si>
  <si>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</si>
  <si>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</si>
  <si>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</si>
  <si>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</si>
  <si>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</si>
  <si>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</si>
  <si>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</si>
  <si>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</si>
  <si>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</si>
  <si>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</si>
  <si>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</si>
  <si>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</si>
  <si>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</si>
  <si>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</si>
  <si>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50110G</t>
  </si>
  <si>
    <t>한국전력공사채권1092</t>
  </si>
  <si>
    <t>KR352702G4A4</t>
  </si>
  <si>
    <t>국가철도공단채권255</t>
  </si>
  <si>
    <t>국고채권02375-3112(21-11)</t>
  </si>
  <si>
    <t>KR350102GC25</t>
  </si>
  <si>
    <t>한국전력공사채권1132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</si>
  <si>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</si>
  <si>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</si>
  <si>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</si>
  <si>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</si>
  <si>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</si>
  <si>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</si>
  <si>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</si>
  <si>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</si>
  <si>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</si>
  <si>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</si>
  <si>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한국전력공사채권1120</t>
  </si>
  <si>
    <t>국고채권01500-5003(20-2)</t>
  </si>
  <si>
    <t>KR6136301E64</t>
  </si>
  <si>
    <t>알씨아이파이낸셜서비스코리아125</t>
  </si>
  <si>
    <t>국고채권03000-3412(24-13)</t>
  </si>
  <si>
    <t>국고채권01500-4009(20-7)</t>
  </si>
  <si>
    <t>KR6004944G24</t>
  </si>
  <si>
    <t>하나은행49-02이3갑-12</t>
  </si>
  <si>
    <t>KR381101GA31</t>
  </si>
  <si>
    <t>농업금융채권(중앙회)2020-3이7Y-A</t>
  </si>
  <si>
    <t>KR6033665FC6</t>
  </si>
  <si>
    <t>우리금융캐피탈537-5</t>
  </si>
  <si>
    <t>KR6205495FA4</t>
  </si>
  <si>
    <t>하나카드289-2</t>
  </si>
  <si>
    <t>KR2001284AB6</t>
  </si>
  <si>
    <t>001284</t>
  </si>
  <si>
    <t>서울도시철도공채증권20-11</t>
  </si>
  <si>
    <t>KR350104GG29</t>
  </si>
  <si>
    <t>한국전력공사채권1550</t>
  </si>
  <si>
    <t>국고채권04125-3312(23-11)</t>
  </si>
  <si>
    <t>KR6079319F40</t>
  </si>
  <si>
    <t>JB 우리캐피탈534-3</t>
  </si>
  <si>
    <t>KR6030492BA1</t>
  </si>
  <si>
    <t>한국투자증권21-2</t>
  </si>
  <si>
    <t>KR352201GG68</t>
  </si>
  <si>
    <t>인천국제공항공사213</t>
  </si>
  <si>
    <t>KR6097249G38</t>
  </si>
  <si>
    <t>097249</t>
  </si>
  <si>
    <t>엔에이치농협캐피탈261-9</t>
  </si>
  <si>
    <t>KR601980WD84</t>
  </si>
  <si>
    <t>01980W</t>
  </si>
  <si>
    <t>하나캐피탈400-6</t>
  </si>
  <si>
    <t>KR355902GG63</t>
  </si>
  <si>
    <t>55902G</t>
  </si>
  <si>
    <t>인천항만공사29</t>
  </si>
  <si>
    <t>KR350802GG57</t>
  </si>
  <si>
    <t>한국가스공사562</t>
  </si>
  <si>
    <t>KRZE03901G3K</t>
  </si>
  <si>
    <t>경남 서울영업부 20260319-123-1</t>
  </si>
  <si>
    <t>KR6063622G52</t>
  </si>
  <si>
    <t>한국서부발전78-2</t>
  </si>
  <si>
    <t>KRZFA05941F8</t>
  </si>
  <si>
    <t>FA0594</t>
  </si>
  <si>
    <t>NH투자증권 20250822-364-67</t>
  </si>
  <si>
    <t>KRZFA05940F8</t>
  </si>
  <si>
    <t>NH투자증권 20250822-364-66</t>
  </si>
  <si>
    <t>KRZF0107PVFA</t>
  </si>
  <si>
    <t>F0107P</t>
  </si>
  <si>
    <t>베어버드제일차 20251013-326-28</t>
  </si>
  <si>
    <t>KRZE08801F99</t>
  </si>
  <si>
    <t>신한 자금부 20250909-364-1</t>
  </si>
  <si>
    <t>KRZF005943FM</t>
  </si>
  <si>
    <t>NH투자증권 20250904-364-36</t>
  </si>
  <si>
    <t>KRZF15399QG5</t>
  </si>
  <si>
    <t>F15399</t>
  </si>
  <si>
    <t>비엔케이투자증권 20260513-126-24</t>
  </si>
  <si>
    <t>KRZF15399RG5</t>
  </si>
  <si>
    <t>비엔케이투자증권 20260513-126-25</t>
  </si>
  <si>
    <t>KRZE03901FAG</t>
  </si>
  <si>
    <t>경남 서울영업부 20251016-365-1</t>
  </si>
  <si>
    <t>KRZF071051FA</t>
  </si>
  <si>
    <t>F07105</t>
  </si>
  <si>
    <t>한국투자금융지주 20251001-364-1</t>
  </si>
  <si>
    <t>KRZF071052FA</t>
  </si>
  <si>
    <t>한국투자금융지주 20251001-364-2</t>
  </si>
  <si>
    <t>KRZE08101FCP</t>
  </si>
  <si>
    <t>하나 금융기관영업팀 20251223-304-1</t>
  </si>
  <si>
    <t>KRZF03049BG5</t>
  </si>
  <si>
    <t>F03049</t>
  </si>
  <si>
    <t>한국투자증권 20260508-152-11</t>
  </si>
  <si>
    <t>KRZE08101FBV</t>
  </si>
  <si>
    <t>하나 금융기관영업팀 20251128-334-1</t>
  </si>
  <si>
    <t>KRZF00353CFA</t>
  </si>
  <si>
    <t>F00353</t>
  </si>
  <si>
    <t>한화투자증권 20251013-364-12</t>
  </si>
  <si>
    <t>KRZF00353BFA</t>
  </si>
  <si>
    <t>한화투자증권 20251013-364-11</t>
  </si>
  <si>
    <t>KRZFA0354NG6</t>
  </si>
  <si>
    <t>FA0354</t>
  </si>
  <si>
    <t>대신증권 20260617-121-88</t>
  </si>
  <si>
    <t>KRZFA0354FG6</t>
  </si>
  <si>
    <t>대신증권 20260617-121-81</t>
  </si>
  <si>
    <t>KRZFA0354QG6</t>
  </si>
  <si>
    <t>대신증권 20260617-121-90</t>
  </si>
  <si>
    <t>KRZFA0354MG6</t>
  </si>
  <si>
    <t>대신증권 20260617-121-87</t>
  </si>
  <si>
    <t>KRZFA0354JG6</t>
  </si>
  <si>
    <t>대신증권 20260617-121-84</t>
  </si>
  <si>
    <t>KRZFA0354GG6</t>
  </si>
  <si>
    <t>대신증권 20260617-121-82</t>
  </si>
  <si>
    <t>KRZFA0354HG6</t>
  </si>
  <si>
    <t>대신증권 20260617-121-83</t>
  </si>
  <si>
    <t>KRZFA0354PG6</t>
  </si>
  <si>
    <t>대신증권 20260617-121-89</t>
  </si>
  <si>
    <t>KRZFA0354KG6</t>
  </si>
  <si>
    <t>대신증권 20260617-121-85</t>
  </si>
  <si>
    <t>KRZFA0354LG6</t>
  </si>
  <si>
    <t>대신증권 20260617-121-86</t>
  </si>
  <si>
    <t>KRZF03271LBN</t>
  </si>
  <si>
    <t>F03271</t>
  </si>
  <si>
    <t>신한카드 20211019-1826-53</t>
  </si>
  <si>
    <t>KRZF00354NGJ</t>
  </si>
  <si>
    <t>F00354</t>
  </si>
  <si>
    <t>대신증권 20260617-124-55</t>
  </si>
  <si>
    <t>KRZF00354JGJ</t>
  </si>
  <si>
    <t>대신증권 20260617-124-51</t>
  </si>
  <si>
    <t>KRZF00354RGJ</t>
  </si>
  <si>
    <t>대신증권 20260617-124-58</t>
  </si>
  <si>
    <t>KRZF00354KGJ</t>
  </si>
  <si>
    <t>대신증권 20260617-124-52</t>
  </si>
  <si>
    <t>KRZF00354LGJ</t>
  </si>
  <si>
    <t>대신증권 20260617-124-53</t>
  </si>
  <si>
    <t>KRZF00354PGJ</t>
  </si>
  <si>
    <t>대신증권 20260617-124-56</t>
  </si>
  <si>
    <t>KRZF00354QGJ</t>
  </si>
  <si>
    <t>대신증권 20260617-124-57</t>
  </si>
  <si>
    <t>KRZF00354MGJ</t>
  </si>
  <si>
    <t>대신증권 20260617-124-54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</si>
  <si>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</si>
  <si>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</si>
  <si>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</si>
  <si>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</si>
  <si>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</si>
  <si>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</si>
  <si>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</si>
  <si>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</si>
  <si>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</si>
  <si>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</si>
  <si>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</si>
  <si>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</si>
  <si>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</si>
  <si>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</si>
  <si>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</si>
  <si>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</si>
  <si>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</si>
  <si>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KRZFJ05942FB</t>
  </si>
  <si>
    <t>FJ0594</t>
  </si>
  <si>
    <t>NH투자증권 20251124-364-200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</si>
  <si>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</si>
  <si>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</si>
  <si>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</si>
  <si>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</si>
  <si>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</si>
  <si>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</si>
  <si>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</si>
  <si>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</si>
  <si>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</si>
  <si>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</si>
  <si>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</si>
  <si>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</si>
  <si>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</si>
  <si>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</si>
  <si>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</si>
  <si>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</si>
  <si>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</si>
  <si>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</si>
  <si>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</si>
  <si>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</si>
  <si>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</si>
  <si>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</si>
  <si>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</si>
  <si>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</si>
  <si>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</si>
  <si>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</si>
  <si>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</si>
  <si>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</si>
  <si>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</si>
  <si>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</si>
  <si>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</si>
  <si>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</si>
  <si>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</si>
  <si>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</si>
  <si>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</si>
  <si>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</si>
  <si>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</si>
  <si>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</si>
  <si>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</si>
  <si>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</si>
  <si>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</si>
  <si>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</si>
  <si>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</si>
  <si>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</si>
  <si>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</si>
  <si>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</si>
  <si>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</si>
  <si>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</si>
  <si>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</si>
  <si>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</si>
  <si>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</si>
  <si>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</si>
  <si>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</si>
  <si>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001274</t>
  </si>
  <si>
    <t>서울도시철도공채증권20-10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</si>
  <si>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</si>
  <si>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</si>
  <si>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</si>
  <si>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</si>
  <si>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</si>
  <si>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</si>
  <si>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</si>
  <si>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</si>
  <si>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</si>
  <si>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</si>
  <si>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</si>
  <si>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KR6185751E90</t>
  </si>
  <si>
    <t>185751</t>
  </si>
  <si>
    <t>종근당2-1</t>
  </si>
  <si>
    <t>KR353602GG53</t>
  </si>
  <si>
    <t>경기주택도시공사26-05-138</t>
  </si>
  <si>
    <t>KR6051914B26</t>
  </si>
  <si>
    <t>LG화학54-4</t>
  </si>
  <si>
    <t>KR350102G957</t>
  </si>
  <si>
    <t>한국전력공사채권988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</si>
  <si>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</si>
  <si>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</si>
  <si>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</si>
  <si>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</si>
  <si>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</si>
  <si>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</si>
  <si>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</si>
  <si>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</si>
  <si>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</si>
  <si>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KR350101GBA5</t>
  </si>
  <si>
    <t>한국전력공사채권1075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</si>
  <si>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</si>
  <si>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</si>
  <si>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</si>
  <si>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</si>
  <si>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</si>
  <si>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</si>
  <si>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</si>
  <si>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</si>
  <si>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</si>
  <si>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</si>
  <si>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</si>
  <si>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</si>
  <si>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</si>
  <si>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</si>
  <si>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</si>
  <si>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</si>
  <si>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</si>
  <si>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</si>
  <si>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한국도로공사고속도로건설채권854</t>
  </si>
  <si>
    <t>서울도시철도공채증권21-02</t>
  </si>
  <si>
    <t>KR2001034B61</t>
  </si>
  <si>
    <t>001034</t>
  </si>
  <si>
    <t>서울도시철도공채증권21-06</t>
  </si>
  <si>
    <t>KR6066562754</t>
  </si>
  <si>
    <t>한국중부발전38-2</t>
  </si>
  <si>
    <t>KR350104GA17</t>
  </si>
  <si>
    <t>한국전력공사채권1017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</si>
  <si>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</si>
  <si>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</si>
  <si>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</si>
  <si>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</si>
  <si>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</si>
  <si>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</si>
  <si>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</si>
  <si>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KRC0350C31C0</t>
  </si>
  <si>
    <t>국고채이자분리채권02780-3112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</si>
  <si>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</si>
  <si>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</si>
  <si>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</si>
  <si>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</si>
  <si>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</si>
  <si>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</si>
  <si>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서울도시철도공채증권20-04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</si>
  <si>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</si>
  <si>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</si>
  <si>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</si>
  <si>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</si>
  <si>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</si>
  <si>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</si>
  <si>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국민주택1종채권24-11</t>
  </si>
  <si>
    <t>국고채권02125-4703(17-1)</t>
  </si>
  <si>
    <t>국고채권02625-4803(18-2)</t>
  </si>
  <si>
    <t>KR350702GD85</t>
  </si>
  <si>
    <t>한국도로공사고속도로건설채권855</t>
  </si>
  <si>
    <t>농업금융채권(중앙회)2016-09이10Y-B</t>
  </si>
  <si>
    <t>국고채권01500-3609(16-6)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</si>
  <si>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</si>
  <si>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</si>
  <si>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</si>
  <si>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</si>
  <si>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</si>
  <si>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</si>
  <si>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</si>
  <si>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</si>
  <si>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</si>
  <si>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</si>
  <si>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</si>
  <si>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</si>
  <si>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</si>
  <si>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국고채권01125-3909(19-6)</t>
  </si>
  <si>
    <t>국고채권02375-2703(22-1)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</si>
</sst>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x1.ww171_0</stp>
        <stp>249</stp>
        <stp>1711024</stp>
        <tr r="Z2" s="2"/>
      </tp>
      <tp>
        <v>0</v>
        <stp/>
        <stp>T</stp>
        <stp>x2.ww171_0</stp>
        <stp>243</stp>
        <stp>1711024</stp>
        <tr r="BI7" s="1"/>
      </tp>
      <tp>
        <v>0</v>
        <stp/>
        <stp>T</stp>
        <stp>x6.ww171_0</stp>
        <stp>242</stp>
        <stp>1711024</stp>
        <tr r="AY7" s="1"/>
      </tp>
      <tp>
        <v>0</v>
        <stp/>
        <stp>H</stp>
        <stp>x8.ww171_0</stp>
        <stp>250</stp>
        <stp>1711024</stp>
        <tr r="BL2" s="2"/>
      </tp>
      <tp>
        <v>0</v>
        <stp/>
        <stp>H</stp>
        <stp>x3.ww171_0</stp>
        <stp>259</stp>
        <stp>1711024</stp>
        <tr r="T2" s="2"/>
      </tp>
      <tp>
        <v>0</v>
        <stp/>
        <stp>H</stp>
        <stp>x9.ww171_0</stp>
        <stp>253</stp>
        <stp>1711024</stp>
        <tr r="AM2" s="2"/>
      </tp>
      <tp>
        <v>0</v>
        <stp/>
        <stp>H</stp>
        <stp>x5.ww171_0</stp>
        <stp>257</stp>
        <stp>1711024</stp>
        <tr r="H2" s="2"/>
      </tp>
      <tp>
        <v>0</v>
        <stp/>
        <stp>T</stp>
        <stp>x4.ww171_0</stp>
        <stp>238</stp>
        <stp>1711024</stp>
        <tr r="A7" s="1"/>
      </tp>
      <tp>
        <v>0</v>
        <stp/>
        <stp>T</stp>
        <stp>x7.ww171_0</stp>
        <stp>239</stp>
        <stp>1711024</stp>
        <tr r="AO7" s="1"/>
      </tp>
      <tp>
        <v>0</v>
        <stp/>
        <stp>T</stp>
        <stp>x3.xw171_0</stp>
        <stp>246</stp>
        <stp>1711024</stp>
        <tr r="CW7" s="1"/>
      </tp>
      <tp>
        <v>0</v>
        <stp/>
        <stp>H</stp>
        <stp>x1.xw171_0</stp>
        <stp>252</stp>
        <stp>1711024</stp>
        <tr r="AS2" s="2"/>
      </tp>
      <tp>
        <v>0</v>
        <stp/>
        <stp>H</stp>
        <stp>x2.xw171_0</stp>
        <stp>251</stp>
        <stp>1711024</stp>
        <tr r="AF2" s="2"/>
      </tp>
      <tp>
        <v>0</v>
        <stp/>
        <stp>H</stp>
        <stp>x17.ww171_0</stp>
        <stp>255</stp>
        <stp>1711024</stp>
        <tr r="BF2" s="2"/>
      </tp>
      <tp>
        <v>0</v>
        <stp/>
        <stp>H</stp>
        <stp>x19.ww171_0</stp>
        <stp>254</stp>
        <stp>1711024</stp>
        <tr r="AY2" s="2"/>
      </tp>
      <tp>
        <v>0</v>
        <stp/>
        <stp>H</stp>
        <stp>x18.ww171_0</stp>
        <stp>256</stp>
        <stp>1711024</stp>
        <tr r="N2" s="2"/>
      </tp>
      <tp>
        <v>0</v>
        <stp/>
        <stp>H</stp>
        <stp>x10.ww171_0</stp>
        <stp>258</stp>
        <stp>1711024</stp>
        <tr r="A2" s="2"/>
      </tp>
      <tp>
        <v>0</v>
        <stp/>
        <stp>T</stp>
        <stp>x13.ww171_0</stp>
        <stp>248</stp>
        <stp>1711024</stp>
        <tr r="CM7" s="1"/>
      </tp>
      <tp>
        <v>0</v>
        <stp/>
        <stp>T</stp>
        <stp>x15.ww171_0</stp>
        <stp>244</stp>
        <stp>1711024</stp>
        <tr r="CC7" s="1"/>
      </tp>
      <tp>
        <v>0</v>
        <stp/>
        <stp>T</stp>
        <stp>x12.ww171_0</stp>
        <stp>240</stp>
        <stp>1711024</stp>
        <tr r="K7" s="1"/>
      </tp>
      <tp>
        <v>0</v>
        <stp/>
        <stp>T</stp>
        <stp>x14.ww171_0</stp>
        <stp>247</stp>
        <stp>1711024</stp>
        <tr r="U7" s="1"/>
      </tp>
      <tp>
        <v>0</v>
        <stp/>
        <stp>T</stp>
        <stp>x11.ww171_0</stp>
        <stp>245</stp>
        <stp>1711024</stp>
        <tr r="AE7" s="1"/>
      </tp>
      <tp>
        <v>0</v>
        <stp/>
        <stp>T</stp>
        <stp>x16.ww171_0</stp>
        <stp>241</stp>
        <stp>1711024</stp>
        <tr r="BS7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DF1008"/>
  <sheetViews>
    <sheetView tabSelected="1" workbookViewId="0"/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4.625" style="3" customWidth="1"/>
    <col min="12" max="12" width="18.625" style="3" customWidth="1"/>
    <col min="13" max="13" width="9" style="3"/>
    <col min="14" max="15" width="10.625" style="3" customWidth="1"/>
    <col min="16" max="16" width="8.125" style="3" bestFit="1" customWidth="1"/>
    <col min="17" max="18" width="9" style="3"/>
    <col min="19" max="19" width="12.125" style="3" bestFit="1" customWidth="1"/>
    <col min="20" max="20" width="16.25" style="3" bestFit="1" customWidth="1"/>
    <col min="21" max="21" width="14.625" style="3" customWidth="1"/>
    <col min="22" max="22" width="18.625" style="3" customWidth="1"/>
    <col min="23" max="23" width="9" style="3"/>
    <col min="24" max="25" width="10.625" style="3" customWidth="1"/>
    <col min="26" max="26" width="8.125" style="3" bestFit="1" customWidth="1"/>
    <col min="27" max="28" width="9" style="3"/>
    <col min="29" max="29" width="12.125" style="3" bestFit="1" customWidth="1"/>
    <col min="30" max="30" width="16.25" style="3" bestFit="1" customWidth="1"/>
    <col min="31" max="31" width="14.625" style="3" customWidth="1"/>
    <col min="32" max="32" width="18.625" style="3" customWidth="1"/>
    <col min="33" max="33" width="9" style="3"/>
    <col min="34" max="35" width="10.625" style="3" customWidth="1"/>
    <col min="36" max="36" width="8.125" style="3" bestFit="1" customWidth="1"/>
    <col min="37" max="38" width="9" style="3"/>
    <col min="39" max="39" width="12.125" style="3" bestFit="1" customWidth="1"/>
    <col min="40" max="40" width="16.25" style="3" bestFit="1" customWidth="1"/>
    <col min="41" max="41" width="14.625" style="3" customWidth="1"/>
    <col min="42" max="42" width="18.625" style="3" customWidth="1"/>
    <col min="43" max="43" width="9" style="3"/>
    <col min="44" max="45" width="10.625" style="3" customWidth="1"/>
    <col min="46" max="46" width="8.125" style="3" bestFit="1" customWidth="1"/>
    <col min="47" max="48" width="9" style="3"/>
    <col min="49" max="49" width="12.125" style="3" bestFit="1" customWidth="1"/>
    <col min="50" max="50" width="16.25" style="3" bestFit="1" customWidth="1"/>
    <col min="51" max="51" width="14.625" style="3" customWidth="1"/>
    <col min="52" max="52" width="18.625" style="3" customWidth="1"/>
    <col min="53" max="53" width="9" style="3"/>
    <col min="54" max="55" width="10.625" style="3" customWidth="1"/>
    <col min="56" max="56" width="8.125" style="3" bestFit="1" customWidth="1"/>
    <col min="57" max="58" width="9" style="3"/>
    <col min="59" max="59" width="12.125" style="3" bestFit="1" customWidth="1"/>
    <col min="60" max="60" width="16.25" style="3" bestFit="1" customWidth="1"/>
    <col min="61" max="61" width="14.625" style="3" customWidth="1"/>
    <col min="62" max="62" width="18.625" style="3" customWidth="1"/>
    <col min="63" max="63" width="9" style="3"/>
    <col min="64" max="65" width="10.625" style="3" customWidth="1"/>
    <col min="66" max="66" width="8.125" style="3" bestFit="1" customWidth="1"/>
    <col min="67" max="68" width="9" style="3"/>
    <col min="69" max="69" width="12.125" style="3" bestFit="1" customWidth="1"/>
    <col min="70" max="70" width="16.25" style="3" bestFit="1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1" width="14.625" style="3" customWidth="1"/>
    <col min="82" max="82" width="18.625" style="3" customWidth="1"/>
    <col min="83" max="83" width="9" style="3"/>
    <col min="84" max="85" width="10.625" style="3" customWidth="1"/>
    <col min="86" max="86" width="8.125" style="3" bestFit="1" customWidth="1"/>
    <col min="87" max="88" width="9" style="3"/>
    <col min="89" max="89" width="12.125" style="3" bestFit="1" customWidth="1"/>
    <col min="90" max="90" width="16.25" style="3" bestFit="1" customWidth="1"/>
    <col min="91" max="91" width="14.625" style="3" customWidth="1"/>
    <col min="92" max="92" width="18.625" style="3" customWidth="1"/>
    <col min="93" max="93" width="9" style="3"/>
    <col min="94" max="95" width="10.625" style="3" customWidth="1"/>
    <col min="96" max="96" width="8.125" style="3" bestFit="1" customWidth="1"/>
    <col min="97" max="98" width="9" style="3"/>
    <col min="99" max="99" width="12.125" style="3" bestFit="1" customWidth="1"/>
    <col min="100" max="100" width="16.25" style="3" bestFit="1" customWidth="1"/>
    <col min="101" max="101" width="14.625" style="3" customWidth="1"/>
    <col min="102" max="102" width="18.625" style="3" customWidth="1"/>
    <col min="103" max="103" width="9" style="3"/>
    <col min="104" max="105" width="10.625" style="3" customWidth="1"/>
    <col min="106" max="106" width="8.125" style="3" bestFit="1" customWidth="1"/>
    <col min="107" max="108" width="9" style="3"/>
    <col min="109" max="109" width="12.125" style="3" bestFit="1" customWidth="1"/>
    <col min="110" max="110" width="16.25" style="3" bestFit="1" customWidth="1"/>
    <col min="111" max="16384" width="9" style="3"/>
  </cols>
  <sheetData>
    <row r="1" spans="1:110" ht="13.5" customHeight="1" x14ac:dyDescent="0.3">
      <c r="A1" s="18" t="s">
        <v>0</v>
      </c>
      <c r="B1" s="16" t="s">
        <v>6</v>
      </c>
      <c r="K1" s="18" t="s">
        <v>0</v>
      </c>
      <c r="L1" s="16" t="s">
        <v>18</v>
      </c>
      <c r="U1" s="18" t="s">
        <v>0</v>
      </c>
      <c r="V1" s="16" t="s">
        <v>19</v>
      </c>
      <c r="AE1" s="18" t="s">
        <v>0</v>
      </c>
      <c r="AF1" s="16" t="s">
        <v>20</v>
      </c>
      <c r="AO1" s="18" t="s">
        <v>0</v>
      </c>
      <c r="AP1" s="16" t="s">
        <v>21</v>
      </c>
      <c r="AY1" s="18" t="s">
        <v>0</v>
      </c>
      <c r="AZ1" s="16" t="s">
        <v>22</v>
      </c>
      <c r="BI1" s="18" t="s">
        <v>0</v>
      </c>
      <c r="BJ1" s="16" t="s">
        <v>23</v>
      </c>
      <c r="BS1" s="18" t="s">
        <v>0</v>
      </c>
      <c r="BT1" s="16" t="s">
        <v>24</v>
      </c>
      <c r="CC1" s="18" t="s">
        <v>0</v>
      </c>
      <c r="CD1" s="16" t="s">
        <v>25</v>
      </c>
      <c r="CM1" s="18" t="s">
        <v>0</v>
      </c>
      <c r="CN1" s="16" t="s">
        <v>26</v>
      </c>
      <c r="CW1" s="18" t="s">
        <v>0</v>
      </c>
      <c r="CX1" s="16" t="s">
        <v>27</v>
      </c>
    </row>
    <row r="2" spans="1:110" ht="13.5" customHeight="1" x14ac:dyDescent="0.3">
      <c r="A2" s="18" t="s">
        <v>1</v>
      </c>
      <c r="B2" s="16" t="s">
        <v>1723</v>
      </c>
      <c r="K2" s="18" t="s">
        <v>1</v>
      </c>
      <c r="L2" s="16" t="s">
        <v>1723</v>
      </c>
      <c r="U2" s="18" t="s">
        <v>1</v>
      </c>
      <c r="V2" s="16" t="s">
        <v>1723</v>
      </c>
      <c r="AE2" s="18" t="s">
        <v>1</v>
      </c>
      <c r="AF2" s="16" t="s">
        <v>1723</v>
      </c>
      <c r="AO2" s="18" t="s">
        <v>1</v>
      </c>
      <c r="AP2" s="16" t="s">
        <v>1723</v>
      </c>
      <c r="AY2" s="18" t="s">
        <v>1</v>
      </c>
      <c r="AZ2" s="16" t="s">
        <v>1723</v>
      </c>
      <c r="BI2" s="18" t="s">
        <v>1</v>
      </c>
      <c r="BJ2" s="16" t="s">
        <v>1723</v>
      </c>
      <c r="BS2" s="18" t="s">
        <v>1</v>
      </c>
      <c r="BT2" s="16" t="s">
        <v>1723</v>
      </c>
      <c r="CC2" s="18" t="s">
        <v>1</v>
      </c>
      <c r="CD2" s="16" t="s">
        <v>1723</v>
      </c>
      <c r="CM2" s="18" t="s">
        <v>1</v>
      </c>
      <c r="CN2" s="16" t="s">
        <v>1723</v>
      </c>
      <c r="CW2" s="18" t="s">
        <v>1</v>
      </c>
      <c r="CX2" s="16" t="s">
        <v>1723</v>
      </c>
    </row>
    <row r="3" spans="1:110" ht="13.5" customHeight="1" x14ac:dyDescent="0.3">
      <c r="A3" s="18" t="s">
        <v>2</v>
      </c>
      <c r="B3" s="17">
        <f ca="1">TODAY()</f>
        <v>46197</v>
      </c>
      <c r="K3" s="18" t="s">
        <v>2</v>
      </c>
      <c r="L3" s="17">
        <f ca="1">TODAY()</f>
        <v>46197</v>
      </c>
      <c r="U3" s="18" t="s">
        <v>2</v>
      </c>
      <c r="V3" s="17">
        <f ca="1">TODAY()</f>
        <v>46197</v>
      </c>
      <c r="AE3" s="18" t="s">
        <v>2</v>
      </c>
      <c r="AF3" s="17">
        <f ca="1">TODAY()</f>
        <v>46197</v>
      </c>
      <c r="AO3" s="18" t="s">
        <v>2</v>
      </c>
      <c r="AP3" s="17">
        <f ca="1">TODAY()</f>
        <v>46197</v>
      </c>
      <c r="AY3" s="18" t="s">
        <v>2</v>
      </c>
      <c r="AZ3" s="17">
        <f ca="1">TODAY()</f>
        <v>46197</v>
      </c>
      <c r="BI3" s="18" t="s">
        <v>2</v>
      </c>
      <c r="BJ3" s="17">
        <f ca="1">TODAY()</f>
        <v>46197</v>
      </c>
      <c r="BS3" s="18" t="s">
        <v>2</v>
      </c>
      <c r="BT3" s="17">
        <f ca="1">TODAY()</f>
        <v>46197</v>
      </c>
      <c r="CC3" s="18" t="s">
        <v>2</v>
      </c>
      <c r="CD3" s="17">
        <f ca="1">TODAY()</f>
        <v>46197</v>
      </c>
      <c r="CM3" s="18" t="s">
        <v>2</v>
      </c>
      <c r="CN3" s="17">
        <f ca="1">TODAY()</f>
        <v>46197</v>
      </c>
      <c r="CW3" s="18" t="s">
        <v>2</v>
      </c>
      <c r="CX3" s="17">
        <f ca="1">TODAY()</f>
        <v>46197</v>
      </c>
    </row>
    <row r="4" spans="1:110" ht="13.5" customHeight="1" x14ac:dyDescent="0.3">
      <c r="A4" s="18" t="s">
        <v>3</v>
      </c>
      <c r="B4" s="16" t="s">
        <v>7</v>
      </c>
      <c r="K4" s="18" t="s">
        <v>3</v>
      </c>
      <c r="L4" s="16" t="s">
        <v>7</v>
      </c>
      <c r="U4" s="18" t="s">
        <v>3</v>
      </c>
      <c r="V4" s="16" t="s">
        <v>7</v>
      </c>
      <c r="AE4" s="18" t="s">
        <v>3</v>
      </c>
      <c r="AF4" s="16" t="s">
        <v>7</v>
      </c>
      <c r="AO4" s="18" t="s">
        <v>3</v>
      </c>
      <c r="AP4" s="16" t="s">
        <v>7</v>
      </c>
      <c r="AY4" s="18" t="s">
        <v>3</v>
      </c>
      <c r="AZ4" s="16" t="s">
        <v>7</v>
      </c>
      <c r="BI4" s="18" t="s">
        <v>3</v>
      </c>
      <c r="BJ4" s="16" t="s">
        <v>7</v>
      </c>
      <c r="BS4" s="18" t="s">
        <v>3</v>
      </c>
      <c r="BT4" s="16" t="s">
        <v>7</v>
      </c>
      <c r="CC4" s="18" t="s">
        <v>3</v>
      </c>
      <c r="CD4" s="16" t="s">
        <v>7</v>
      </c>
      <c r="CM4" s="18" t="s">
        <v>3</v>
      </c>
      <c r="CN4" s="16" t="s">
        <v>7</v>
      </c>
      <c r="CW4" s="18" t="s">
        <v>3</v>
      </c>
      <c r="CX4" s="16" t="s">
        <v>7</v>
      </c>
    </row>
    <row r="5" spans="1:110" ht="13.5" customHeight="1" x14ac:dyDescent="0.3">
      <c r="A5" s="18" t="s">
        <v>4</v>
      </c>
      <c r="B5" s="16" t="s">
        <v>8</v>
      </c>
      <c r="K5" s="18" t="s">
        <v>4</v>
      </c>
      <c r="L5" s="16" t="s">
        <v>8</v>
      </c>
      <c r="U5" s="18" t="s">
        <v>4</v>
      </c>
      <c r="V5" s="16" t="s">
        <v>8</v>
      </c>
      <c r="AE5" s="18" t="s">
        <v>4</v>
      </c>
      <c r="AF5" s="16" t="s">
        <v>8</v>
      </c>
      <c r="AO5" s="18" t="s">
        <v>4</v>
      </c>
      <c r="AP5" s="16" t="s">
        <v>8</v>
      </c>
      <c r="AY5" s="18" t="s">
        <v>4</v>
      </c>
      <c r="AZ5" s="16" t="s">
        <v>8</v>
      </c>
      <c r="BI5" s="18" t="s">
        <v>4</v>
      </c>
      <c r="BJ5" s="16" t="s">
        <v>8</v>
      </c>
      <c r="BS5" s="18" t="s">
        <v>4</v>
      </c>
      <c r="BT5" s="16" t="s">
        <v>8</v>
      </c>
      <c r="CC5" s="18" t="s">
        <v>4</v>
      </c>
      <c r="CD5" s="16" t="s">
        <v>8</v>
      </c>
      <c r="CM5" s="18" t="s">
        <v>4</v>
      </c>
      <c r="CN5" s="16" t="s">
        <v>8</v>
      </c>
      <c r="CW5" s="18" t="s">
        <v>4</v>
      </c>
      <c r="CX5" s="16" t="s">
        <v>8</v>
      </c>
    </row>
    <row r="6" spans="1:110" ht="13.5" customHeight="1" x14ac:dyDescent="0.3">
      <c r="A6" s="18" t="s">
        <v>5</v>
      </c>
      <c r="B6" s="16" t="s">
        <v>9</v>
      </c>
      <c r="K6" s="18" t="s">
        <v>5</v>
      </c>
      <c r="L6" s="16" t="s">
        <v>9</v>
      </c>
      <c r="U6" s="18" t="s">
        <v>5</v>
      </c>
      <c r="V6" s="16" t="s">
        <v>9</v>
      </c>
      <c r="AE6" s="18" t="s">
        <v>5</v>
      </c>
      <c r="AF6" s="16" t="s">
        <v>9</v>
      </c>
      <c r="AO6" s="18" t="s">
        <v>5</v>
      </c>
      <c r="AP6" s="16" t="s">
        <v>9</v>
      </c>
      <c r="AY6" s="18" t="s">
        <v>5</v>
      </c>
      <c r="AZ6" s="16" t="s">
        <v>9</v>
      </c>
      <c r="BI6" s="18" t="s">
        <v>5</v>
      </c>
      <c r="BJ6" s="16" t="s">
        <v>9</v>
      </c>
      <c r="BS6" s="18" t="s">
        <v>5</v>
      </c>
      <c r="BT6" s="16" t="s">
        <v>9</v>
      </c>
      <c r="CC6" s="18" t="s">
        <v>5</v>
      </c>
      <c r="CD6" s="16" t="s">
        <v>9</v>
      </c>
      <c r="CM6" s="18" t="s">
        <v>5</v>
      </c>
      <c r="CN6" s="16" t="s">
        <v>9</v>
      </c>
      <c r="CW6" s="18" t="s">
        <v>5</v>
      </c>
      <c r="CX6" s="16" t="s">
        <v>9</v>
      </c>
    </row>
    <row r="7" spans="1:110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K7" s="3" t="str">
        <f ca="1">_xll.IMDT("ETP구성",L1,K8:T8,L2,L3,L4,L5,"sort="&amp;L6&amp;",DtFmt=1,TmFmt=1,Pos=20,Orient=V,Title=KODEX 장기종합채권(AA-이상)액티브")</f>
        <v>KODEX 장기종합채권(AA-이상)액티브</v>
      </c>
      <c r="U7" s="3" t="str">
        <f ca="1">_xll.IMDT("ETP구성",V1,U8:AD8,V2,V3,V4,V5,"sort="&amp;V6&amp;",DtFmt=1,TmFmt=1,Pos=20,Orient=V,Title=KODEX 국고채30년액티브")</f>
        <v>KODEX 국고채30년액티브</v>
      </c>
      <c r="AE7" s="3" t="str">
        <f ca="1">_xll.IMDT("ETP구성",AF1,AE8:AN8,AF2,AF3,AF4,AF5,"sort="&amp;AF6&amp;",DtFmt=1,TmFmt=1,Pos=20,Orient=V,Title=SOL 국고채10년")</f>
        <v>SOL 국고채10년</v>
      </c>
      <c r="AO7" s="3" t="str">
        <f ca="1">_xll.IMDT("ETP구성",AP1,AO8:AX8,AP2,AP3,AP4,AP5,"sort="&amp;AP6&amp;",DtFmt=1,TmFmt=1,Pos=20,Orient=V,Title=SOL 국고채3년")</f>
        <v>SOL 국고채3년</v>
      </c>
      <c r="AY7" s="3" t="str">
        <f ca="1">_xll.IMDT("ETP구성",AZ1,AY8:BH8,AZ2,AZ3,AZ4,AZ5,"sort="&amp;AZ6&amp;",DtFmt=1,TmFmt=1,Pos=20,Orient=V,Title=SOL 종합채권(AA-이상)액티브")</f>
        <v>SOL 종합채권(AA-이상)액티브</v>
      </c>
      <c r="BI7" s="3" t="str">
        <f ca="1">_xll.IMDT("ETP구성",BJ1,BI8:BR8,BJ2,BJ3,BJ4,BJ5,"sort="&amp;BJ6&amp;",DtFmt=1,TmFmt=1,Pos=20,Orient=V,Title=SOL 초단기채권액티브")</f>
        <v>SOL 초단기채권액티브</v>
      </c>
      <c r="BS7" s="3" t="str">
        <f ca="1">_xll.IMDT("ETP구성",BT1,BS8:CB8,BT2,BT3,BT4,BT5,"sort="&amp;BT6&amp;",DtFmt=1,TmFmt=1,Pos=20,Orient=V,Title=SOL 중단기회사채(A-이상)액티브")</f>
        <v>SOL 중단기회사채(A-이상)액티브</v>
      </c>
      <c r="CC7" s="3" t="str">
        <f ca="1">_xll.IMDT("ETP구성",CD1,CC8:CL8,CD2,CD3,CD4,CD5,"sort="&amp;CD6&amp;",DtFmt=1,TmFmt=1,Pos=20,Orient=V,Title=RISE 종합채권(A-이상)액티브")</f>
        <v>RISE 종합채권(A-이상)액티브</v>
      </c>
      <c r="CM7" s="3" t="str">
        <f ca="1">_xll.IMDT("ETP구성",CN1,CM8:CV8,CN2,CN3,CN4,CN5,"sort="&amp;CN6&amp;",DtFmt=1,TmFmt=1,Pos=20,Orient=V,Title=SOL 중기종합채권(AA-이상)액티브")</f>
        <v>SOL 중기종합채권(AA-이상)액티브</v>
      </c>
      <c r="CW7" s="3" t="str">
        <f ca="1">_xll.IMDT("ETP구성",CX1,CW8:DF8,CX2,CX3,CX4,CX5,"sort="&amp;CX6&amp;",DtFmt=1,TmFmt=1,Pos=20,Orient=V,Title=TIGER 우량회사채액티브")</f>
        <v>TIGER 우량회사채액티브</v>
      </c>
    </row>
    <row r="8" spans="1:110" ht="13.5" customHeight="1" x14ac:dyDescent="0.3">
      <c r="A8" s="18" t="s">
        <v>2</v>
      </c>
      <c r="B8" s="16" t="s">
        <v>10</v>
      </c>
      <c r="C8" s="16" t="s">
        <v>11</v>
      </c>
      <c r="D8" s="16" t="s">
        <v>12</v>
      </c>
      <c r="E8" s="16" t="s">
        <v>13</v>
      </c>
      <c r="F8" s="16" t="s">
        <v>8</v>
      </c>
      <c r="G8" s="16" t="s">
        <v>14</v>
      </c>
      <c r="H8" s="16" t="s">
        <v>15</v>
      </c>
      <c r="I8" s="16" t="s">
        <v>16</v>
      </c>
      <c r="J8" s="16" t="s">
        <v>17</v>
      </c>
      <c r="K8" s="18" t="s">
        <v>2</v>
      </c>
      <c r="L8" s="16" t="s">
        <v>10</v>
      </c>
      <c r="M8" s="16" t="s">
        <v>11</v>
      </c>
      <c r="N8" s="16" t="s">
        <v>12</v>
      </c>
      <c r="O8" s="16" t="s">
        <v>13</v>
      </c>
      <c r="P8" s="16" t="s">
        <v>8</v>
      </c>
      <c r="Q8" s="16" t="s">
        <v>14</v>
      </c>
      <c r="R8" s="16" t="s">
        <v>15</v>
      </c>
      <c r="S8" s="16" t="s">
        <v>16</v>
      </c>
      <c r="T8" s="16" t="s">
        <v>17</v>
      </c>
      <c r="U8" s="18" t="s">
        <v>2</v>
      </c>
      <c r="V8" s="16" t="s">
        <v>10</v>
      </c>
      <c r="W8" s="16" t="s">
        <v>11</v>
      </c>
      <c r="X8" s="16" t="s">
        <v>12</v>
      </c>
      <c r="Y8" s="16" t="s">
        <v>13</v>
      </c>
      <c r="Z8" s="16" t="s">
        <v>8</v>
      </c>
      <c r="AA8" s="16" t="s">
        <v>14</v>
      </c>
      <c r="AB8" s="16" t="s">
        <v>15</v>
      </c>
      <c r="AC8" s="16" t="s">
        <v>16</v>
      </c>
      <c r="AD8" s="16" t="s">
        <v>17</v>
      </c>
      <c r="AE8" s="18" t="s">
        <v>2</v>
      </c>
      <c r="AF8" s="16" t="s">
        <v>10</v>
      </c>
      <c r="AG8" s="16" t="s">
        <v>11</v>
      </c>
      <c r="AH8" s="16" t="s">
        <v>12</v>
      </c>
      <c r="AI8" s="16" t="s">
        <v>13</v>
      </c>
      <c r="AJ8" s="16" t="s">
        <v>8</v>
      </c>
      <c r="AK8" s="16" t="s">
        <v>14</v>
      </c>
      <c r="AL8" s="16" t="s">
        <v>15</v>
      </c>
      <c r="AM8" s="16" t="s">
        <v>16</v>
      </c>
      <c r="AN8" s="16" t="s">
        <v>17</v>
      </c>
      <c r="AO8" s="18" t="s">
        <v>2</v>
      </c>
      <c r="AP8" s="16" t="s">
        <v>10</v>
      </c>
      <c r="AQ8" s="16" t="s">
        <v>11</v>
      </c>
      <c r="AR8" s="16" t="s">
        <v>12</v>
      </c>
      <c r="AS8" s="16" t="s">
        <v>13</v>
      </c>
      <c r="AT8" s="16" t="s">
        <v>8</v>
      </c>
      <c r="AU8" s="16" t="s">
        <v>14</v>
      </c>
      <c r="AV8" s="16" t="s">
        <v>15</v>
      </c>
      <c r="AW8" s="16" t="s">
        <v>16</v>
      </c>
      <c r="AX8" s="16" t="s">
        <v>17</v>
      </c>
      <c r="AY8" s="18" t="s">
        <v>2</v>
      </c>
      <c r="AZ8" s="16" t="s">
        <v>10</v>
      </c>
      <c r="BA8" s="16" t="s">
        <v>11</v>
      </c>
      <c r="BB8" s="16" t="s">
        <v>12</v>
      </c>
      <c r="BC8" s="16" t="s">
        <v>13</v>
      </c>
      <c r="BD8" s="16" t="s">
        <v>8</v>
      </c>
      <c r="BE8" s="16" t="s">
        <v>14</v>
      </c>
      <c r="BF8" s="16" t="s">
        <v>15</v>
      </c>
      <c r="BG8" s="16" t="s">
        <v>16</v>
      </c>
      <c r="BH8" s="16" t="s">
        <v>17</v>
      </c>
      <c r="BI8" s="18" t="s">
        <v>2</v>
      </c>
      <c r="BJ8" s="16" t="s">
        <v>10</v>
      </c>
      <c r="BK8" s="16" t="s">
        <v>11</v>
      </c>
      <c r="BL8" s="16" t="s">
        <v>12</v>
      </c>
      <c r="BM8" s="16" t="s">
        <v>13</v>
      </c>
      <c r="BN8" s="16" t="s">
        <v>8</v>
      </c>
      <c r="BO8" s="16" t="s">
        <v>14</v>
      </c>
      <c r="BP8" s="16" t="s">
        <v>15</v>
      </c>
      <c r="BQ8" s="16" t="s">
        <v>16</v>
      </c>
      <c r="BR8" s="16" t="s">
        <v>17</v>
      </c>
      <c r="BS8" s="18" t="s">
        <v>2</v>
      </c>
      <c r="BT8" s="16" t="s">
        <v>10</v>
      </c>
      <c r="BU8" s="16" t="s">
        <v>11</v>
      </c>
      <c r="BV8" s="16" t="s">
        <v>12</v>
      </c>
      <c r="BW8" s="16" t="s">
        <v>13</v>
      </c>
      <c r="BX8" s="16" t="s">
        <v>8</v>
      </c>
      <c r="BY8" s="16" t="s">
        <v>14</v>
      </c>
      <c r="BZ8" s="16" t="s">
        <v>15</v>
      </c>
      <c r="CA8" s="16" t="s">
        <v>16</v>
      </c>
      <c r="CB8" s="16" t="s">
        <v>17</v>
      </c>
      <c r="CC8" s="18" t="s">
        <v>2</v>
      </c>
      <c r="CD8" s="16" t="s">
        <v>10</v>
      </c>
      <c r="CE8" s="16" t="s">
        <v>11</v>
      </c>
      <c r="CF8" s="16" t="s">
        <v>12</v>
      </c>
      <c r="CG8" s="16" t="s">
        <v>13</v>
      </c>
      <c r="CH8" s="16" t="s">
        <v>8</v>
      </c>
      <c r="CI8" s="16" t="s">
        <v>14</v>
      </c>
      <c r="CJ8" s="16" t="s">
        <v>15</v>
      </c>
      <c r="CK8" s="16" t="s">
        <v>16</v>
      </c>
      <c r="CL8" s="16" t="s">
        <v>17</v>
      </c>
      <c r="CM8" s="18" t="s">
        <v>2</v>
      </c>
      <c r="CN8" s="16" t="s">
        <v>10</v>
      </c>
      <c r="CO8" s="16" t="s">
        <v>11</v>
      </c>
      <c r="CP8" s="16" t="s">
        <v>12</v>
      </c>
      <c r="CQ8" s="16" t="s">
        <v>13</v>
      </c>
      <c r="CR8" s="16" t="s">
        <v>8</v>
      </c>
      <c r="CS8" s="16" t="s">
        <v>14</v>
      </c>
      <c r="CT8" s="16" t="s">
        <v>15</v>
      </c>
      <c r="CU8" s="16" t="s">
        <v>16</v>
      </c>
      <c r="CV8" s="16" t="s">
        <v>17</v>
      </c>
      <c r="CW8" s="18" t="s">
        <v>2</v>
      </c>
      <c r="CX8" s="16" t="s">
        <v>10</v>
      </c>
      <c r="CY8" s="16" t="s">
        <v>11</v>
      </c>
      <c r="CZ8" s="16" t="s">
        <v>12</v>
      </c>
      <c r="DA8" s="16" t="s">
        <v>13</v>
      </c>
      <c r="DB8" s="16" t="s">
        <v>8</v>
      </c>
      <c r="DC8" s="16" t="s">
        <v>14</v>
      </c>
      <c r="DD8" s="16" t="s">
        <v>15</v>
      </c>
      <c r="DE8" s="16" t="s">
        <v>16</v>
      </c>
      <c r="DF8" s="16" t="s">
        <v>17</v>
      </c>
    </row>
    <row r="9" spans="1:110" ht="13.5" customHeight="1" x14ac:dyDescent="0.3">
      <c r="A9" s="2">
        <v>46197</v>
      </c>
      <c r="B9" s="3" t="s">
        <v>49</v>
      </c>
      <c r="C9" s="3" t="s">
        <v>50</v>
      </c>
      <c r="D9" s="3" t="s">
        <v>51</v>
      </c>
      <c r="E9" s="3">
        <v>0</v>
      </c>
      <c r="F9" s="3">
        <v>3.57</v>
      </c>
      <c r="G9" s="3">
        <v>0</v>
      </c>
      <c r="H9" s="3">
        <v>3976897</v>
      </c>
      <c r="I9" s="3">
        <v>8764.99</v>
      </c>
      <c r="J9" s="3">
        <v>17.244399999999999</v>
      </c>
      <c r="K9" s="2">
        <v>46197</v>
      </c>
      <c r="L9" s="3" t="s">
        <v>33</v>
      </c>
      <c r="M9" s="3" t="s">
        <v>29</v>
      </c>
      <c r="N9" s="3" t="s">
        <v>34</v>
      </c>
      <c r="O9" s="3">
        <v>0</v>
      </c>
      <c r="P9" s="3">
        <v>8.84</v>
      </c>
      <c r="Q9" s="3">
        <v>0</v>
      </c>
      <c r="R9" s="3">
        <v>10355633</v>
      </c>
      <c r="S9" s="3">
        <v>9228.02</v>
      </c>
      <c r="T9" s="3">
        <v>7.3311999999999999</v>
      </c>
      <c r="U9" s="2">
        <v>46197</v>
      </c>
      <c r="V9" s="3" t="s">
        <v>49</v>
      </c>
      <c r="W9" s="3" t="s">
        <v>50</v>
      </c>
      <c r="X9" s="3" t="s">
        <v>51</v>
      </c>
      <c r="Y9" s="3">
        <v>0</v>
      </c>
      <c r="Z9" s="3">
        <v>22.67</v>
      </c>
      <c r="AA9" s="3">
        <v>0</v>
      </c>
      <c r="AB9" s="3">
        <v>33980576</v>
      </c>
      <c r="AC9" s="3">
        <v>8764.99</v>
      </c>
      <c r="AD9" s="3">
        <v>17.244399999999999</v>
      </c>
      <c r="AE9" s="2">
        <v>46197</v>
      </c>
      <c r="AF9" s="3" t="s">
        <v>28</v>
      </c>
      <c r="AG9" s="3" t="s">
        <v>29</v>
      </c>
      <c r="AH9" s="3" t="s">
        <v>30</v>
      </c>
      <c r="AI9" s="3">
        <v>0</v>
      </c>
      <c r="AJ9" s="3">
        <v>35.21</v>
      </c>
      <c r="AK9" s="3">
        <v>0</v>
      </c>
      <c r="AL9" s="3">
        <v>36273077</v>
      </c>
      <c r="AM9" s="3">
        <v>9310.09</v>
      </c>
      <c r="AN9" s="3">
        <v>7.9903000000000004</v>
      </c>
      <c r="AO9" s="2">
        <v>46197</v>
      </c>
      <c r="AP9" s="3" t="s">
        <v>133</v>
      </c>
      <c r="AQ9" s="3" t="s">
        <v>50</v>
      </c>
      <c r="AR9" s="3" t="s">
        <v>134</v>
      </c>
      <c r="AS9" s="3">
        <v>0</v>
      </c>
      <c r="AT9" s="3">
        <v>38.270000000000003</v>
      </c>
      <c r="AU9" s="3">
        <v>0</v>
      </c>
      <c r="AV9" s="3">
        <v>39832147</v>
      </c>
      <c r="AW9" s="3">
        <v>9792.18</v>
      </c>
      <c r="AX9" s="3">
        <v>2.3527</v>
      </c>
      <c r="AY9" s="2">
        <v>46197</v>
      </c>
      <c r="AZ9" s="3" t="s">
        <v>49</v>
      </c>
      <c r="BA9" s="3" t="s">
        <v>50</v>
      </c>
      <c r="BB9" s="3" t="s">
        <v>51</v>
      </c>
      <c r="BC9" s="3">
        <v>0</v>
      </c>
      <c r="BD9" s="3">
        <v>5.16</v>
      </c>
      <c r="BE9" s="3">
        <v>0</v>
      </c>
      <c r="BF9" s="3">
        <v>6487615</v>
      </c>
      <c r="BG9" s="3">
        <v>8764.99</v>
      </c>
      <c r="BH9" s="3">
        <v>17.244399999999999</v>
      </c>
      <c r="BI9" s="2">
        <v>46197</v>
      </c>
      <c r="BJ9" s="3" t="s">
        <v>945</v>
      </c>
      <c r="BK9" s="3" t="s">
        <v>946</v>
      </c>
      <c r="BL9" s="3" t="s">
        <v>947</v>
      </c>
      <c r="BM9" s="3">
        <v>0</v>
      </c>
      <c r="BN9" s="3">
        <v>3.23</v>
      </c>
      <c r="BO9" s="3">
        <v>0</v>
      </c>
      <c r="BP9" s="3">
        <v>4246523</v>
      </c>
      <c r="BS9" s="2">
        <v>46197</v>
      </c>
      <c r="BT9" s="3" t="s">
        <v>593</v>
      </c>
      <c r="BU9" s="3" t="s">
        <v>594</v>
      </c>
      <c r="BV9" s="3" t="s">
        <v>595</v>
      </c>
      <c r="BW9" s="3">
        <v>0</v>
      </c>
      <c r="BX9" s="3">
        <v>4.82</v>
      </c>
      <c r="BY9" s="3">
        <v>0</v>
      </c>
      <c r="BZ9" s="3">
        <v>4924192</v>
      </c>
      <c r="CA9" s="3">
        <v>9771.26</v>
      </c>
      <c r="CB9" s="3">
        <v>1.8459000000000001</v>
      </c>
      <c r="CC9" s="2">
        <v>46197</v>
      </c>
      <c r="CD9" s="3" t="s">
        <v>49</v>
      </c>
      <c r="CE9" s="3" t="s">
        <v>50</v>
      </c>
      <c r="CF9" s="3" t="s">
        <v>142</v>
      </c>
      <c r="CG9" s="3">
        <v>0</v>
      </c>
      <c r="CH9" s="3">
        <v>5.96</v>
      </c>
      <c r="CI9" s="3">
        <v>0</v>
      </c>
      <c r="CJ9" s="3">
        <v>8748940</v>
      </c>
      <c r="CK9" s="3">
        <v>8764.99</v>
      </c>
      <c r="CL9" s="3">
        <v>17.244399999999999</v>
      </c>
      <c r="CM9" s="2">
        <v>46197</v>
      </c>
      <c r="CN9" s="3" t="s">
        <v>133</v>
      </c>
      <c r="CO9" s="3" t="s">
        <v>50</v>
      </c>
      <c r="CP9" s="3" t="s">
        <v>134</v>
      </c>
      <c r="CQ9" s="3">
        <v>0</v>
      </c>
      <c r="CR9" s="3">
        <v>21</v>
      </c>
      <c r="CS9" s="3">
        <v>0</v>
      </c>
      <c r="CT9" s="3">
        <v>21229658</v>
      </c>
      <c r="CU9" s="3">
        <v>9792.18</v>
      </c>
      <c r="CV9" s="3">
        <v>2.3527</v>
      </c>
      <c r="CW9" s="2">
        <v>46197</v>
      </c>
      <c r="CX9" s="3" t="s">
        <v>35</v>
      </c>
      <c r="CY9" s="3" t="s">
        <v>36</v>
      </c>
      <c r="CZ9" s="3" t="s">
        <v>1187</v>
      </c>
      <c r="DA9" s="3">
        <v>0</v>
      </c>
      <c r="DB9" s="3">
        <v>4.93</v>
      </c>
      <c r="DC9" s="3">
        <v>-0.11</v>
      </c>
      <c r="DD9" s="3">
        <v>-11482856</v>
      </c>
    </row>
    <row r="10" spans="1:110" ht="13.5" customHeight="1" x14ac:dyDescent="0.3">
      <c r="A10" s="2">
        <v>46197</v>
      </c>
      <c r="B10" s="3" t="s">
        <v>70</v>
      </c>
      <c r="C10" s="3" t="s">
        <v>29</v>
      </c>
      <c r="D10" s="3" t="s">
        <v>71</v>
      </c>
      <c r="E10" s="3">
        <v>0</v>
      </c>
      <c r="F10" s="3">
        <v>2.4900000000000002</v>
      </c>
      <c r="G10" s="3">
        <v>0</v>
      </c>
      <c r="H10" s="3">
        <v>2773181</v>
      </c>
      <c r="I10" s="3">
        <v>6348.82</v>
      </c>
      <c r="J10" s="3">
        <v>17.7789</v>
      </c>
      <c r="K10" s="2">
        <v>46197</v>
      </c>
      <c r="L10" s="3" t="s">
        <v>47</v>
      </c>
      <c r="M10" s="3" t="s">
        <v>29</v>
      </c>
      <c r="N10" s="3" t="s">
        <v>48</v>
      </c>
      <c r="O10" s="3">
        <v>0</v>
      </c>
      <c r="P10" s="3">
        <v>7.99</v>
      </c>
      <c r="Q10" s="3">
        <v>0</v>
      </c>
      <c r="R10" s="3">
        <v>9353035</v>
      </c>
      <c r="S10" s="3">
        <v>7318.07</v>
      </c>
      <c r="T10" s="3">
        <v>18.063800000000001</v>
      </c>
      <c r="U10" s="2">
        <v>46197</v>
      </c>
      <c r="V10" s="3" t="s">
        <v>35</v>
      </c>
      <c r="W10" s="3" t="s">
        <v>36</v>
      </c>
      <c r="X10" s="3" t="s">
        <v>37</v>
      </c>
      <c r="Y10" s="3">
        <v>0</v>
      </c>
      <c r="Z10" s="3">
        <v>9.9499999999999993</v>
      </c>
      <c r="AA10" s="3">
        <v>-0.14000000000000001</v>
      </c>
      <c r="AB10" s="3">
        <v>-14912800</v>
      </c>
      <c r="AE10" s="2">
        <v>46197</v>
      </c>
      <c r="AF10" s="3" t="s">
        <v>31</v>
      </c>
      <c r="AG10" s="3" t="s">
        <v>29</v>
      </c>
      <c r="AH10" s="3" t="s">
        <v>32</v>
      </c>
      <c r="AI10" s="3">
        <v>0</v>
      </c>
      <c r="AJ10" s="3">
        <v>34.82</v>
      </c>
      <c r="AK10" s="3">
        <v>0</v>
      </c>
      <c r="AL10" s="3">
        <v>35867566</v>
      </c>
      <c r="AM10" s="3">
        <v>8888.56</v>
      </c>
      <c r="AN10" s="3">
        <v>7.8056000000000001</v>
      </c>
      <c r="AO10" s="2">
        <v>46197</v>
      </c>
      <c r="AP10" s="3" t="s">
        <v>68</v>
      </c>
      <c r="AQ10" s="3" t="s">
        <v>56</v>
      </c>
      <c r="AR10" s="3" t="s">
        <v>69</v>
      </c>
      <c r="AS10" s="3">
        <v>0</v>
      </c>
      <c r="AT10" s="3">
        <v>29.43</v>
      </c>
      <c r="AU10" s="3">
        <v>0</v>
      </c>
      <c r="AV10" s="3">
        <v>30627398</v>
      </c>
      <c r="AW10" s="3">
        <v>9827.4</v>
      </c>
      <c r="AX10" s="3">
        <v>4.2638999999999996</v>
      </c>
      <c r="AY10" s="2">
        <v>46197</v>
      </c>
      <c r="AZ10" s="3" t="s">
        <v>28</v>
      </c>
      <c r="BA10" s="3" t="s">
        <v>29</v>
      </c>
      <c r="BB10" s="3" t="s">
        <v>30</v>
      </c>
      <c r="BC10" s="3">
        <v>0</v>
      </c>
      <c r="BD10" s="3">
        <v>2.56</v>
      </c>
      <c r="BE10" s="3">
        <v>0</v>
      </c>
      <c r="BF10" s="3">
        <v>3221024</v>
      </c>
      <c r="BG10" s="3">
        <v>9310.09</v>
      </c>
      <c r="BH10" s="3">
        <v>7.9903000000000004</v>
      </c>
      <c r="BI10" s="2">
        <v>46197</v>
      </c>
      <c r="BJ10" s="3" t="s">
        <v>948</v>
      </c>
      <c r="BK10" s="3" t="s">
        <v>949</v>
      </c>
      <c r="BL10" s="3" t="s">
        <v>950</v>
      </c>
      <c r="BM10" s="3">
        <v>0</v>
      </c>
      <c r="BN10" s="3">
        <v>2.11</v>
      </c>
      <c r="BO10" s="3">
        <v>0</v>
      </c>
      <c r="BP10" s="3">
        <v>2773345</v>
      </c>
      <c r="BS10" s="2">
        <v>46197</v>
      </c>
      <c r="BT10" s="3" t="s">
        <v>596</v>
      </c>
      <c r="BU10" s="3" t="s">
        <v>597</v>
      </c>
      <c r="BV10" s="3" t="s">
        <v>598</v>
      </c>
      <c r="BW10" s="3">
        <v>0</v>
      </c>
      <c r="BX10" s="3">
        <v>2.4900000000000002</v>
      </c>
      <c r="BY10" s="3">
        <v>0</v>
      </c>
      <c r="BZ10" s="3">
        <v>2539029</v>
      </c>
      <c r="CA10" s="3">
        <v>9982.61</v>
      </c>
      <c r="CB10" s="3">
        <v>0.40889999999999999</v>
      </c>
      <c r="CC10" s="2">
        <v>46197</v>
      </c>
      <c r="CD10" s="3" t="s">
        <v>68</v>
      </c>
      <c r="CE10" s="3" t="s">
        <v>56</v>
      </c>
      <c r="CF10" s="3" t="s">
        <v>143</v>
      </c>
      <c r="CG10" s="3">
        <v>0</v>
      </c>
      <c r="CH10" s="3">
        <v>2.04</v>
      </c>
      <c r="CI10" s="3">
        <v>0</v>
      </c>
      <c r="CJ10" s="3">
        <v>2999112</v>
      </c>
      <c r="CK10" s="3">
        <v>9827.4</v>
      </c>
      <c r="CL10" s="3">
        <v>4.2638999999999996</v>
      </c>
      <c r="CM10" s="2">
        <v>46197</v>
      </c>
      <c r="CN10" s="3" t="s">
        <v>555</v>
      </c>
      <c r="CO10" s="3" t="s">
        <v>73</v>
      </c>
      <c r="CP10" s="3" t="s">
        <v>556</v>
      </c>
      <c r="CQ10" s="3">
        <v>0</v>
      </c>
      <c r="CR10" s="3">
        <v>15.76</v>
      </c>
      <c r="CS10" s="3">
        <v>0</v>
      </c>
      <c r="CT10" s="3">
        <v>15935886</v>
      </c>
      <c r="CU10" s="3">
        <v>9800.43</v>
      </c>
      <c r="CV10" s="3">
        <v>2.5937999999999999</v>
      </c>
      <c r="CW10" s="2">
        <v>46197</v>
      </c>
      <c r="CX10" s="3" t="s">
        <v>137</v>
      </c>
      <c r="CY10" s="3" t="s">
        <v>138</v>
      </c>
      <c r="CZ10" s="3" t="s">
        <v>1188</v>
      </c>
      <c r="DA10" s="3">
        <v>0</v>
      </c>
      <c r="DB10" s="3">
        <v>3.85</v>
      </c>
      <c r="DC10" s="3">
        <v>0.09</v>
      </c>
      <c r="DD10" s="3">
        <v>8973913</v>
      </c>
    </row>
    <row r="11" spans="1:110" ht="13.5" customHeight="1" x14ac:dyDescent="0.3">
      <c r="A11" s="2">
        <v>46197</v>
      </c>
      <c r="B11" s="3" t="s">
        <v>79</v>
      </c>
      <c r="C11" s="3" t="s">
        <v>29</v>
      </c>
      <c r="D11" s="3" t="s">
        <v>80</v>
      </c>
      <c r="E11" s="3">
        <v>0</v>
      </c>
      <c r="F11" s="3">
        <v>1.91</v>
      </c>
      <c r="G11" s="3">
        <v>0</v>
      </c>
      <c r="H11" s="3">
        <v>2129673</v>
      </c>
      <c r="I11" s="3">
        <v>8990.59</v>
      </c>
      <c r="J11" s="3">
        <v>16.330300000000001</v>
      </c>
      <c r="K11" s="2">
        <v>46197</v>
      </c>
      <c r="L11" s="3" t="s">
        <v>49</v>
      </c>
      <c r="M11" s="3" t="s">
        <v>50</v>
      </c>
      <c r="N11" s="3" t="s">
        <v>51</v>
      </c>
      <c r="O11" s="3">
        <v>0</v>
      </c>
      <c r="P11" s="3">
        <v>6.53</v>
      </c>
      <c r="Q11" s="3">
        <v>0</v>
      </c>
      <c r="R11" s="3">
        <v>7650241</v>
      </c>
      <c r="S11" s="3">
        <v>8764.99</v>
      </c>
      <c r="T11" s="3">
        <v>17.244399999999999</v>
      </c>
      <c r="U11" s="2">
        <v>46197</v>
      </c>
      <c r="V11" s="3" t="s">
        <v>62</v>
      </c>
      <c r="W11" s="3" t="s">
        <v>63</v>
      </c>
      <c r="X11" s="3" t="s">
        <v>64</v>
      </c>
      <c r="Y11" s="3">
        <v>0</v>
      </c>
      <c r="Z11" s="3">
        <v>8.58</v>
      </c>
      <c r="AA11" s="3">
        <v>0</v>
      </c>
      <c r="AB11" s="3">
        <v>12862622</v>
      </c>
      <c r="AC11" s="3">
        <v>8294.31</v>
      </c>
      <c r="AD11" s="3">
        <v>13.3939</v>
      </c>
      <c r="AE11" s="2">
        <v>46197</v>
      </c>
      <c r="AF11" s="3" t="s">
        <v>33</v>
      </c>
      <c r="AG11" s="3" t="s">
        <v>29</v>
      </c>
      <c r="AH11" s="3" t="s">
        <v>34</v>
      </c>
      <c r="AI11" s="3">
        <v>0</v>
      </c>
      <c r="AJ11" s="3">
        <v>16.87</v>
      </c>
      <c r="AK11" s="3">
        <v>0</v>
      </c>
      <c r="AL11" s="3">
        <v>17377440</v>
      </c>
      <c r="AM11" s="3">
        <v>9228.02</v>
      </c>
      <c r="AN11" s="3">
        <v>7.3311999999999999</v>
      </c>
      <c r="AO11" s="2">
        <v>46197</v>
      </c>
      <c r="AP11" s="3" t="s">
        <v>135</v>
      </c>
      <c r="AQ11" s="3" t="s">
        <v>50</v>
      </c>
      <c r="AR11" s="3" t="s">
        <v>136</v>
      </c>
      <c r="AS11" s="3">
        <v>0</v>
      </c>
      <c r="AT11" s="3">
        <v>21.84</v>
      </c>
      <c r="AU11" s="3">
        <v>0</v>
      </c>
      <c r="AV11" s="3">
        <v>22729590</v>
      </c>
      <c r="AW11" s="3">
        <v>9752.51</v>
      </c>
      <c r="AX11" s="3">
        <v>1.8956</v>
      </c>
      <c r="AY11" s="2">
        <v>46197</v>
      </c>
      <c r="AZ11" s="3" t="s">
        <v>126</v>
      </c>
      <c r="BA11" s="3" t="s">
        <v>29</v>
      </c>
      <c r="BB11" s="3" t="s">
        <v>127</v>
      </c>
      <c r="BC11" s="3">
        <v>0</v>
      </c>
      <c r="BD11" s="3">
        <v>2.5299999999999998</v>
      </c>
      <c r="BE11" s="3">
        <v>0</v>
      </c>
      <c r="BF11" s="3">
        <v>3188106</v>
      </c>
      <c r="BG11" s="3">
        <v>9072.1200000000008</v>
      </c>
      <c r="BH11" s="3">
        <v>3.7886000000000002</v>
      </c>
      <c r="BI11" s="2">
        <v>46197</v>
      </c>
      <c r="BJ11" s="3" t="s">
        <v>951</v>
      </c>
      <c r="BK11" s="3" t="s">
        <v>952</v>
      </c>
      <c r="BL11" s="3" t="s">
        <v>953</v>
      </c>
      <c r="BM11" s="3">
        <v>0</v>
      </c>
      <c r="BN11" s="3">
        <v>1.79</v>
      </c>
      <c r="BO11" s="3">
        <v>0</v>
      </c>
      <c r="BP11" s="3">
        <v>2350818</v>
      </c>
      <c r="BS11" s="2">
        <v>46197</v>
      </c>
      <c r="BT11" s="3" t="s">
        <v>599</v>
      </c>
      <c r="BU11" s="3" t="s">
        <v>600</v>
      </c>
      <c r="BV11" s="3" t="s">
        <v>601</v>
      </c>
      <c r="BW11" s="3">
        <v>0</v>
      </c>
      <c r="BX11" s="3">
        <v>2.48</v>
      </c>
      <c r="BY11" s="3">
        <v>0</v>
      </c>
      <c r="BZ11" s="3">
        <v>2535688</v>
      </c>
      <c r="CA11" s="3">
        <v>10064.1</v>
      </c>
      <c r="CB11" s="3">
        <v>0.34520000000000001</v>
      </c>
      <c r="CC11" s="2">
        <v>46197</v>
      </c>
      <c r="CD11" s="3" t="s">
        <v>47</v>
      </c>
      <c r="CE11" s="3" t="s">
        <v>29</v>
      </c>
      <c r="CF11" s="3" t="s">
        <v>144</v>
      </c>
      <c r="CG11" s="3">
        <v>0</v>
      </c>
      <c r="CH11" s="3">
        <v>1.23</v>
      </c>
      <c r="CI11" s="3">
        <v>0</v>
      </c>
      <c r="CJ11" s="3">
        <v>1805579</v>
      </c>
      <c r="CK11" s="3">
        <v>7318.07</v>
      </c>
      <c r="CL11" s="3">
        <v>18.063800000000001</v>
      </c>
      <c r="CM11" s="2">
        <v>46197</v>
      </c>
      <c r="CN11" s="3" t="s">
        <v>531</v>
      </c>
      <c r="CO11" s="3" t="s">
        <v>532</v>
      </c>
      <c r="CP11" s="3" t="s">
        <v>533</v>
      </c>
      <c r="CQ11" s="3">
        <v>0</v>
      </c>
      <c r="CR11" s="3">
        <v>7.94</v>
      </c>
      <c r="CS11" s="3">
        <v>0</v>
      </c>
      <c r="CT11" s="3">
        <v>8026861</v>
      </c>
      <c r="CU11" s="3">
        <v>9874.5</v>
      </c>
      <c r="CV11" s="3">
        <v>2.3641000000000001</v>
      </c>
      <c r="CW11" s="2">
        <v>46197</v>
      </c>
      <c r="CX11" s="3" t="s">
        <v>1189</v>
      </c>
      <c r="CY11" s="3" t="s">
        <v>1190</v>
      </c>
      <c r="CZ11" s="3" t="s">
        <v>1191</v>
      </c>
      <c r="DA11" s="3">
        <v>101265</v>
      </c>
      <c r="DB11" s="3">
        <v>1.8</v>
      </c>
      <c r="DC11" s="3">
        <v>41.49</v>
      </c>
      <c r="DD11" s="3">
        <v>4200988</v>
      </c>
    </row>
    <row r="12" spans="1:110" ht="13.5" customHeight="1" x14ac:dyDescent="0.3">
      <c r="A12" s="2">
        <v>46197</v>
      </c>
      <c r="B12" s="3" t="s">
        <v>220</v>
      </c>
      <c r="C12" s="3" t="s">
        <v>29</v>
      </c>
      <c r="D12" s="3" t="s">
        <v>743</v>
      </c>
      <c r="E12" s="3">
        <v>0</v>
      </c>
      <c r="F12" s="3">
        <v>1.25</v>
      </c>
      <c r="G12" s="3">
        <v>0</v>
      </c>
      <c r="H12" s="3">
        <v>1388614</v>
      </c>
      <c r="I12" s="3">
        <v>8321.34</v>
      </c>
      <c r="J12" s="3">
        <v>10.180199999999999</v>
      </c>
      <c r="K12" s="2">
        <v>46197</v>
      </c>
      <c r="L12" s="3" t="s">
        <v>28</v>
      </c>
      <c r="M12" s="3" t="s">
        <v>29</v>
      </c>
      <c r="N12" s="3" t="s">
        <v>30</v>
      </c>
      <c r="O12" s="3">
        <v>0</v>
      </c>
      <c r="P12" s="3">
        <v>6.44</v>
      </c>
      <c r="Q12" s="3">
        <v>0</v>
      </c>
      <c r="R12" s="3">
        <v>7545584</v>
      </c>
      <c r="S12" s="3">
        <v>9310.09</v>
      </c>
      <c r="T12" s="3">
        <v>7.9903000000000004</v>
      </c>
      <c r="U12" s="2">
        <v>46197</v>
      </c>
      <c r="V12" s="3" t="s">
        <v>732</v>
      </c>
      <c r="W12" s="3" t="s">
        <v>29</v>
      </c>
      <c r="X12" s="3" t="s">
        <v>733</v>
      </c>
      <c r="Y12" s="3">
        <v>0</v>
      </c>
      <c r="Z12" s="3">
        <v>5.74</v>
      </c>
      <c r="AA12" s="3">
        <v>0</v>
      </c>
      <c r="AB12" s="3">
        <v>8603545</v>
      </c>
      <c r="AC12" s="3">
        <v>7707.56</v>
      </c>
      <c r="AD12" s="3">
        <v>15.328900000000001</v>
      </c>
      <c r="AE12" s="2">
        <v>46197</v>
      </c>
      <c r="AF12" s="3" t="s">
        <v>35</v>
      </c>
      <c r="AG12" s="3" t="s">
        <v>36</v>
      </c>
      <c r="AH12" s="3" t="s">
        <v>37</v>
      </c>
      <c r="AI12" s="3">
        <v>0</v>
      </c>
      <c r="AJ12" s="3">
        <v>4.1399999999999997</v>
      </c>
      <c r="AK12" s="3">
        <v>0.04</v>
      </c>
      <c r="AL12" s="3">
        <v>4260800</v>
      </c>
      <c r="AO12" s="2">
        <v>46197</v>
      </c>
      <c r="AP12" s="3" t="s">
        <v>137</v>
      </c>
      <c r="AQ12" s="3" t="s">
        <v>138</v>
      </c>
      <c r="AR12" s="3" t="s">
        <v>139</v>
      </c>
      <c r="AS12" s="3">
        <v>0</v>
      </c>
      <c r="AT12" s="3">
        <v>3.96</v>
      </c>
      <c r="AU12" s="3">
        <v>0.04</v>
      </c>
      <c r="AV12" s="3">
        <v>4121200</v>
      </c>
      <c r="AY12" s="2">
        <v>46197</v>
      </c>
      <c r="AZ12" s="3" t="s">
        <v>47</v>
      </c>
      <c r="BA12" s="3" t="s">
        <v>29</v>
      </c>
      <c r="BB12" s="3" t="s">
        <v>48</v>
      </c>
      <c r="BC12" s="3">
        <v>0</v>
      </c>
      <c r="BD12" s="3">
        <v>2.36</v>
      </c>
      <c r="BE12" s="3">
        <v>0</v>
      </c>
      <c r="BF12" s="3">
        <v>2972106</v>
      </c>
      <c r="BG12" s="3">
        <v>7318.07</v>
      </c>
      <c r="BH12" s="3">
        <v>18.063800000000001</v>
      </c>
      <c r="BI12" s="2">
        <v>46197</v>
      </c>
      <c r="BJ12" s="3" t="s">
        <v>954</v>
      </c>
      <c r="BK12" s="3" t="s">
        <v>955</v>
      </c>
      <c r="BL12" s="3" t="s">
        <v>956</v>
      </c>
      <c r="BM12" s="3">
        <v>0</v>
      </c>
      <c r="BN12" s="3">
        <v>1.77</v>
      </c>
      <c r="BO12" s="3">
        <v>0</v>
      </c>
      <c r="BP12" s="3">
        <v>2327315</v>
      </c>
      <c r="BS12" s="2">
        <v>46197</v>
      </c>
      <c r="BT12" s="3" t="s">
        <v>602</v>
      </c>
      <c r="BU12" s="3" t="s">
        <v>603</v>
      </c>
      <c r="BV12" s="3" t="s">
        <v>604</v>
      </c>
      <c r="BW12" s="3">
        <v>0</v>
      </c>
      <c r="BX12" s="3">
        <v>2.48</v>
      </c>
      <c r="BY12" s="3">
        <v>0</v>
      </c>
      <c r="BZ12" s="3">
        <v>2534890</v>
      </c>
      <c r="CA12" s="3">
        <v>10060.94</v>
      </c>
      <c r="CB12" s="3">
        <v>8.2400000000000001E-2</v>
      </c>
      <c r="CC12" s="2">
        <v>46197</v>
      </c>
      <c r="CD12" s="3" t="s">
        <v>60</v>
      </c>
      <c r="CE12" s="3" t="s">
        <v>56</v>
      </c>
      <c r="CF12" s="3" t="s">
        <v>145</v>
      </c>
      <c r="CG12" s="3">
        <v>0</v>
      </c>
      <c r="CH12" s="3">
        <v>1.22</v>
      </c>
      <c r="CI12" s="3">
        <v>0</v>
      </c>
      <c r="CJ12" s="3">
        <v>1785343</v>
      </c>
      <c r="CK12" s="3">
        <v>9506.6</v>
      </c>
      <c r="CL12" s="3">
        <v>3.9123000000000001</v>
      </c>
      <c r="CM12" s="2">
        <v>46197</v>
      </c>
      <c r="CN12" s="3" t="s">
        <v>68</v>
      </c>
      <c r="CO12" s="3" t="s">
        <v>56</v>
      </c>
      <c r="CP12" s="3" t="s">
        <v>69</v>
      </c>
      <c r="CQ12" s="3">
        <v>0</v>
      </c>
      <c r="CR12" s="3">
        <v>7.9</v>
      </c>
      <c r="CS12" s="3">
        <v>0</v>
      </c>
      <c r="CT12" s="3">
        <v>7989755</v>
      </c>
      <c r="CU12" s="3">
        <v>9827.4</v>
      </c>
      <c r="CV12" s="3">
        <v>4.2638999999999996</v>
      </c>
      <c r="CW12" s="2">
        <v>46197</v>
      </c>
      <c r="CX12" s="3" t="s">
        <v>1192</v>
      </c>
      <c r="CY12" s="3" t="s">
        <v>448</v>
      </c>
      <c r="CZ12" s="3" t="s">
        <v>1193</v>
      </c>
      <c r="DA12" s="3">
        <v>0</v>
      </c>
      <c r="DB12" s="3">
        <v>1.79</v>
      </c>
      <c r="DC12" s="3">
        <v>0</v>
      </c>
      <c r="DD12" s="3">
        <v>4174142</v>
      </c>
      <c r="DE12" s="3">
        <v>10061.27</v>
      </c>
      <c r="DF12" s="3">
        <v>0.3831</v>
      </c>
    </row>
    <row r="13" spans="1:110" ht="13.5" customHeight="1" x14ac:dyDescent="0.3">
      <c r="A13" s="2">
        <v>46197</v>
      </c>
      <c r="B13" s="3" t="s">
        <v>744</v>
      </c>
      <c r="C13" s="3" t="s">
        <v>29</v>
      </c>
      <c r="D13" s="3" t="s">
        <v>745</v>
      </c>
      <c r="E13" s="3">
        <v>0</v>
      </c>
      <c r="F13" s="3">
        <v>1.17</v>
      </c>
      <c r="G13" s="3">
        <v>0</v>
      </c>
      <c r="H13" s="3">
        <v>1304391</v>
      </c>
      <c r="I13" s="3">
        <v>8332.7199999999993</v>
      </c>
      <c r="J13" s="3">
        <v>9.5428999999999995</v>
      </c>
      <c r="K13" s="2">
        <v>46197</v>
      </c>
      <c r="L13" s="3" t="s">
        <v>52</v>
      </c>
      <c r="M13" s="3" t="s">
        <v>53</v>
      </c>
      <c r="N13" s="3" t="s">
        <v>54</v>
      </c>
      <c r="O13" s="3">
        <v>0</v>
      </c>
      <c r="P13" s="3">
        <v>5.14</v>
      </c>
      <c r="Q13" s="3">
        <v>0</v>
      </c>
      <c r="R13" s="3">
        <v>6019170</v>
      </c>
      <c r="S13" s="3">
        <v>9654.5499999999993</v>
      </c>
      <c r="T13" s="3">
        <v>4.077</v>
      </c>
      <c r="U13" s="2">
        <v>46197</v>
      </c>
      <c r="V13" s="3" t="s">
        <v>77</v>
      </c>
      <c r="W13" s="3" t="s">
        <v>29</v>
      </c>
      <c r="X13" s="3" t="s">
        <v>78</v>
      </c>
      <c r="Y13" s="3">
        <v>0</v>
      </c>
      <c r="Z13" s="3">
        <v>4.76</v>
      </c>
      <c r="AA13" s="3">
        <v>0</v>
      </c>
      <c r="AB13" s="3">
        <v>7141178</v>
      </c>
      <c r="AC13" s="3">
        <v>8197.18</v>
      </c>
      <c r="AD13" s="3">
        <v>16.517900000000001</v>
      </c>
      <c r="AE13" s="2">
        <v>46197</v>
      </c>
      <c r="AF13" s="3" t="s">
        <v>38</v>
      </c>
      <c r="AG13" s="3" t="s">
        <v>29</v>
      </c>
      <c r="AH13" s="3" t="s">
        <v>39</v>
      </c>
      <c r="AI13" s="3">
        <v>0</v>
      </c>
      <c r="AJ13" s="3">
        <v>3.61</v>
      </c>
      <c r="AK13" s="3">
        <v>0</v>
      </c>
      <c r="AL13" s="3">
        <v>3717877</v>
      </c>
      <c r="AM13" s="3">
        <v>10019.719999999999</v>
      </c>
      <c r="AN13" s="3">
        <v>6.3605</v>
      </c>
      <c r="AO13" s="2">
        <v>46197</v>
      </c>
      <c r="AP13" s="3" t="s">
        <v>140</v>
      </c>
      <c r="AQ13" s="3" t="s">
        <v>50</v>
      </c>
      <c r="AR13" s="3" t="s">
        <v>141</v>
      </c>
      <c r="AS13" s="3">
        <v>0</v>
      </c>
      <c r="AT13" s="3">
        <v>1.29</v>
      </c>
      <c r="AU13" s="3">
        <v>0</v>
      </c>
      <c r="AV13" s="3">
        <v>1344511</v>
      </c>
      <c r="AW13" s="3">
        <v>9922.49</v>
      </c>
      <c r="AX13" s="3">
        <v>1.417</v>
      </c>
      <c r="AY13" s="2">
        <v>46197</v>
      </c>
      <c r="AZ13" s="3" t="s">
        <v>210</v>
      </c>
      <c r="BA13" s="3" t="s">
        <v>29</v>
      </c>
      <c r="BB13" s="3" t="s">
        <v>390</v>
      </c>
      <c r="BC13" s="3">
        <v>0</v>
      </c>
      <c r="BD13" s="3">
        <v>2.1</v>
      </c>
      <c r="BE13" s="3">
        <v>0</v>
      </c>
      <c r="BF13" s="3">
        <v>2645562</v>
      </c>
      <c r="BG13" s="3">
        <v>7301.83</v>
      </c>
      <c r="BH13" s="3">
        <v>18.233799999999999</v>
      </c>
      <c r="BI13" s="2">
        <v>46197</v>
      </c>
      <c r="BJ13" s="3" t="s">
        <v>957</v>
      </c>
      <c r="BK13" s="3" t="s">
        <v>958</v>
      </c>
      <c r="BL13" s="3" t="s">
        <v>959</v>
      </c>
      <c r="BM13" s="3">
        <v>0</v>
      </c>
      <c r="BN13" s="3">
        <v>1.76</v>
      </c>
      <c r="BO13" s="3">
        <v>0</v>
      </c>
      <c r="BP13" s="3">
        <v>2319516</v>
      </c>
      <c r="BS13" s="2">
        <v>46197</v>
      </c>
      <c r="BT13" s="3" t="s">
        <v>605</v>
      </c>
      <c r="BU13" s="3" t="s">
        <v>606</v>
      </c>
      <c r="BV13" s="3" t="s">
        <v>607</v>
      </c>
      <c r="BW13" s="3">
        <v>0</v>
      </c>
      <c r="BX13" s="3">
        <v>2.48</v>
      </c>
      <c r="BY13" s="3">
        <v>0</v>
      </c>
      <c r="BZ13" s="3">
        <v>2532219</v>
      </c>
      <c r="CA13" s="3">
        <v>10049.07</v>
      </c>
      <c r="CB13" s="3">
        <v>1.0098</v>
      </c>
      <c r="CC13" s="2">
        <v>46197</v>
      </c>
      <c r="CD13" s="3" t="s">
        <v>105</v>
      </c>
      <c r="CE13" s="3" t="s">
        <v>63</v>
      </c>
      <c r="CF13" s="3" t="s">
        <v>146</v>
      </c>
      <c r="CG13" s="3">
        <v>0</v>
      </c>
      <c r="CH13" s="3">
        <v>1.1100000000000001</v>
      </c>
      <c r="CI13" s="3">
        <v>0</v>
      </c>
      <c r="CJ13" s="3">
        <v>1629988</v>
      </c>
      <c r="CK13" s="3">
        <v>8073.47</v>
      </c>
      <c r="CL13" s="3">
        <v>14.0169</v>
      </c>
      <c r="CM13" s="2">
        <v>46197</v>
      </c>
      <c r="CN13" s="3" t="s">
        <v>1389</v>
      </c>
      <c r="CO13" s="3" t="s">
        <v>1210</v>
      </c>
      <c r="CP13" s="3" t="s">
        <v>1390</v>
      </c>
      <c r="CQ13" s="3">
        <v>0</v>
      </c>
      <c r="CR13" s="3">
        <v>7.61</v>
      </c>
      <c r="CS13" s="3">
        <v>0</v>
      </c>
      <c r="CT13" s="3">
        <v>7690845</v>
      </c>
      <c r="CU13" s="3">
        <v>9458.32</v>
      </c>
      <c r="CV13" s="3">
        <v>3.8957999999999999</v>
      </c>
      <c r="CW13" s="2">
        <v>46197</v>
      </c>
      <c r="CX13" s="3" t="s">
        <v>1194</v>
      </c>
      <c r="CY13" s="3" t="s">
        <v>1195</v>
      </c>
      <c r="CZ13" s="3" t="s">
        <v>1196</v>
      </c>
      <c r="DA13" s="3">
        <v>100265</v>
      </c>
      <c r="DB13" s="3">
        <v>1.78</v>
      </c>
      <c r="DC13" s="3">
        <v>41.49</v>
      </c>
      <c r="DD13" s="3">
        <v>4159503</v>
      </c>
    </row>
    <row r="14" spans="1:110" ht="13.5" customHeight="1" x14ac:dyDescent="0.3">
      <c r="A14" s="2">
        <v>46197</v>
      </c>
      <c r="B14" s="3" t="s">
        <v>28</v>
      </c>
      <c r="C14" s="3" t="s">
        <v>29</v>
      </c>
      <c r="D14" s="3" t="s">
        <v>30</v>
      </c>
      <c r="E14" s="3">
        <v>0</v>
      </c>
      <c r="F14" s="3">
        <v>1.1299999999999999</v>
      </c>
      <c r="G14" s="3">
        <v>0</v>
      </c>
      <c r="H14" s="3">
        <v>1259855</v>
      </c>
      <c r="I14" s="3">
        <v>9310.09</v>
      </c>
      <c r="J14" s="3">
        <v>7.9903000000000004</v>
      </c>
      <c r="K14" s="2">
        <v>46197</v>
      </c>
      <c r="L14" s="3" t="s">
        <v>55</v>
      </c>
      <c r="M14" s="3" t="s">
        <v>56</v>
      </c>
      <c r="N14" s="3" t="s">
        <v>57</v>
      </c>
      <c r="O14" s="3">
        <v>0</v>
      </c>
      <c r="P14" s="3">
        <v>5.13</v>
      </c>
      <c r="Q14" s="3">
        <v>0</v>
      </c>
      <c r="R14" s="3">
        <v>6005723</v>
      </c>
      <c r="S14" s="3">
        <v>9633.18</v>
      </c>
      <c r="T14" s="3">
        <v>3.4630999999999998</v>
      </c>
      <c r="U14" s="2">
        <v>46197</v>
      </c>
      <c r="V14" s="3" t="s">
        <v>86</v>
      </c>
      <c r="W14" s="3" t="s">
        <v>29</v>
      </c>
      <c r="X14" s="3" t="s">
        <v>87</v>
      </c>
      <c r="Y14" s="3">
        <v>0</v>
      </c>
      <c r="Z14" s="3">
        <v>4.25</v>
      </c>
      <c r="AA14" s="3">
        <v>0</v>
      </c>
      <c r="AB14" s="3">
        <v>6370437</v>
      </c>
      <c r="AC14" s="3">
        <v>7549.83</v>
      </c>
      <c r="AD14" s="3">
        <v>17.713899999999999</v>
      </c>
      <c r="AE14" s="2">
        <v>46197</v>
      </c>
      <c r="AF14" s="3" t="s">
        <v>40</v>
      </c>
      <c r="AG14" s="3" t="s">
        <v>29</v>
      </c>
      <c r="AH14" s="3" t="s">
        <v>41</v>
      </c>
      <c r="AI14" s="3">
        <v>0</v>
      </c>
      <c r="AJ14" s="3">
        <v>1.78</v>
      </c>
      <c r="AK14" s="3">
        <v>0</v>
      </c>
      <c r="AL14" s="3">
        <v>1836427</v>
      </c>
      <c r="AM14" s="3">
        <v>10100.35</v>
      </c>
      <c r="AN14" s="3">
        <v>5.6009000000000002</v>
      </c>
      <c r="AO14" s="2">
        <v>46197</v>
      </c>
      <c r="AP14" s="3" t="s">
        <v>55</v>
      </c>
      <c r="AQ14" s="3" t="s">
        <v>56</v>
      </c>
      <c r="AR14" s="3" t="s">
        <v>57</v>
      </c>
      <c r="AS14" s="3">
        <v>0</v>
      </c>
      <c r="AT14" s="3">
        <v>0.38</v>
      </c>
      <c r="AU14" s="3">
        <v>0</v>
      </c>
      <c r="AV14" s="3">
        <v>391592</v>
      </c>
      <c r="AW14" s="3">
        <v>9633.18</v>
      </c>
      <c r="AX14" s="3">
        <v>3.4630999999999998</v>
      </c>
      <c r="AY14" s="2">
        <v>46197</v>
      </c>
      <c r="AZ14" s="3" t="s">
        <v>68</v>
      </c>
      <c r="BA14" s="3" t="s">
        <v>56</v>
      </c>
      <c r="BB14" s="3" t="s">
        <v>69</v>
      </c>
      <c r="BC14" s="3">
        <v>0</v>
      </c>
      <c r="BD14" s="3">
        <v>2.0099999999999998</v>
      </c>
      <c r="BE14" s="3">
        <v>0</v>
      </c>
      <c r="BF14" s="3">
        <v>2524549</v>
      </c>
      <c r="BG14" s="3">
        <v>9827.4</v>
      </c>
      <c r="BH14" s="3">
        <v>4.2638999999999996</v>
      </c>
      <c r="BI14" s="2">
        <v>46197</v>
      </c>
      <c r="BJ14" s="3" t="s">
        <v>960</v>
      </c>
      <c r="BK14" s="3" t="s">
        <v>961</v>
      </c>
      <c r="BL14" s="3" t="s">
        <v>962</v>
      </c>
      <c r="BM14" s="3">
        <v>0</v>
      </c>
      <c r="BN14" s="3">
        <v>1.62</v>
      </c>
      <c r="BO14" s="3">
        <v>0</v>
      </c>
      <c r="BP14" s="3">
        <v>2135335</v>
      </c>
      <c r="BS14" s="2">
        <v>46197</v>
      </c>
      <c r="BT14" s="3" t="s">
        <v>608</v>
      </c>
      <c r="BU14" s="3" t="s">
        <v>609</v>
      </c>
      <c r="BV14" s="3" t="s">
        <v>610</v>
      </c>
      <c r="BW14" s="3">
        <v>0</v>
      </c>
      <c r="BX14" s="3">
        <v>2.48</v>
      </c>
      <c r="BY14" s="3">
        <v>0</v>
      </c>
      <c r="BZ14" s="3">
        <v>2528659</v>
      </c>
      <c r="CA14" s="3">
        <v>10036.64</v>
      </c>
      <c r="CB14" s="3">
        <v>0.7661</v>
      </c>
      <c r="CC14" s="2">
        <v>46197</v>
      </c>
      <c r="CD14" s="3" t="s">
        <v>75</v>
      </c>
      <c r="CE14" s="3" t="s">
        <v>29</v>
      </c>
      <c r="CF14" s="3" t="s">
        <v>76</v>
      </c>
      <c r="CG14" s="3">
        <v>0</v>
      </c>
      <c r="CH14" s="3">
        <v>1.03</v>
      </c>
      <c r="CI14" s="3">
        <v>0</v>
      </c>
      <c r="CJ14" s="3">
        <v>1507930</v>
      </c>
      <c r="CK14" s="3">
        <v>9590.42</v>
      </c>
      <c r="CL14" s="3">
        <v>6.8437000000000001</v>
      </c>
      <c r="CM14" s="2">
        <v>46197</v>
      </c>
      <c r="CN14" s="3" t="s">
        <v>55</v>
      </c>
      <c r="CO14" s="3" t="s">
        <v>56</v>
      </c>
      <c r="CP14" s="3" t="s">
        <v>57</v>
      </c>
      <c r="CQ14" s="3">
        <v>0</v>
      </c>
      <c r="CR14" s="3">
        <v>6.97</v>
      </c>
      <c r="CS14" s="3">
        <v>0</v>
      </c>
      <c r="CT14" s="3">
        <v>7048668</v>
      </c>
      <c r="CU14" s="3">
        <v>9633.18</v>
      </c>
      <c r="CV14" s="3">
        <v>3.4630999999999998</v>
      </c>
      <c r="CW14" s="2">
        <v>46197</v>
      </c>
      <c r="CX14" s="3" t="s">
        <v>1197</v>
      </c>
      <c r="CY14" s="3" t="s">
        <v>1198</v>
      </c>
      <c r="CZ14" s="3" t="s">
        <v>1199</v>
      </c>
      <c r="DA14" s="3">
        <v>0</v>
      </c>
      <c r="DB14" s="3">
        <v>1.76</v>
      </c>
      <c r="DC14" s="3">
        <v>0</v>
      </c>
      <c r="DD14" s="3">
        <v>4094009</v>
      </c>
      <c r="DE14" s="3">
        <v>9868.61</v>
      </c>
      <c r="DF14" s="3">
        <v>1.5998000000000001</v>
      </c>
    </row>
    <row r="15" spans="1:110" ht="13.5" customHeight="1" x14ac:dyDescent="0.3">
      <c r="A15" s="2">
        <v>46197</v>
      </c>
      <c r="B15" s="3" t="s">
        <v>746</v>
      </c>
      <c r="C15" s="3" t="s">
        <v>747</v>
      </c>
      <c r="D15" s="3" t="s">
        <v>748</v>
      </c>
      <c r="E15" s="3">
        <v>0</v>
      </c>
      <c r="F15" s="3">
        <v>0.95</v>
      </c>
      <c r="G15" s="3">
        <v>0</v>
      </c>
      <c r="H15" s="3">
        <v>1062327</v>
      </c>
      <c r="I15" s="3">
        <v>10009.35</v>
      </c>
      <c r="J15" s="3">
        <v>0.62980000000000003</v>
      </c>
      <c r="K15" s="2">
        <v>46197</v>
      </c>
      <c r="L15" s="3" t="s">
        <v>58</v>
      </c>
      <c r="M15" s="3" t="s">
        <v>29</v>
      </c>
      <c r="N15" s="3" t="s">
        <v>59</v>
      </c>
      <c r="O15" s="3">
        <v>0</v>
      </c>
      <c r="P15" s="3">
        <v>4.91</v>
      </c>
      <c r="Q15" s="3">
        <v>0</v>
      </c>
      <c r="R15" s="3">
        <v>5751230</v>
      </c>
      <c r="S15" s="3">
        <v>8385.8700000000008</v>
      </c>
      <c r="T15" s="3">
        <v>16.903199999999998</v>
      </c>
      <c r="U15" s="2">
        <v>46197</v>
      </c>
      <c r="V15" s="3" t="s">
        <v>103</v>
      </c>
      <c r="W15" s="3" t="s">
        <v>63</v>
      </c>
      <c r="X15" s="3" t="s">
        <v>104</v>
      </c>
      <c r="Y15" s="3">
        <v>0</v>
      </c>
      <c r="Z15" s="3">
        <v>4.24</v>
      </c>
      <c r="AA15" s="3">
        <v>0</v>
      </c>
      <c r="AB15" s="3">
        <v>6349729</v>
      </c>
      <c r="AC15" s="3">
        <v>9602.49</v>
      </c>
      <c r="AD15" s="3">
        <v>12.1774</v>
      </c>
      <c r="AE15" s="2">
        <v>46197</v>
      </c>
      <c r="AF15" s="3" t="s">
        <v>42</v>
      </c>
      <c r="AG15" s="3" t="s">
        <v>29</v>
      </c>
      <c r="AH15" s="3" t="s">
        <v>43</v>
      </c>
      <c r="AI15" s="3">
        <v>0</v>
      </c>
      <c r="AJ15" s="3">
        <v>0.85</v>
      </c>
      <c r="AK15" s="3">
        <v>0</v>
      </c>
      <c r="AL15" s="3">
        <v>880528</v>
      </c>
      <c r="AM15" s="3">
        <v>9492.18</v>
      </c>
      <c r="AN15" s="3">
        <v>6.1319999999999997</v>
      </c>
      <c r="AO15" s="2">
        <v>46197</v>
      </c>
      <c r="AP15" s="3" t="s">
        <v>7</v>
      </c>
      <c r="AQ15" s="3" t="s">
        <v>7</v>
      </c>
      <c r="AR15" s="3" t="s">
        <v>46</v>
      </c>
      <c r="AT15" s="3">
        <v>4.83</v>
      </c>
      <c r="AV15" s="3">
        <v>5028523</v>
      </c>
      <c r="AY15" s="2">
        <v>46197</v>
      </c>
      <c r="AZ15" s="3" t="s">
        <v>62</v>
      </c>
      <c r="BA15" s="3" t="s">
        <v>63</v>
      </c>
      <c r="BB15" s="3" t="s">
        <v>64</v>
      </c>
      <c r="BC15" s="3">
        <v>0</v>
      </c>
      <c r="BD15" s="3">
        <v>1.33</v>
      </c>
      <c r="BE15" s="3">
        <v>0</v>
      </c>
      <c r="BF15" s="3">
        <v>1677843</v>
      </c>
      <c r="BG15" s="3">
        <v>8294.31</v>
      </c>
      <c r="BH15" s="3">
        <v>13.3939</v>
      </c>
      <c r="BI15" s="2">
        <v>46197</v>
      </c>
      <c r="BJ15" s="3" t="s">
        <v>963</v>
      </c>
      <c r="BK15" s="3" t="s">
        <v>964</v>
      </c>
      <c r="BL15" s="3" t="s">
        <v>965</v>
      </c>
      <c r="BM15" s="3">
        <v>0</v>
      </c>
      <c r="BN15" s="3">
        <v>1.56</v>
      </c>
      <c r="BO15" s="3">
        <v>0</v>
      </c>
      <c r="BP15" s="3">
        <v>2049615</v>
      </c>
      <c r="BS15" s="2">
        <v>46197</v>
      </c>
      <c r="BT15" s="3" t="s">
        <v>611</v>
      </c>
      <c r="BU15" s="3" t="s">
        <v>612</v>
      </c>
      <c r="BV15" s="3" t="s">
        <v>613</v>
      </c>
      <c r="BW15" s="3">
        <v>0</v>
      </c>
      <c r="BX15" s="3">
        <v>2.4700000000000002</v>
      </c>
      <c r="BY15" s="3">
        <v>0</v>
      </c>
      <c r="BZ15" s="3">
        <v>2525855</v>
      </c>
      <c r="CA15" s="3">
        <v>10024.23</v>
      </c>
      <c r="CB15" s="3">
        <v>1.71</v>
      </c>
      <c r="CC15" s="2">
        <v>46197</v>
      </c>
      <c r="CD15" s="3" t="s">
        <v>147</v>
      </c>
      <c r="CE15" s="3" t="s">
        <v>148</v>
      </c>
      <c r="CF15" s="3" t="s">
        <v>149</v>
      </c>
      <c r="CG15" s="3">
        <v>0</v>
      </c>
      <c r="CH15" s="3">
        <v>0.96</v>
      </c>
      <c r="CI15" s="3">
        <v>0</v>
      </c>
      <c r="CJ15" s="3">
        <v>1415328</v>
      </c>
      <c r="CK15" s="3">
        <v>10047.629999999999</v>
      </c>
      <c r="CL15" s="3">
        <v>1.2056</v>
      </c>
      <c r="CM15" s="2">
        <v>46197</v>
      </c>
      <c r="CN15" s="3" t="s">
        <v>525</v>
      </c>
      <c r="CO15" s="3" t="s">
        <v>526</v>
      </c>
      <c r="CP15" s="3" t="s">
        <v>527</v>
      </c>
      <c r="CQ15" s="3">
        <v>0</v>
      </c>
      <c r="CR15" s="3">
        <v>6.57</v>
      </c>
      <c r="CS15" s="3">
        <v>0</v>
      </c>
      <c r="CT15" s="3">
        <v>6642507</v>
      </c>
      <c r="CU15" s="3">
        <v>9803.64</v>
      </c>
      <c r="CV15" s="3">
        <v>2.2879</v>
      </c>
      <c r="CW15" s="2">
        <v>46197</v>
      </c>
      <c r="CX15" s="3" t="s">
        <v>1200</v>
      </c>
      <c r="CY15" s="3" t="s">
        <v>1201</v>
      </c>
      <c r="CZ15" s="3" t="s">
        <v>1202</v>
      </c>
      <c r="DA15" s="3">
        <v>0</v>
      </c>
      <c r="DB15" s="3">
        <v>1.74</v>
      </c>
      <c r="DC15" s="3">
        <v>0</v>
      </c>
      <c r="DD15" s="3">
        <v>4054042</v>
      </c>
      <c r="DE15" s="3">
        <v>9772.81</v>
      </c>
      <c r="DF15" s="3">
        <v>2.1554000000000002</v>
      </c>
    </row>
    <row r="16" spans="1:110" ht="13.5" customHeight="1" x14ac:dyDescent="0.3">
      <c r="A16" s="2">
        <v>46197</v>
      </c>
      <c r="B16" s="3" t="s">
        <v>749</v>
      </c>
      <c r="C16" s="3" t="s">
        <v>750</v>
      </c>
      <c r="D16" s="3" t="s">
        <v>751</v>
      </c>
      <c r="E16" s="3">
        <v>0</v>
      </c>
      <c r="F16" s="3">
        <v>0.94</v>
      </c>
      <c r="G16" s="3">
        <v>0</v>
      </c>
      <c r="H16" s="3">
        <v>1048619</v>
      </c>
      <c r="I16" s="3">
        <v>9878.58</v>
      </c>
      <c r="J16" s="3">
        <v>2.5323000000000002</v>
      </c>
      <c r="K16" s="2">
        <v>46197</v>
      </c>
      <c r="L16" s="3" t="s">
        <v>60</v>
      </c>
      <c r="M16" s="3" t="s">
        <v>56</v>
      </c>
      <c r="N16" s="3" t="s">
        <v>61</v>
      </c>
      <c r="O16" s="3">
        <v>0</v>
      </c>
      <c r="P16" s="3">
        <v>4.3</v>
      </c>
      <c r="Q16" s="3">
        <v>0</v>
      </c>
      <c r="R16" s="3">
        <v>5037739</v>
      </c>
      <c r="S16" s="3">
        <v>9506.6</v>
      </c>
      <c r="T16" s="3">
        <v>3.9123000000000001</v>
      </c>
      <c r="U16" s="2">
        <v>46197</v>
      </c>
      <c r="V16" s="3" t="s">
        <v>215</v>
      </c>
      <c r="W16" s="3" t="s">
        <v>29</v>
      </c>
      <c r="X16" s="3" t="s">
        <v>734</v>
      </c>
      <c r="Y16" s="3">
        <v>0</v>
      </c>
      <c r="Z16" s="3">
        <v>4.21</v>
      </c>
      <c r="AA16" s="3">
        <v>0</v>
      </c>
      <c r="AB16" s="3">
        <v>6312693</v>
      </c>
      <c r="AC16" s="3">
        <v>6751.24</v>
      </c>
      <c r="AD16" s="3">
        <v>16.656500000000001</v>
      </c>
      <c r="AE16" s="2">
        <v>46197</v>
      </c>
      <c r="AF16" s="3" t="s">
        <v>44</v>
      </c>
      <c r="AG16" s="3" t="s">
        <v>29</v>
      </c>
      <c r="AH16" s="3" t="s">
        <v>45</v>
      </c>
      <c r="AI16" s="3">
        <v>0</v>
      </c>
      <c r="AJ16" s="3">
        <v>0.52</v>
      </c>
      <c r="AK16" s="3">
        <v>0</v>
      </c>
      <c r="AL16" s="3">
        <v>537137</v>
      </c>
      <c r="AM16" s="3">
        <v>9650.58</v>
      </c>
      <c r="AN16" s="3">
        <v>5.3255999999999997</v>
      </c>
      <c r="AO16" s="2"/>
      <c r="AY16" s="2">
        <v>46197</v>
      </c>
      <c r="AZ16" s="3" t="s">
        <v>58</v>
      </c>
      <c r="BA16" s="3" t="s">
        <v>29</v>
      </c>
      <c r="BB16" s="3" t="s">
        <v>59</v>
      </c>
      <c r="BC16" s="3">
        <v>0</v>
      </c>
      <c r="BD16" s="3">
        <v>1.31</v>
      </c>
      <c r="BE16" s="3">
        <v>0</v>
      </c>
      <c r="BF16" s="3">
        <v>1646876</v>
      </c>
      <c r="BG16" s="3">
        <v>8385.8700000000008</v>
      </c>
      <c r="BH16" s="3">
        <v>16.903199999999998</v>
      </c>
      <c r="BI16" s="2">
        <v>46197</v>
      </c>
      <c r="BJ16" s="3" t="s">
        <v>966</v>
      </c>
      <c r="BK16" s="3" t="s">
        <v>967</v>
      </c>
      <c r="BL16" s="3" t="s">
        <v>968</v>
      </c>
      <c r="BM16" s="3">
        <v>0</v>
      </c>
      <c r="BN16" s="3">
        <v>1.56</v>
      </c>
      <c r="BO16" s="3">
        <v>0</v>
      </c>
      <c r="BP16" s="3">
        <v>2048183</v>
      </c>
      <c r="BS16" s="2">
        <v>46197</v>
      </c>
      <c r="BT16" s="3" t="s">
        <v>614</v>
      </c>
      <c r="BU16" s="3" t="s">
        <v>615</v>
      </c>
      <c r="BV16" s="3" t="s">
        <v>616</v>
      </c>
      <c r="BW16" s="3">
        <v>0</v>
      </c>
      <c r="BX16" s="3">
        <v>2.4700000000000002</v>
      </c>
      <c r="BY16" s="3">
        <v>0</v>
      </c>
      <c r="BZ16" s="3">
        <v>2525807</v>
      </c>
      <c r="CA16" s="3">
        <v>10023.26</v>
      </c>
      <c r="CB16" s="3">
        <v>1.8652</v>
      </c>
      <c r="CC16" s="2">
        <v>46197</v>
      </c>
      <c r="CD16" s="3" t="s">
        <v>150</v>
      </c>
      <c r="CE16" s="3" t="s">
        <v>151</v>
      </c>
      <c r="CF16" s="3" t="s">
        <v>152</v>
      </c>
      <c r="CG16" s="3">
        <v>0</v>
      </c>
      <c r="CH16" s="3">
        <v>0.96</v>
      </c>
      <c r="CI16" s="3">
        <v>0</v>
      </c>
      <c r="CJ16" s="3">
        <v>1412625</v>
      </c>
      <c r="CK16" s="3">
        <v>10029.209999999999</v>
      </c>
      <c r="CL16" s="3">
        <v>1.9599999999999999E-2</v>
      </c>
      <c r="CM16" s="2">
        <v>46197</v>
      </c>
      <c r="CN16" s="3" t="s">
        <v>528</v>
      </c>
      <c r="CO16" s="3" t="s">
        <v>529</v>
      </c>
      <c r="CP16" s="3" t="s">
        <v>530</v>
      </c>
      <c r="CQ16" s="3">
        <v>0</v>
      </c>
      <c r="CR16" s="3">
        <v>6.55</v>
      </c>
      <c r="CS16" s="3">
        <v>0</v>
      </c>
      <c r="CT16" s="3">
        <v>6622351</v>
      </c>
      <c r="CU16" s="3">
        <v>9774.14</v>
      </c>
      <c r="CV16" s="3">
        <v>1.9452</v>
      </c>
      <c r="CW16" s="2">
        <v>46197</v>
      </c>
      <c r="CX16" s="3" t="s">
        <v>1203</v>
      </c>
      <c r="CY16" s="3" t="s">
        <v>1204</v>
      </c>
      <c r="CZ16" s="3" t="s">
        <v>1205</v>
      </c>
      <c r="DA16" s="3">
        <v>0</v>
      </c>
      <c r="DB16" s="3">
        <v>1.33</v>
      </c>
      <c r="DC16" s="3">
        <v>0</v>
      </c>
      <c r="DD16" s="3">
        <v>3101318</v>
      </c>
      <c r="DE16" s="3">
        <v>9341.4</v>
      </c>
      <c r="DF16" s="3">
        <v>5.4653</v>
      </c>
    </row>
    <row r="17" spans="1:110" ht="13.5" customHeight="1" x14ac:dyDescent="0.3">
      <c r="A17" s="2">
        <v>46197</v>
      </c>
      <c r="B17" s="3" t="s">
        <v>480</v>
      </c>
      <c r="C17" s="3" t="s">
        <v>481</v>
      </c>
      <c r="D17" s="3" t="s">
        <v>482</v>
      </c>
      <c r="E17" s="3">
        <v>0</v>
      </c>
      <c r="F17" s="3">
        <v>0.94</v>
      </c>
      <c r="G17" s="3">
        <v>0</v>
      </c>
      <c r="H17" s="3">
        <v>1047321</v>
      </c>
      <c r="I17" s="3">
        <v>9867.27</v>
      </c>
      <c r="J17" s="3">
        <v>2.5148000000000001</v>
      </c>
      <c r="K17" s="2">
        <v>46197</v>
      </c>
      <c r="L17" s="3" t="s">
        <v>62</v>
      </c>
      <c r="M17" s="3" t="s">
        <v>63</v>
      </c>
      <c r="N17" s="3" t="s">
        <v>64</v>
      </c>
      <c r="O17" s="3">
        <v>0</v>
      </c>
      <c r="P17" s="3">
        <v>3.75</v>
      </c>
      <c r="Q17" s="3">
        <v>0</v>
      </c>
      <c r="R17" s="3">
        <v>4395464</v>
      </c>
      <c r="S17" s="3">
        <v>8294.31</v>
      </c>
      <c r="T17" s="3">
        <v>13.3939</v>
      </c>
      <c r="U17" s="2">
        <v>46197</v>
      </c>
      <c r="V17" s="3" t="s">
        <v>735</v>
      </c>
      <c r="W17" s="3" t="s">
        <v>29</v>
      </c>
      <c r="X17" s="3" t="s">
        <v>736</v>
      </c>
      <c r="Y17" s="3">
        <v>0</v>
      </c>
      <c r="Z17" s="3">
        <v>3.93</v>
      </c>
      <c r="AA17" s="3">
        <v>0</v>
      </c>
      <c r="AB17" s="3">
        <v>5897233</v>
      </c>
      <c r="AC17" s="3">
        <v>8397.8700000000008</v>
      </c>
      <c r="AD17" s="3">
        <v>16.5593</v>
      </c>
      <c r="AE17" s="2">
        <v>46197</v>
      </c>
      <c r="AF17" s="3" t="s">
        <v>7</v>
      </c>
      <c r="AG17" s="3" t="s">
        <v>7</v>
      </c>
      <c r="AH17" s="3" t="s">
        <v>46</v>
      </c>
      <c r="AJ17" s="3">
        <v>2.19</v>
      </c>
      <c r="AL17" s="3">
        <v>2256913</v>
      </c>
      <c r="AO17" s="2"/>
      <c r="AY17" s="2">
        <v>46197</v>
      </c>
      <c r="AZ17" s="3" t="s">
        <v>38</v>
      </c>
      <c r="BA17" s="3" t="s">
        <v>29</v>
      </c>
      <c r="BB17" s="3" t="s">
        <v>39</v>
      </c>
      <c r="BC17" s="3">
        <v>0</v>
      </c>
      <c r="BD17" s="3">
        <v>1.28</v>
      </c>
      <c r="BE17" s="3">
        <v>0</v>
      </c>
      <c r="BF17" s="3">
        <v>1610610</v>
      </c>
      <c r="BG17" s="3">
        <v>10019.719999999999</v>
      </c>
      <c r="BH17" s="3">
        <v>6.3605</v>
      </c>
      <c r="BI17" s="2">
        <v>46197</v>
      </c>
      <c r="BJ17" s="3" t="s">
        <v>969</v>
      </c>
      <c r="BK17" s="3" t="s">
        <v>237</v>
      </c>
      <c r="BL17" s="3" t="s">
        <v>970</v>
      </c>
      <c r="BM17" s="3">
        <v>0</v>
      </c>
      <c r="BN17" s="3">
        <v>1.46</v>
      </c>
      <c r="BO17" s="3">
        <v>0</v>
      </c>
      <c r="BP17" s="3">
        <v>1915705</v>
      </c>
      <c r="BQ17" s="3">
        <v>10150.9</v>
      </c>
      <c r="BR17" s="3">
        <v>0.36359999999999998</v>
      </c>
      <c r="BS17" s="2">
        <v>46197</v>
      </c>
      <c r="BT17" s="3" t="s">
        <v>617</v>
      </c>
      <c r="BU17" s="3" t="s">
        <v>618</v>
      </c>
      <c r="BV17" s="3" t="s">
        <v>619</v>
      </c>
      <c r="BW17" s="3">
        <v>0</v>
      </c>
      <c r="BX17" s="3">
        <v>2.46</v>
      </c>
      <c r="BY17" s="3">
        <v>0</v>
      </c>
      <c r="BZ17" s="3">
        <v>2511163</v>
      </c>
      <c r="CA17" s="3">
        <v>9966.6299999999992</v>
      </c>
      <c r="CB17" s="3">
        <v>1.0505</v>
      </c>
      <c r="CC17" s="2">
        <v>46197</v>
      </c>
      <c r="CD17" s="3" t="s">
        <v>31</v>
      </c>
      <c r="CE17" s="3" t="s">
        <v>29</v>
      </c>
      <c r="CF17" s="3" t="s">
        <v>32</v>
      </c>
      <c r="CG17" s="3">
        <v>0</v>
      </c>
      <c r="CH17" s="3">
        <v>0.93</v>
      </c>
      <c r="CI17" s="3">
        <v>0</v>
      </c>
      <c r="CJ17" s="3">
        <v>1370905</v>
      </c>
      <c r="CK17" s="3">
        <v>8888.56</v>
      </c>
      <c r="CL17" s="3">
        <v>7.8056000000000001</v>
      </c>
      <c r="CM17" s="2">
        <v>46197</v>
      </c>
      <c r="CN17" s="3" t="s">
        <v>1391</v>
      </c>
      <c r="CO17" s="3" t="s">
        <v>1392</v>
      </c>
      <c r="CP17" s="3" t="s">
        <v>1393</v>
      </c>
      <c r="CQ17" s="3">
        <v>0</v>
      </c>
      <c r="CR17" s="3">
        <v>1.33</v>
      </c>
      <c r="CS17" s="3">
        <v>0</v>
      </c>
      <c r="CT17" s="3">
        <v>1340402</v>
      </c>
      <c r="CU17" s="3">
        <v>9892.11</v>
      </c>
      <c r="CV17" s="3">
        <v>0.70479999999999998</v>
      </c>
      <c r="CW17" s="2">
        <v>46197</v>
      </c>
      <c r="CX17" s="3" t="s">
        <v>1011</v>
      </c>
      <c r="CY17" s="3" t="s">
        <v>1012</v>
      </c>
      <c r="CZ17" s="3" t="s">
        <v>1013</v>
      </c>
      <c r="DA17" s="3">
        <v>0</v>
      </c>
      <c r="DB17" s="3">
        <v>0.9</v>
      </c>
      <c r="DC17" s="3">
        <v>0</v>
      </c>
      <c r="DD17" s="3">
        <v>2105569</v>
      </c>
      <c r="DE17" s="3">
        <v>10150.68</v>
      </c>
      <c r="DF17" s="3">
        <v>0.27610000000000001</v>
      </c>
    </row>
    <row r="18" spans="1:110" ht="13.5" customHeight="1" x14ac:dyDescent="0.3">
      <c r="A18" s="2">
        <v>46197</v>
      </c>
      <c r="B18" s="3" t="s">
        <v>137</v>
      </c>
      <c r="C18" s="3" t="s">
        <v>138</v>
      </c>
      <c r="D18" s="3" t="s">
        <v>139</v>
      </c>
      <c r="E18" s="3">
        <v>0</v>
      </c>
      <c r="F18" s="3">
        <v>0.93</v>
      </c>
      <c r="G18" s="3">
        <v>-0.01</v>
      </c>
      <c r="H18" s="3">
        <v>-1030300</v>
      </c>
      <c r="K18" s="2">
        <v>46197</v>
      </c>
      <c r="L18" s="3" t="s">
        <v>65</v>
      </c>
      <c r="M18" s="3" t="s">
        <v>66</v>
      </c>
      <c r="N18" s="3" t="s">
        <v>67</v>
      </c>
      <c r="O18" s="3">
        <v>0</v>
      </c>
      <c r="P18" s="3">
        <v>2.73</v>
      </c>
      <c r="Q18" s="3">
        <v>0</v>
      </c>
      <c r="R18" s="3">
        <v>3200221</v>
      </c>
      <c r="S18" s="3">
        <v>10265.969999999999</v>
      </c>
      <c r="T18" s="3">
        <v>3.6608000000000001</v>
      </c>
      <c r="U18" s="2">
        <v>46197</v>
      </c>
      <c r="V18" s="3" t="s">
        <v>119</v>
      </c>
      <c r="W18" s="3" t="s">
        <v>29</v>
      </c>
      <c r="X18" s="3" t="s">
        <v>120</v>
      </c>
      <c r="Y18" s="3">
        <v>0</v>
      </c>
      <c r="Z18" s="3">
        <v>3.75</v>
      </c>
      <c r="AA18" s="3">
        <v>0</v>
      </c>
      <c r="AB18" s="3">
        <v>5613759</v>
      </c>
      <c r="AC18" s="3">
        <v>7239.79</v>
      </c>
      <c r="AD18" s="3">
        <v>17.153199999999998</v>
      </c>
      <c r="AE18" s="2"/>
      <c r="AO18" s="2"/>
      <c r="AY18" s="2">
        <v>46197</v>
      </c>
      <c r="AZ18" s="3" t="s">
        <v>391</v>
      </c>
      <c r="BA18" s="3" t="s">
        <v>392</v>
      </c>
      <c r="BB18" s="3" t="s">
        <v>393</v>
      </c>
      <c r="BC18" s="3">
        <v>0</v>
      </c>
      <c r="BD18" s="3">
        <v>1.23</v>
      </c>
      <c r="BE18" s="3">
        <v>0</v>
      </c>
      <c r="BF18" s="3">
        <v>1544708</v>
      </c>
      <c r="BG18" s="3">
        <v>10041.23</v>
      </c>
      <c r="BH18" s="3">
        <v>0.91579999999999995</v>
      </c>
      <c r="BI18" s="2">
        <v>46197</v>
      </c>
      <c r="BJ18" s="3" t="s">
        <v>971</v>
      </c>
      <c r="BK18" s="3" t="s">
        <v>972</v>
      </c>
      <c r="BL18" s="3" t="s">
        <v>973</v>
      </c>
      <c r="BM18" s="3">
        <v>0</v>
      </c>
      <c r="BN18" s="3">
        <v>1.43</v>
      </c>
      <c r="BO18" s="3">
        <v>0</v>
      </c>
      <c r="BP18" s="3">
        <v>1884948</v>
      </c>
      <c r="BS18" s="2">
        <v>46197</v>
      </c>
      <c r="BT18" s="3" t="s">
        <v>620</v>
      </c>
      <c r="BU18" s="3" t="s">
        <v>621</v>
      </c>
      <c r="BV18" s="3" t="s">
        <v>622</v>
      </c>
      <c r="BW18" s="3">
        <v>0</v>
      </c>
      <c r="BX18" s="3">
        <v>2.46</v>
      </c>
      <c r="BY18" s="3">
        <v>0</v>
      </c>
      <c r="BZ18" s="3">
        <v>2509392</v>
      </c>
      <c r="CA18" s="3">
        <v>9959.91</v>
      </c>
      <c r="CB18" s="3">
        <v>0.88519999999999999</v>
      </c>
      <c r="CC18" s="2">
        <v>46197</v>
      </c>
      <c r="CD18" s="3" t="s">
        <v>153</v>
      </c>
      <c r="CE18" s="3" t="s">
        <v>154</v>
      </c>
      <c r="CF18" s="3" t="s">
        <v>155</v>
      </c>
      <c r="CG18" s="3">
        <v>0</v>
      </c>
      <c r="CH18" s="3">
        <v>0.9</v>
      </c>
      <c r="CI18" s="3">
        <v>0</v>
      </c>
      <c r="CJ18" s="3">
        <v>1327577</v>
      </c>
      <c r="CK18" s="3">
        <v>9427.08</v>
      </c>
      <c r="CL18" s="3">
        <v>4.9724000000000004</v>
      </c>
      <c r="CM18" s="2">
        <v>46197</v>
      </c>
      <c r="CN18" s="3" t="s">
        <v>35</v>
      </c>
      <c r="CO18" s="3" t="s">
        <v>36</v>
      </c>
      <c r="CP18" s="3" t="s">
        <v>37</v>
      </c>
      <c r="CQ18" s="3">
        <v>0</v>
      </c>
      <c r="CR18" s="3">
        <v>1.05</v>
      </c>
      <c r="CS18" s="3">
        <v>0.01</v>
      </c>
      <c r="CT18" s="3">
        <v>1065200</v>
      </c>
      <c r="CW18" s="2">
        <v>46197</v>
      </c>
      <c r="CX18" s="3" t="s">
        <v>1206</v>
      </c>
      <c r="CY18" s="3" t="s">
        <v>1207</v>
      </c>
      <c r="CZ18" s="3" t="s">
        <v>1208</v>
      </c>
      <c r="DA18" s="3">
        <v>0</v>
      </c>
      <c r="DB18" s="3">
        <v>0.9</v>
      </c>
      <c r="DC18" s="3">
        <v>0</v>
      </c>
      <c r="DD18" s="3">
        <v>2099392</v>
      </c>
      <c r="DE18" s="3">
        <v>10120.98</v>
      </c>
      <c r="DF18" s="3">
        <v>0.60360000000000003</v>
      </c>
    </row>
    <row r="19" spans="1:110" ht="13.5" customHeight="1" x14ac:dyDescent="0.3">
      <c r="A19" s="2">
        <v>46197</v>
      </c>
      <c r="B19" s="3" t="s">
        <v>58</v>
      </c>
      <c r="C19" s="3" t="s">
        <v>29</v>
      </c>
      <c r="D19" s="3" t="s">
        <v>59</v>
      </c>
      <c r="E19" s="3">
        <v>0</v>
      </c>
      <c r="F19" s="3">
        <v>0.91</v>
      </c>
      <c r="G19" s="3">
        <v>0</v>
      </c>
      <c r="H19" s="3">
        <v>1007793</v>
      </c>
      <c r="I19" s="3">
        <v>8385.8700000000008</v>
      </c>
      <c r="J19" s="3">
        <v>16.903199999999998</v>
      </c>
      <c r="K19" s="2">
        <v>46197</v>
      </c>
      <c r="L19" s="3" t="s">
        <v>68</v>
      </c>
      <c r="M19" s="3" t="s">
        <v>56</v>
      </c>
      <c r="N19" s="3" t="s">
        <v>69</v>
      </c>
      <c r="O19" s="3">
        <v>0</v>
      </c>
      <c r="P19" s="3">
        <v>2.62</v>
      </c>
      <c r="Q19" s="3">
        <v>0</v>
      </c>
      <c r="R19" s="3">
        <v>3063404</v>
      </c>
      <c r="S19" s="3">
        <v>9827.4</v>
      </c>
      <c r="T19" s="3">
        <v>4.2638999999999996</v>
      </c>
      <c r="U19" s="2">
        <v>46197</v>
      </c>
      <c r="V19" s="3" t="s">
        <v>737</v>
      </c>
      <c r="W19" s="3" t="s">
        <v>29</v>
      </c>
      <c r="X19" s="3" t="s">
        <v>738</v>
      </c>
      <c r="Y19" s="3">
        <v>0</v>
      </c>
      <c r="Z19" s="3">
        <v>3.01</v>
      </c>
      <c r="AA19" s="3">
        <v>0</v>
      </c>
      <c r="AB19" s="3">
        <v>4505341</v>
      </c>
      <c r="AC19" s="3">
        <v>5880</v>
      </c>
      <c r="AD19" s="3">
        <v>18.049099999999999</v>
      </c>
      <c r="AE19" s="2"/>
      <c r="AO19" s="2"/>
      <c r="AY19" s="2">
        <v>46197</v>
      </c>
      <c r="AZ19" s="3" t="s">
        <v>394</v>
      </c>
      <c r="BA19" s="3" t="s">
        <v>395</v>
      </c>
      <c r="BB19" s="3" t="s">
        <v>396</v>
      </c>
      <c r="BC19" s="3">
        <v>0</v>
      </c>
      <c r="BD19" s="3">
        <v>1.22</v>
      </c>
      <c r="BE19" s="3">
        <v>0</v>
      </c>
      <c r="BF19" s="3">
        <v>1540402</v>
      </c>
      <c r="BG19" s="3">
        <v>10010.290000000001</v>
      </c>
      <c r="BH19" s="3">
        <v>2.7324999999999999</v>
      </c>
      <c r="BI19" s="2">
        <v>46197</v>
      </c>
      <c r="BJ19" s="3" t="s">
        <v>974</v>
      </c>
      <c r="BK19" s="3" t="s">
        <v>176</v>
      </c>
      <c r="BL19" s="3" t="s">
        <v>975</v>
      </c>
      <c r="BM19" s="3">
        <v>0</v>
      </c>
      <c r="BN19" s="3">
        <v>1.43</v>
      </c>
      <c r="BO19" s="3">
        <v>0</v>
      </c>
      <c r="BP19" s="3">
        <v>1880855</v>
      </c>
      <c r="BQ19" s="3">
        <v>10167.709999999999</v>
      </c>
      <c r="BR19" s="3">
        <v>0.27900000000000003</v>
      </c>
      <c r="BS19" s="2">
        <v>46197</v>
      </c>
      <c r="BT19" s="3" t="s">
        <v>623</v>
      </c>
      <c r="BU19" s="3" t="s">
        <v>624</v>
      </c>
      <c r="BV19" s="3" t="s">
        <v>625</v>
      </c>
      <c r="BW19" s="3">
        <v>0</v>
      </c>
      <c r="BX19" s="3">
        <v>2.4500000000000002</v>
      </c>
      <c r="BY19" s="3">
        <v>0</v>
      </c>
      <c r="BZ19" s="3">
        <v>2500009</v>
      </c>
      <c r="CA19" s="3">
        <v>9922.15</v>
      </c>
      <c r="CB19" s="3">
        <v>0.94010000000000005</v>
      </c>
      <c r="CC19" s="2">
        <v>46197</v>
      </c>
      <c r="CD19" s="3" t="s">
        <v>58</v>
      </c>
      <c r="CE19" s="3" t="s">
        <v>29</v>
      </c>
      <c r="CF19" s="3" t="s">
        <v>156</v>
      </c>
      <c r="CG19" s="3">
        <v>0</v>
      </c>
      <c r="CH19" s="3">
        <v>0.89</v>
      </c>
      <c r="CI19" s="3">
        <v>0</v>
      </c>
      <c r="CJ19" s="3">
        <v>1308409</v>
      </c>
      <c r="CK19" s="3">
        <v>8385.8700000000008</v>
      </c>
      <c r="CL19" s="3">
        <v>16.903199999999998</v>
      </c>
      <c r="CM19" s="2">
        <v>46197</v>
      </c>
      <c r="CN19" s="3" t="s">
        <v>60</v>
      </c>
      <c r="CO19" s="3" t="s">
        <v>56</v>
      </c>
      <c r="CP19" s="3" t="s">
        <v>61</v>
      </c>
      <c r="CQ19" s="3">
        <v>0</v>
      </c>
      <c r="CR19" s="3">
        <v>0.76</v>
      </c>
      <c r="CS19" s="3">
        <v>0</v>
      </c>
      <c r="CT19" s="3">
        <v>772899</v>
      </c>
      <c r="CU19" s="3">
        <v>9506.6</v>
      </c>
      <c r="CV19" s="3">
        <v>3.9123000000000001</v>
      </c>
      <c r="CW19" s="2">
        <v>46197</v>
      </c>
      <c r="CX19" s="3" t="s">
        <v>1022</v>
      </c>
      <c r="CY19" s="3" t="s">
        <v>1023</v>
      </c>
      <c r="CZ19" s="3" t="s">
        <v>1024</v>
      </c>
      <c r="DA19" s="3">
        <v>0</v>
      </c>
      <c r="DB19" s="3">
        <v>0.9</v>
      </c>
      <c r="DC19" s="3">
        <v>0</v>
      </c>
      <c r="DD19" s="3">
        <v>2096952</v>
      </c>
      <c r="DE19" s="3">
        <v>10109.4</v>
      </c>
      <c r="DF19" s="3">
        <v>0.24249999999999999</v>
      </c>
    </row>
    <row r="20" spans="1:110" ht="13.5" customHeight="1" x14ac:dyDescent="0.3">
      <c r="A20" s="2">
        <v>46197</v>
      </c>
      <c r="B20" s="3" t="s">
        <v>86</v>
      </c>
      <c r="C20" s="3" t="s">
        <v>29</v>
      </c>
      <c r="D20" s="3" t="s">
        <v>87</v>
      </c>
      <c r="E20" s="3">
        <v>0</v>
      </c>
      <c r="F20" s="3">
        <v>0.86</v>
      </c>
      <c r="G20" s="3">
        <v>0</v>
      </c>
      <c r="H20" s="3">
        <v>955547</v>
      </c>
      <c r="I20" s="3">
        <v>7549.83</v>
      </c>
      <c r="J20" s="3">
        <v>17.713899999999999</v>
      </c>
      <c r="K20" s="2">
        <v>46197</v>
      </c>
      <c r="L20" s="3" t="s">
        <v>70</v>
      </c>
      <c r="M20" s="3" t="s">
        <v>29</v>
      </c>
      <c r="N20" s="3" t="s">
        <v>71</v>
      </c>
      <c r="O20" s="3">
        <v>0</v>
      </c>
      <c r="P20" s="3">
        <v>2.38</v>
      </c>
      <c r="Q20" s="3">
        <v>0</v>
      </c>
      <c r="R20" s="3">
        <v>2790679</v>
      </c>
      <c r="S20" s="3">
        <v>6348.82</v>
      </c>
      <c r="T20" s="3">
        <v>17.7789</v>
      </c>
      <c r="U20" s="2">
        <v>46197</v>
      </c>
      <c r="V20" s="3" t="s">
        <v>79</v>
      </c>
      <c r="W20" s="3" t="s">
        <v>29</v>
      </c>
      <c r="X20" s="3" t="s">
        <v>80</v>
      </c>
      <c r="Y20" s="3">
        <v>0</v>
      </c>
      <c r="Z20" s="3">
        <v>2.0499999999999998</v>
      </c>
      <c r="AA20" s="3">
        <v>0</v>
      </c>
      <c r="AB20" s="3">
        <v>3075789</v>
      </c>
      <c r="AC20" s="3">
        <v>8990.59</v>
      </c>
      <c r="AD20" s="3">
        <v>16.330300000000001</v>
      </c>
      <c r="AE20" s="2"/>
      <c r="AO20" s="2"/>
      <c r="AY20" s="2">
        <v>46197</v>
      </c>
      <c r="AZ20" s="3" t="s">
        <v>105</v>
      </c>
      <c r="BA20" s="3" t="s">
        <v>63</v>
      </c>
      <c r="BB20" s="3" t="s">
        <v>106</v>
      </c>
      <c r="BC20" s="3">
        <v>0</v>
      </c>
      <c r="BD20" s="3">
        <v>1.01</v>
      </c>
      <c r="BE20" s="3">
        <v>0</v>
      </c>
      <c r="BF20" s="3">
        <v>1273097</v>
      </c>
      <c r="BG20" s="3">
        <v>8073.47</v>
      </c>
      <c r="BH20" s="3">
        <v>14.0169</v>
      </c>
      <c r="BI20" s="2">
        <v>46197</v>
      </c>
      <c r="BJ20" s="3" t="s">
        <v>976</v>
      </c>
      <c r="BK20" s="3" t="s">
        <v>977</v>
      </c>
      <c r="BL20" s="3" t="s">
        <v>978</v>
      </c>
      <c r="BM20" s="3">
        <v>0</v>
      </c>
      <c r="BN20" s="3">
        <v>1.43</v>
      </c>
      <c r="BO20" s="3">
        <v>0</v>
      </c>
      <c r="BP20" s="3">
        <v>1880355</v>
      </c>
      <c r="BQ20" s="3">
        <v>10165.049999999999</v>
      </c>
      <c r="BR20" s="3">
        <v>0.27910000000000001</v>
      </c>
      <c r="BS20" s="2">
        <v>46197</v>
      </c>
      <c r="BT20" s="3" t="s">
        <v>626</v>
      </c>
      <c r="BU20" s="3" t="s">
        <v>507</v>
      </c>
      <c r="BV20" s="3" t="s">
        <v>627</v>
      </c>
      <c r="BW20" s="3">
        <v>0</v>
      </c>
      <c r="BX20" s="3">
        <v>2.4500000000000002</v>
      </c>
      <c r="BY20" s="3">
        <v>0</v>
      </c>
      <c r="BZ20" s="3">
        <v>2499069</v>
      </c>
      <c r="CA20" s="3">
        <v>9918.2099999999991</v>
      </c>
      <c r="CB20" s="3">
        <v>1.3372999999999999</v>
      </c>
      <c r="CC20" s="2">
        <v>46197</v>
      </c>
      <c r="CD20" s="3" t="s">
        <v>110</v>
      </c>
      <c r="CE20" s="3" t="s">
        <v>63</v>
      </c>
      <c r="CF20" s="3" t="s">
        <v>157</v>
      </c>
      <c r="CG20" s="3">
        <v>0</v>
      </c>
      <c r="CH20" s="3">
        <v>0.87</v>
      </c>
      <c r="CI20" s="3">
        <v>0</v>
      </c>
      <c r="CJ20" s="3">
        <v>1278210</v>
      </c>
      <c r="CK20" s="3">
        <v>8920.7000000000007</v>
      </c>
      <c r="CL20" s="3">
        <v>12.076700000000001</v>
      </c>
      <c r="CM20" s="2">
        <v>46197</v>
      </c>
      <c r="CN20" s="3" t="s">
        <v>28</v>
      </c>
      <c r="CO20" s="3" t="s">
        <v>29</v>
      </c>
      <c r="CP20" s="3" t="s">
        <v>30</v>
      </c>
      <c r="CQ20" s="3">
        <v>0</v>
      </c>
      <c r="CR20" s="3">
        <v>0.5</v>
      </c>
      <c r="CS20" s="3">
        <v>0</v>
      </c>
      <c r="CT20" s="3">
        <v>504611</v>
      </c>
      <c r="CU20" s="3">
        <v>9310.09</v>
      </c>
      <c r="CV20" s="3">
        <v>7.9903000000000004</v>
      </c>
      <c r="CW20" s="2">
        <v>46197</v>
      </c>
      <c r="CX20" s="3" t="s">
        <v>1209</v>
      </c>
      <c r="CY20" s="3" t="s">
        <v>1210</v>
      </c>
      <c r="CZ20" s="3" t="s">
        <v>1211</v>
      </c>
      <c r="DA20" s="3">
        <v>0</v>
      </c>
      <c r="DB20" s="3">
        <v>0.9</v>
      </c>
      <c r="DC20" s="3">
        <v>0</v>
      </c>
      <c r="DD20" s="3">
        <v>2091754</v>
      </c>
      <c r="DE20" s="3">
        <v>10084.33</v>
      </c>
      <c r="DF20" s="3">
        <v>0.74680000000000002</v>
      </c>
    </row>
    <row r="21" spans="1:110" ht="13.5" customHeight="1" x14ac:dyDescent="0.3">
      <c r="A21" s="2">
        <v>46197</v>
      </c>
      <c r="B21" s="3" t="s">
        <v>210</v>
      </c>
      <c r="C21" s="3" t="s">
        <v>29</v>
      </c>
      <c r="D21" s="3" t="s">
        <v>390</v>
      </c>
      <c r="E21" s="3">
        <v>0</v>
      </c>
      <c r="F21" s="3">
        <v>0.82</v>
      </c>
      <c r="G21" s="3">
        <v>0</v>
      </c>
      <c r="H21" s="3">
        <v>916466</v>
      </c>
      <c r="I21" s="3">
        <v>7301.83</v>
      </c>
      <c r="J21" s="3">
        <v>18.233799999999999</v>
      </c>
      <c r="K21" s="2">
        <v>46197</v>
      </c>
      <c r="L21" s="3" t="s">
        <v>72</v>
      </c>
      <c r="M21" s="3" t="s">
        <v>73</v>
      </c>
      <c r="N21" s="3" t="s">
        <v>74</v>
      </c>
      <c r="O21" s="3">
        <v>0</v>
      </c>
      <c r="P21" s="3">
        <v>1.95</v>
      </c>
      <c r="Q21" s="3">
        <v>0</v>
      </c>
      <c r="R21" s="3">
        <v>2279992</v>
      </c>
      <c r="S21" s="3">
        <v>9141.19</v>
      </c>
      <c r="T21" s="3">
        <v>12.1678</v>
      </c>
      <c r="U21" s="2">
        <v>46197</v>
      </c>
      <c r="V21" s="3" t="s">
        <v>110</v>
      </c>
      <c r="W21" s="3" t="s">
        <v>63</v>
      </c>
      <c r="X21" s="3" t="s">
        <v>111</v>
      </c>
      <c r="Y21" s="3">
        <v>0</v>
      </c>
      <c r="Z21" s="3">
        <v>1.63</v>
      </c>
      <c r="AA21" s="3">
        <v>0</v>
      </c>
      <c r="AB21" s="3">
        <v>2441117</v>
      </c>
      <c r="AC21" s="3">
        <v>8920.7000000000007</v>
      </c>
      <c r="AD21" s="3">
        <v>12.076700000000001</v>
      </c>
      <c r="AE21" s="2"/>
      <c r="AO21" s="2"/>
      <c r="AY21" s="2">
        <v>46197</v>
      </c>
      <c r="AZ21" s="3" t="s">
        <v>55</v>
      </c>
      <c r="BA21" s="3" t="s">
        <v>56</v>
      </c>
      <c r="BB21" s="3" t="s">
        <v>57</v>
      </c>
      <c r="BC21" s="3">
        <v>0</v>
      </c>
      <c r="BD21" s="3">
        <v>0.99</v>
      </c>
      <c r="BE21" s="3">
        <v>0</v>
      </c>
      <c r="BF21" s="3">
        <v>1245831</v>
      </c>
      <c r="BG21" s="3">
        <v>9633.18</v>
      </c>
      <c r="BH21" s="3">
        <v>3.4630999999999998</v>
      </c>
      <c r="BI21" s="2">
        <v>46197</v>
      </c>
      <c r="BJ21" s="3" t="s">
        <v>979</v>
      </c>
      <c r="BK21" s="3" t="s">
        <v>191</v>
      </c>
      <c r="BL21" s="3" t="s">
        <v>980</v>
      </c>
      <c r="BM21" s="3">
        <v>0</v>
      </c>
      <c r="BN21" s="3">
        <v>1.42</v>
      </c>
      <c r="BO21" s="3">
        <v>0</v>
      </c>
      <c r="BP21" s="3">
        <v>1869382</v>
      </c>
      <c r="BQ21" s="3">
        <v>10105.91</v>
      </c>
      <c r="BR21" s="3">
        <v>4.4400000000000002E-2</v>
      </c>
      <c r="BS21" s="2">
        <v>46197</v>
      </c>
      <c r="BT21" s="3" t="s">
        <v>628</v>
      </c>
      <c r="BU21" s="3" t="s">
        <v>629</v>
      </c>
      <c r="BV21" s="3" t="s">
        <v>630</v>
      </c>
      <c r="BW21" s="3">
        <v>0</v>
      </c>
      <c r="BX21" s="3">
        <v>2.4500000000000002</v>
      </c>
      <c r="BY21" s="3">
        <v>0</v>
      </c>
      <c r="BZ21" s="3">
        <v>2498986</v>
      </c>
      <c r="CA21" s="3">
        <v>9918.0300000000007</v>
      </c>
      <c r="CB21" s="3">
        <v>1.3484</v>
      </c>
      <c r="CC21" s="2">
        <v>46197</v>
      </c>
      <c r="CD21" s="3" t="s">
        <v>158</v>
      </c>
      <c r="CE21" s="3" t="s">
        <v>159</v>
      </c>
      <c r="CF21" s="3" t="s">
        <v>160</v>
      </c>
      <c r="CG21" s="3">
        <v>0</v>
      </c>
      <c r="CH21" s="3">
        <v>0.78</v>
      </c>
      <c r="CI21" s="3">
        <v>0</v>
      </c>
      <c r="CJ21" s="3">
        <v>1149828</v>
      </c>
      <c r="CK21" s="3">
        <v>9795.81</v>
      </c>
      <c r="CL21" s="3">
        <v>1.5035000000000001</v>
      </c>
      <c r="CM21" s="2">
        <v>46197</v>
      </c>
      <c r="CN21" s="3" t="s">
        <v>7</v>
      </c>
      <c r="CO21" s="3" t="s">
        <v>7</v>
      </c>
      <c r="CP21" s="3" t="s">
        <v>46</v>
      </c>
      <c r="CR21" s="3">
        <v>16.04</v>
      </c>
      <c r="CT21" s="3">
        <v>16221496</v>
      </c>
      <c r="CW21" s="2">
        <v>46197</v>
      </c>
      <c r="CX21" s="3" t="s">
        <v>1212</v>
      </c>
      <c r="CY21" s="3" t="s">
        <v>1213</v>
      </c>
      <c r="CZ21" s="3" t="s">
        <v>1214</v>
      </c>
      <c r="DA21" s="3">
        <v>0</v>
      </c>
      <c r="DB21" s="3">
        <v>0.9</v>
      </c>
      <c r="DC21" s="3">
        <v>0</v>
      </c>
      <c r="DD21" s="3">
        <v>2086984</v>
      </c>
      <c r="DE21" s="3">
        <v>10041</v>
      </c>
      <c r="DF21" s="3">
        <v>2.7000000000000001E-3</v>
      </c>
    </row>
    <row r="22" spans="1:110" ht="13.5" customHeight="1" x14ac:dyDescent="0.3">
      <c r="A22" s="2">
        <v>46197</v>
      </c>
      <c r="B22" s="3" t="s">
        <v>207</v>
      </c>
      <c r="C22" s="3" t="s">
        <v>208</v>
      </c>
      <c r="D22" s="3" t="s">
        <v>752</v>
      </c>
      <c r="E22" s="3">
        <v>0</v>
      </c>
      <c r="F22" s="3">
        <v>0.81</v>
      </c>
      <c r="G22" s="3">
        <v>0</v>
      </c>
      <c r="H22" s="3">
        <v>902579</v>
      </c>
      <c r="I22" s="3">
        <v>8503.93</v>
      </c>
      <c r="J22" s="3">
        <v>12.4834</v>
      </c>
      <c r="K22" s="2">
        <v>46197</v>
      </c>
      <c r="L22" s="3" t="s">
        <v>75</v>
      </c>
      <c r="M22" s="3" t="s">
        <v>29</v>
      </c>
      <c r="N22" s="3" t="s">
        <v>76</v>
      </c>
      <c r="O22" s="3">
        <v>0</v>
      </c>
      <c r="P22" s="3">
        <v>1.79</v>
      </c>
      <c r="Q22" s="3">
        <v>0</v>
      </c>
      <c r="R22" s="3">
        <v>2092613</v>
      </c>
      <c r="S22" s="3">
        <v>9590.42</v>
      </c>
      <c r="T22" s="3">
        <v>6.8437000000000001</v>
      </c>
      <c r="U22" s="2">
        <v>46197</v>
      </c>
      <c r="V22" s="3" t="s">
        <v>70</v>
      </c>
      <c r="W22" s="3" t="s">
        <v>29</v>
      </c>
      <c r="X22" s="3" t="s">
        <v>71</v>
      </c>
      <c r="Y22" s="3">
        <v>0</v>
      </c>
      <c r="Z22" s="3">
        <v>1.45</v>
      </c>
      <c r="AA22" s="3">
        <v>0</v>
      </c>
      <c r="AB22" s="3">
        <v>2171934</v>
      </c>
      <c r="AC22" s="3">
        <v>6348.82</v>
      </c>
      <c r="AD22" s="3">
        <v>17.7789</v>
      </c>
      <c r="AE22" s="2"/>
      <c r="AO22" s="2"/>
      <c r="AY22" s="2">
        <v>46197</v>
      </c>
      <c r="AZ22" s="3" t="s">
        <v>397</v>
      </c>
      <c r="BA22" s="3" t="s">
        <v>398</v>
      </c>
      <c r="BB22" s="3" t="s">
        <v>399</v>
      </c>
      <c r="BC22" s="3">
        <v>0</v>
      </c>
      <c r="BD22" s="3">
        <v>0.92</v>
      </c>
      <c r="BE22" s="3">
        <v>0</v>
      </c>
      <c r="BF22" s="3">
        <v>1155767</v>
      </c>
      <c r="BG22" s="3">
        <v>10017.27</v>
      </c>
      <c r="BH22" s="3">
        <v>1.4998</v>
      </c>
      <c r="BI22" s="2">
        <v>46197</v>
      </c>
      <c r="BJ22" s="3" t="s">
        <v>981</v>
      </c>
      <c r="BK22" s="3" t="s">
        <v>982</v>
      </c>
      <c r="BL22" s="3" t="s">
        <v>983</v>
      </c>
      <c r="BM22" s="3">
        <v>0</v>
      </c>
      <c r="BN22" s="3">
        <v>1.41</v>
      </c>
      <c r="BO22" s="3">
        <v>0</v>
      </c>
      <c r="BP22" s="3">
        <v>1856084</v>
      </c>
      <c r="BQ22" s="3">
        <v>10033.83</v>
      </c>
      <c r="BR22" s="3">
        <v>0.31929999999999997</v>
      </c>
      <c r="BS22" s="2">
        <v>46197</v>
      </c>
      <c r="BT22" s="3" t="s">
        <v>631</v>
      </c>
      <c r="BU22" s="3" t="s">
        <v>632</v>
      </c>
      <c r="BV22" s="3" t="s">
        <v>633</v>
      </c>
      <c r="BW22" s="3">
        <v>0</v>
      </c>
      <c r="BX22" s="3">
        <v>2.4500000000000002</v>
      </c>
      <c r="BY22" s="3">
        <v>0</v>
      </c>
      <c r="BZ22" s="3">
        <v>2497528</v>
      </c>
      <c r="CA22" s="3">
        <v>9912.08</v>
      </c>
      <c r="CB22" s="3">
        <v>1.5028999999999999</v>
      </c>
      <c r="CC22" s="2">
        <v>46197</v>
      </c>
      <c r="CD22" s="3" t="s">
        <v>62</v>
      </c>
      <c r="CE22" s="3" t="s">
        <v>63</v>
      </c>
      <c r="CF22" s="3" t="s">
        <v>161</v>
      </c>
      <c r="CG22" s="3">
        <v>0</v>
      </c>
      <c r="CH22" s="3">
        <v>0.73</v>
      </c>
      <c r="CI22" s="3">
        <v>0</v>
      </c>
      <c r="CJ22" s="3">
        <v>1070936</v>
      </c>
      <c r="CK22" s="3">
        <v>8294.31</v>
      </c>
      <c r="CL22" s="3">
        <v>13.3939</v>
      </c>
      <c r="CM22" s="2"/>
      <c r="CW22" s="2">
        <v>46197</v>
      </c>
      <c r="CX22" s="3" t="s">
        <v>1215</v>
      </c>
      <c r="CY22" s="3" t="s">
        <v>360</v>
      </c>
      <c r="CZ22" s="3" t="s">
        <v>1216</v>
      </c>
      <c r="DA22" s="3">
        <v>0</v>
      </c>
      <c r="DB22" s="3">
        <v>0.89</v>
      </c>
      <c r="DC22" s="3">
        <v>0</v>
      </c>
      <c r="DD22" s="3">
        <v>2086040</v>
      </c>
      <c r="DE22" s="3">
        <v>10056.790000000001</v>
      </c>
      <c r="DF22" s="3">
        <v>0.8276</v>
      </c>
    </row>
    <row r="23" spans="1:110" ht="13.5" customHeight="1" x14ac:dyDescent="0.3">
      <c r="A23" s="2">
        <v>46197</v>
      </c>
      <c r="B23" s="3" t="s">
        <v>77</v>
      </c>
      <c r="C23" s="3" t="s">
        <v>29</v>
      </c>
      <c r="D23" s="3" t="s">
        <v>78</v>
      </c>
      <c r="E23" s="3">
        <v>0</v>
      </c>
      <c r="F23" s="3">
        <v>0.76</v>
      </c>
      <c r="G23" s="3">
        <v>0</v>
      </c>
      <c r="H23" s="3">
        <v>850234</v>
      </c>
      <c r="I23" s="3">
        <v>8197.18</v>
      </c>
      <c r="J23" s="3">
        <v>16.517900000000001</v>
      </c>
      <c r="K23" s="2">
        <v>46197</v>
      </c>
      <c r="L23" s="3" t="s">
        <v>77</v>
      </c>
      <c r="M23" s="3" t="s">
        <v>29</v>
      </c>
      <c r="N23" s="3" t="s">
        <v>78</v>
      </c>
      <c r="O23" s="3">
        <v>0</v>
      </c>
      <c r="P23" s="3">
        <v>1.75</v>
      </c>
      <c r="Q23" s="3">
        <v>0</v>
      </c>
      <c r="R23" s="3">
        <v>2044239</v>
      </c>
      <c r="S23" s="3">
        <v>8197.18</v>
      </c>
      <c r="T23" s="3">
        <v>16.517900000000001</v>
      </c>
      <c r="U23" s="2">
        <v>46197</v>
      </c>
      <c r="V23" s="3" t="s">
        <v>58</v>
      </c>
      <c r="W23" s="3" t="s">
        <v>29</v>
      </c>
      <c r="X23" s="3" t="s">
        <v>59</v>
      </c>
      <c r="Y23" s="3">
        <v>0</v>
      </c>
      <c r="Z23" s="3">
        <v>1.4</v>
      </c>
      <c r="AA23" s="3">
        <v>0</v>
      </c>
      <c r="AB23" s="3">
        <v>2103756</v>
      </c>
      <c r="AC23" s="3">
        <v>8385.8700000000008</v>
      </c>
      <c r="AD23" s="3">
        <v>16.903199999999998</v>
      </c>
      <c r="AE23" s="2"/>
      <c r="AO23" s="2"/>
      <c r="AY23" s="2">
        <v>46197</v>
      </c>
      <c r="AZ23" s="3" t="s">
        <v>35</v>
      </c>
      <c r="BA23" s="3" t="s">
        <v>36</v>
      </c>
      <c r="BB23" s="3" t="s">
        <v>37</v>
      </c>
      <c r="BC23" s="3">
        <v>0</v>
      </c>
      <c r="BD23" s="3">
        <v>0.85</v>
      </c>
      <c r="BE23" s="3">
        <v>0.01</v>
      </c>
      <c r="BF23" s="3">
        <v>1065200</v>
      </c>
      <c r="BI23" s="2">
        <v>46197</v>
      </c>
      <c r="BJ23" s="3" t="s">
        <v>984</v>
      </c>
      <c r="BK23" s="3" t="s">
        <v>985</v>
      </c>
      <c r="BL23" s="3" t="s">
        <v>986</v>
      </c>
      <c r="BM23" s="3">
        <v>0</v>
      </c>
      <c r="BN23" s="3">
        <v>1.41</v>
      </c>
      <c r="BO23" s="3">
        <v>0</v>
      </c>
      <c r="BP23" s="3">
        <v>1851796</v>
      </c>
      <c r="BQ23" s="3">
        <v>10010.82</v>
      </c>
      <c r="BR23" s="3">
        <v>0.13059999999999999</v>
      </c>
      <c r="BS23" s="2">
        <v>46197</v>
      </c>
      <c r="BT23" s="3" t="s">
        <v>634</v>
      </c>
      <c r="BU23" s="3" t="s">
        <v>635</v>
      </c>
      <c r="BV23" s="3" t="s">
        <v>636</v>
      </c>
      <c r="BW23" s="3">
        <v>0</v>
      </c>
      <c r="BX23" s="3">
        <v>2.44</v>
      </c>
      <c r="BY23" s="3">
        <v>0</v>
      </c>
      <c r="BZ23" s="3">
        <v>2496182</v>
      </c>
      <c r="CA23" s="3">
        <v>9906.49</v>
      </c>
      <c r="CB23" s="3">
        <v>2.468</v>
      </c>
      <c r="CC23" s="2">
        <v>46197</v>
      </c>
      <c r="CD23" s="3" t="s">
        <v>86</v>
      </c>
      <c r="CE23" s="3" t="s">
        <v>29</v>
      </c>
      <c r="CF23" s="3" t="s">
        <v>162</v>
      </c>
      <c r="CG23" s="3">
        <v>0</v>
      </c>
      <c r="CH23" s="3">
        <v>0.71</v>
      </c>
      <c r="CI23" s="3">
        <v>0</v>
      </c>
      <c r="CJ23" s="3">
        <v>1042138</v>
      </c>
      <c r="CK23" s="3">
        <v>7549.83</v>
      </c>
      <c r="CL23" s="3">
        <v>17.713899999999999</v>
      </c>
      <c r="CM23" s="2"/>
      <c r="CW23" s="2">
        <v>46197</v>
      </c>
      <c r="CX23" s="3" t="s">
        <v>1217</v>
      </c>
      <c r="CY23" s="3" t="s">
        <v>243</v>
      </c>
      <c r="CZ23" s="3" t="s">
        <v>1218</v>
      </c>
      <c r="DA23" s="3">
        <v>0</v>
      </c>
      <c r="DB23" s="3">
        <v>0.89</v>
      </c>
      <c r="DC23" s="3">
        <v>0</v>
      </c>
      <c r="DD23" s="3">
        <v>2084974</v>
      </c>
      <c r="DE23" s="3">
        <v>10051.84</v>
      </c>
      <c r="DF23" s="3">
        <v>0.53690000000000004</v>
      </c>
    </row>
    <row r="24" spans="1:110" ht="13.5" customHeight="1" x14ac:dyDescent="0.3">
      <c r="A24" s="2">
        <v>46197</v>
      </c>
      <c r="B24" s="3" t="s">
        <v>215</v>
      </c>
      <c r="C24" s="3" t="s">
        <v>29</v>
      </c>
      <c r="D24" s="3" t="s">
        <v>734</v>
      </c>
      <c r="E24" s="3">
        <v>0</v>
      </c>
      <c r="F24" s="3">
        <v>0.74</v>
      </c>
      <c r="G24" s="3">
        <v>0</v>
      </c>
      <c r="H24" s="3">
        <v>827713</v>
      </c>
      <c r="I24" s="3">
        <v>6751.24</v>
      </c>
      <c r="J24" s="3">
        <v>16.656500000000001</v>
      </c>
      <c r="K24" s="2">
        <v>46197</v>
      </c>
      <c r="L24" s="3" t="s">
        <v>79</v>
      </c>
      <c r="M24" s="3" t="s">
        <v>29</v>
      </c>
      <c r="N24" s="3" t="s">
        <v>80</v>
      </c>
      <c r="O24" s="3">
        <v>0</v>
      </c>
      <c r="P24" s="3">
        <v>1.68</v>
      </c>
      <c r="Q24" s="3">
        <v>0</v>
      </c>
      <c r="R24" s="3">
        <v>1961998</v>
      </c>
      <c r="S24" s="3">
        <v>8990.59</v>
      </c>
      <c r="T24" s="3">
        <v>16.330300000000001</v>
      </c>
      <c r="U24" s="2">
        <v>46197</v>
      </c>
      <c r="V24" s="3" t="s">
        <v>739</v>
      </c>
      <c r="W24" s="3" t="s">
        <v>29</v>
      </c>
      <c r="X24" s="3" t="s">
        <v>740</v>
      </c>
      <c r="Y24" s="3">
        <v>0</v>
      </c>
      <c r="Z24" s="3">
        <v>1.19</v>
      </c>
      <c r="AA24" s="3">
        <v>0</v>
      </c>
      <c r="AB24" s="3">
        <v>1776638</v>
      </c>
      <c r="AC24" s="3">
        <v>7081.51</v>
      </c>
      <c r="AD24" s="3">
        <v>15.465400000000001</v>
      </c>
      <c r="AE24" s="2"/>
      <c r="AO24" s="2"/>
      <c r="AY24" s="2">
        <v>46197</v>
      </c>
      <c r="AZ24" s="3" t="s">
        <v>225</v>
      </c>
      <c r="BA24" s="3" t="s">
        <v>218</v>
      </c>
      <c r="BB24" s="3" t="s">
        <v>400</v>
      </c>
      <c r="BC24" s="3">
        <v>0</v>
      </c>
      <c r="BD24" s="3">
        <v>0.84</v>
      </c>
      <c r="BE24" s="3">
        <v>0</v>
      </c>
      <c r="BF24" s="3">
        <v>1061238</v>
      </c>
      <c r="BG24" s="3">
        <v>10532.51</v>
      </c>
      <c r="BH24" s="3">
        <v>3.1417000000000002</v>
      </c>
      <c r="BI24" s="2">
        <v>46197</v>
      </c>
      <c r="BJ24" s="3" t="s">
        <v>987</v>
      </c>
      <c r="BK24" s="3" t="s">
        <v>988</v>
      </c>
      <c r="BL24" s="3" t="s">
        <v>989</v>
      </c>
      <c r="BM24" s="3">
        <v>0</v>
      </c>
      <c r="BN24" s="3">
        <v>1.2</v>
      </c>
      <c r="BO24" s="3">
        <v>0</v>
      </c>
      <c r="BP24" s="3">
        <v>1582040</v>
      </c>
      <c r="BQ24" s="3">
        <v>9990.41</v>
      </c>
      <c r="BR24" s="3">
        <v>0.22239999999999999</v>
      </c>
      <c r="BS24" s="2">
        <v>46197</v>
      </c>
      <c r="BT24" s="3" t="s">
        <v>637</v>
      </c>
      <c r="BU24" s="3" t="s">
        <v>638</v>
      </c>
      <c r="BV24" s="3" t="s">
        <v>639</v>
      </c>
      <c r="BW24" s="3">
        <v>0</v>
      </c>
      <c r="BX24" s="3">
        <v>2.4300000000000002</v>
      </c>
      <c r="BY24" s="3">
        <v>0</v>
      </c>
      <c r="BZ24" s="3">
        <v>2477908</v>
      </c>
      <c r="CA24" s="3">
        <v>9832.2999999999993</v>
      </c>
      <c r="CB24" s="3">
        <v>1.8205</v>
      </c>
      <c r="CC24" s="2">
        <v>46197</v>
      </c>
      <c r="CD24" s="3" t="s">
        <v>55</v>
      </c>
      <c r="CE24" s="3" t="s">
        <v>56</v>
      </c>
      <c r="CF24" s="3" t="s">
        <v>163</v>
      </c>
      <c r="CG24" s="3">
        <v>0</v>
      </c>
      <c r="CH24" s="3">
        <v>0.68</v>
      </c>
      <c r="CI24" s="3">
        <v>0</v>
      </c>
      <c r="CJ24" s="3">
        <v>995023</v>
      </c>
      <c r="CK24" s="3">
        <v>9633.18</v>
      </c>
      <c r="CL24" s="3">
        <v>3.4630999999999998</v>
      </c>
      <c r="CM24" s="2"/>
      <c r="CW24" s="2">
        <v>46197</v>
      </c>
      <c r="CX24" s="3" t="s">
        <v>1219</v>
      </c>
      <c r="CY24" s="3" t="s">
        <v>1220</v>
      </c>
      <c r="CZ24" s="3" t="s">
        <v>1221</v>
      </c>
      <c r="DA24" s="3">
        <v>0</v>
      </c>
      <c r="DB24" s="3">
        <v>0.89</v>
      </c>
      <c r="DC24" s="3">
        <v>0</v>
      </c>
      <c r="DD24" s="3">
        <v>2080591</v>
      </c>
      <c r="DE24" s="3">
        <v>10030.49</v>
      </c>
      <c r="DF24" s="3">
        <v>0.74350000000000005</v>
      </c>
    </row>
    <row r="25" spans="1:110" ht="13.5" customHeight="1" x14ac:dyDescent="0.3">
      <c r="A25" s="2">
        <v>46197</v>
      </c>
      <c r="B25" s="3" t="s">
        <v>753</v>
      </c>
      <c r="C25" s="3" t="s">
        <v>29</v>
      </c>
      <c r="D25" s="3" t="s">
        <v>754</v>
      </c>
      <c r="E25" s="3">
        <v>0</v>
      </c>
      <c r="F25" s="3">
        <v>0.73</v>
      </c>
      <c r="G25" s="3">
        <v>0</v>
      </c>
      <c r="H25" s="3">
        <v>811030</v>
      </c>
      <c r="I25" s="3">
        <v>7831.26</v>
      </c>
      <c r="J25" s="3">
        <v>9.1460000000000008</v>
      </c>
      <c r="K25" s="2">
        <v>46197</v>
      </c>
      <c r="L25" s="3" t="s">
        <v>81</v>
      </c>
      <c r="M25" s="3" t="s">
        <v>29</v>
      </c>
      <c r="N25" s="3" t="s">
        <v>82</v>
      </c>
      <c r="O25" s="3">
        <v>0</v>
      </c>
      <c r="P25" s="3">
        <v>1.48</v>
      </c>
      <c r="Q25" s="3">
        <v>0</v>
      </c>
      <c r="R25" s="3">
        <v>1735268</v>
      </c>
      <c r="S25" s="3">
        <v>7137.21</v>
      </c>
      <c r="T25" s="3">
        <v>12.1907</v>
      </c>
      <c r="U25" s="2">
        <v>46197</v>
      </c>
      <c r="V25" s="3" t="s">
        <v>47</v>
      </c>
      <c r="W25" s="3" t="s">
        <v>29</v>
      </c>
      <c r="X25" s="3" t="s">
        <v>48</v>
      </c>
      <c r="Y25" s="3">
        <v>0</v>
      </c>
      <c r="Z25" s="3">
        <v>0.89</v>
      </c>
      <c r="AA25" s="3">
        <v>0</v>
      </c>
      <c r="AB25" s="3">
        <v>1335129</v>
      </c>
      <c r="AC25" s="3">
        <v>7318.07</v>
      </c>
      <c r="AD25" s="3">
        <v>18.063800000000001</v>
      </c>
      <c r="AE25" s="2"/>
      <c r="AO25" s="2"/>
      <c r="AY25" s="2">
        <v>46197</v>
      </c>
      <c r="AZ25" s="3" t="s">
        <v>401</v>
      </c>
      <c r="BA25" s="3" t="s">
        <v>56</v>
      </c>
      <c r="BB25" s="3" t="s">
        <v>402</v>
      </c>
      <c r="BC25" s="3">
        <v>0</v>
      </c>
      <c r="BD25" s="3">
        <v>0.83</v>
      </c>
      <c r="BE25" s="3">
        <v>0</v>
      </c>
      <c r="BF25" s="3">
        <v>1039668</v>
      </c>
      <c r="BG25" s="3">
        <v>10087.11</v>
      </c>
      <c r="BH25" s="3">
        <v>8.0543999999999993</v>
      </c>
      <c r="BI25" s="2">
        <v>46197</v>
      </c>
      <c r="BJ25" s="3" t="s">
        <v>990</v>
      </c>
      <c r="BK25" s="3" t="s">
        <v>991</v>
      </c>
      <c r="BL25" s="3" t="s">
        <v>992</v>
      </c>
      <c r="BM25" s="3">
        <v>0</v>
      </c>
      <c r="BN25" s="3">
        <v>1.07</v>
      </c>
      <c r="BO25" s="3">
        <v>0</v>
      </c>
      <c r="BP25" s="3">
        <v>1401813</v>
      </c>
      <c r="BS25" s="2">
        <v>46197</v>
      </c>
      <c r="BT25" s="3" t="s">
        <v>640</v>
      </c>
      <c r="BU25" s="3" t="s">
        <v>641</v>
      </c>
      <c r="BV25" s="3" t="s">
        <v>642</v>
      </c>
      <c r="BW25" s="3">
        <v>0</v>
      </c>
      <c r="BX25" s="3">
        <v>2.42</v>
      </c>
      <c r="BY25" s="3">
        <v>0</v>
      </c>
      <c r="BZ25" s="3">
        <v>2475628</v>
      </c>
      <c r="CA25" s="3">
        <v>9825.6</v>
      </c>
      <c r="CB25" s="3">
        <v>1.9501999999999999</v>
      </c>
      <c r="CC25" s="2">
        <v>46197</v>
      </c>
      <c r="CD25" s="3" t="s">
        <v>164</v>
      </c>
      <c r="CE25" s="3" t="s">
        <v>165</v>
      </c>
      <c r="CF25" s="3" t="s">
        <v>166</v>
      </c>
      <c r="CG25" s="3">
        <v>0</v>
      </c>
      <c r="CH25" s="3">
        <v>0.65</v>
      </c>
      <c r="CI25" s="3">
        <v>0</v>
      </c>
      <c r="CJ25" s="3">
        <v>948218</v>
      </c>
      <c r="CK25" s="3">
        <v>10097.84</v>
      </c>
      <c r="CL25" s="3">
        <v>0.40870000000000001</v>
      </c>
      <c r="CM25" s="2"/>
      <c r="CW25" s="2">
        <v>46197</v>
      </c>
      <c r="CX25" s="3" t="s">
        <v>1222</v>
      </c>
      <c r="CY25" s="3" t="s">
        <v>1223</v>
      </c>
      <c r="CZ25" s="3" t="s">
        <v>1224</v>
      </c>
      <c r="DA25" s="3">
        <v>0</v>
      </c>
      <c r="DB25" s="3">
        <v>0.89</v>
      </c>
      <c r="DC25" s="3">
        <v>0</v>
      </c>
      <c r="DD25" s="3">
        <v>2079811</v>
      </c>
      <c r="DE25" s="3">
        <v>10027.030000000001</v>
      </c>
      <c r="DF25" s="3">
        <v>0.6905</v>
      </c>
    </row>
    <row r="26" spans="1:110" ht="13.5" customHeight="1" x14ac:dyDescent="0.3">
      <c r="A26" s="2">
        <v>46197</v>
      </c>
      <c r="B26" s="3" t="s">
        <v>755</v>
      </c>
      <c r="C26" s="3" t="s">
        <v>756</v>
      </c>
      <c r="D26" s="3" t="s">
        <v>757</v>
      </c>
      <c r="E26" s="3">
        <v>0</v>
      </c>
      <c r="F26" s="3">
        <v>0.71</v>
      </c>
      <c r="G26" s="3">
        <v>0</v>
      </c>
      <c r="H26" s="3">
        <v>796118</v>
      </c>
      <c r="I26" s="3">
        <v>9924.58</v>
      </c>
      <c r="J26" s="3">
        <v>0.97240000000000004</v>
      </c>
      <c r="K26" s="2">
        <v>46197</v>
      </c>
      <c r="L26" s="3" t="s">
        <v>83</v>
      </c>
      <c r="M26" s="3" t="s">
        <v>84</v>
      </c>
      <c r="N26" s="3" t="s">
        <v>85</v>
      </c>
      <c r="O26" s="3">
        <v>0</v>
      </c>
      <c r="P26" s="3">
        <v>1.45</v>
      </c>
      <c r="Q26" s="3">
        <v>0</v>
      </c>
      <c r="R26" s="3">
        <v>1693112</v>
      </c>
      <c r="S26" s="3">
        <v>9052.18</v>
      </c>
      <c r="T26" s="3">
        <v>3.7404000000000002</v>
      </c>
      <c r="U26" s="2">
        <v>46197</v>
      </c>
      <c r="V26" s="3" t="s">
        <v>741</v>
      </c>
      <c r="W26" s="3" t="s">
        <v>29</v>
      </c>
      <c r="X26" s="3" t="s">
        <v>742</v>
      </c>
      <c r="Y26" s="3">
        <v>0</v>
      </c>
      <c r="Z26" s="3">
        <v>0.74</v>
      </c>
      <c r="AA26" s="3">
        <v>0</v>
      </c>
      <c r="AB26" s="3">
        <v>1102564</v>
      </c>
      <c r="AC26" s="3">
        <v>8057.91</v>
      </c>
      <c r="AD26" s="3">
        <v>13.7516</v>
      </c>
      <c r="AE26" s="2"/>
      <c r="AO26" s="2"/>
      <c r="AY26" s="2">
        <v>46197</v>
      </c>
      <c r="AZ26" s="3" t="s">
        <v>119</v>
      </c>
      <c r="BA26" s="3" t="s">
        <v>29</v>
      </c>
      <c r="BB26" s="3" t="s">
        <v>120</v>
      </c>
      <c r="BC26" s="3">
        <v>0</v>
      </c>
      <c r="BD26" s="3">
        <v>0.82</v>
      </c>
      <c r="BE26" s="3">
        <v>0</v>
      </c>
      <c r="BF26" s="3">
        <v>1030685</v>
      </c>
      <c r="BG26" s="3">
        <v>7239.79</v>
      </c>
      <c r="BH26" s="3">
        <v>17.153199999999998</v>
      </c>
      <c r="BI26" s="2">
        <v>46197</v>
      </c>
      <c r="BJ26" s="3" t="s">
        <v>993</v>
      </c>
      <c r="BK26" s="3" t="s">
        <v>994</v>
      </c>
      <c r="BL26" s="3" t="s">
        <v>995</v>
      </c>
      <c r="BM26" s="3">
        <v>0</v>
      </c>
      <c r="BN26" s="3">
        <v>1</v>
      </c>
      <c r="BO26" s="3">
        <v>0</v>
      </c>
      <c r="BP26" s="3">
        <v>1313844</v>
      </c>
      <c r="BS26" s="2">
        <v>46197</v>
      </c>
      <c r="BT26" s="3" t="s">
        <v>643</v>
      </c>
      <c r="BU26" s="3" t="s">
        <v>644</v>
      </c>
      <c r="BV26" s="3" t="s">
        <v>645</v>
      </c>
      <c r="BW26" s="3">
        <v>0</v>
      </c>
      <c r="BX26" s="3">
        <v>2.42</v>
      </c>
      <c r="BY26" s="3">
        <v>0</v>
      </c>
      <c r="BZ26" s="3">
        <v>2475472</v>
      </c>
      <c r="CA26" s="3">
        <v>9824.26</v>
      </c>
      <c r="CB26" s="3">
        <v>1.726</v>
      </c>
      <c r="CC26" s="2">
        <v>46197</v>
      </c>
      <c r="CD26" s="3" t="s">
        <v>167</v>
      </c>
      <c r="CE26" s="3" t="s">
        <v>29</v>
      </c>
      <c r="CF26" s="3" t="s">
        <v>168</v>
      </c>
      <c r="CG26" s="3">
        <v>0</v>
      </c>
      <c r="CH26" s="3">
        <v>0.65</v>
      </c>
      <c r="CI26" s="3">
        <v>0</v>
      </c>
      <c r="CJ26" s="3">
        <v>947578</v>
      </c>
      <c r="CK26" s="3">
        <v>8989.7800000000007</v>
      </c>
      <c r="CL26" s="3">
        <v>4.2381000000000002</v>
      </c>
      <c r="CM26" s="2"/>
      <c r="CW26" s="2">
        <v>46197</v>
      </c>
      <c r="CX26" s="3" t="s">
        <v>1225</v>
      </c>
      <c r="CY26" s="3" t="s">
        <v>609</v>
      </c>
      <c r="CZ26" s="3" t="s">
        <v>1226</v>
      </c>
      <c r="DA26" s="3">
        <v>0</v>
      </c>
      <c r="DB26" s="3">
        <v>0.89</v>
      </c>
      <c r="DC26" s="3">
        <v>0</v>
      </c>
      <c r="DD26" s="3">
        <v>2073447</v>
      </c>
      <c r="DE26" s="3">
        <v>9996.01</v>
      </c>
      <c r="DF26" s="3">
        <v>0.96989999999999998</v>
      </c>
    </row>
    <row r="27" spans="1:110" ht="13.5" customHeight="1" x14ac:dyDescent="0.3">
      <c r="A27" s="2">
        <v>46197</v>
      </c>
      <c r="B27" s="3" t="s">
        <v>758</v>
      </c>
      <c r="C27" s="3" t="s">
        <v>759</v>
      </c>
      <c r="D27" s="3" t="s">
        <v>760</v>
      </c>
      <c r="E27" s="3">
        <v>0</v>
      </c>
      <c r="F27" s="3">
        <v>0.71</v>
      </c>
      <c r="G27" s="3">
        <v>0</v>
      </c>
      <c r="H27" s="3">
        <v>795255</v>
      </c>
      <c r="I27" s="3">
        <v>9990.98</v>
      </c>
      <c r="J27" s="3">
        <v>4.3860999999999999</v>
      </c>
      <c r="K27" s="2">
        <v>46197</v>
      </c>
      <c r="L27" s="3" t="s">
        <v>86</v>
      </c>
      <c r="M27" s="3" t="s">
        <v>29</v>
      </c>
      <c r="N27" s="3" t="s">
        <v>87</v>
      </c>
      <c r="O27" s="3">
        <v>0</v>
      </c>
      <c r="P27" s="3">
        <v>1.41</v>
      </c>
      <c r="Q27" s="3">
        <v>0</v>
      </c>
      <c r="R27" s="3">
        <v>1647406</v>
      </c>
      <c r="S27" s="3">
        <v>7549.83</v>
      </c>
      <c r="T27" s="3">
        <v>17.713899999999999</v>
      </c>
      <c r="U27" s="2">
        <v>46197</v>
      </c>
      <c r="V27" s="3" t="s">
        <v>117</v>
      </c>
      <c r="W27" s="3" t="s">
        <v>56</v>
      </c>
      <c r="X27" s="3" t="s">
        <v>118</v>
      </c>
      <c r="Y27" s="3">
        <v>0</v>
      </c>
      <c r="Z27" s="3">
        <v>0.56000000000000005</v>
      </c>
      <c r="AA27" s="3">
        <v>0</v>
      </c>
      <c r="AB27" s="3">
        <v>844446</v>
      </c>
      <c r="AC27" s="3">
        <v>7405.73</v>
      </c>
      <c r="AD27" s="3">
        <v>12.543200000000001</v>
      </c>
      <c r="AE27" s="2"/>
      <c r="AO27" s="2"/>
      <c r="AY27" s="2">
        <v>46197</v>
      </c>
      <c r="AZ27" s="3" t="s">
        <v>137</v>
      </c>
      <c r="BA27" s="3" t="s">
        <v>138</v>
      </c>
      <c r="BB27" s="3" t="s">
        <v>139</v>
      </c>
      <c r="BC27" s="3">
        <v>0</v>
      </c>
      <c r="BD27" s="3">
        <v>0.82</v>
      </c>
      <c r="BE27" s="3">
        <v>0.01</v>
      </c>
      <c r="BF27" s="3">
        <v>1030300</v>
      </c>
      <c r="BI27" s="2">
        <v>46197</v>
      </c>
      <c r="BJ27" s="3" t="s">
        <v>996</v>
      </c>
      <c r="BK27" s="3" t="s">
        <v>997</v>
      </c>
      <c r="BL27" s="3" t="s">
        <v>998</v>
      </c>
      <c r="BM27" s="3">
        <v>0</v>
      </c>
      <c r="BN27" s="3">
        <v>0.87</v>
      </c>
      <c r="BO27" s="3">
        <v>0</v>
      </c>
      <c r="BP27" s="3">
        <v>1144259</v>
      </c>
      <c r="BS27" s="2">
        <v>46197</v>
      </c>
      <c r="BT27" s="3" t="s">
        <v>646</v>
      </c>
      <c r="BU27" s="3" t="s">
        <v>647</v>
      </c>
      <c r="BV27" s="3" t="s">
        <v>648</v>
      </c>
      <c r="BW27" s="3">
        <v>0</v>
      </c>
      <c r="BX27" s="3">
        <v>2.42</v>
      </c>
      <c r="BY27" s="3">
        <v>0</v>
      </c>
      <c r="BZ27" s="3">
        <v>2469944</v>
      </c>
      <c r="CA27" s="3">
        <v>9802.84</v>
      </c>
      <c r="CB27" s="3">
        <v>1.8355999999999999</v>
      </c>
      <c r="CC27" s="2">
        <v>46197</v>
      </c>
      <c r="CD27" s="3" t="s">
        <v>169</v>
      </c>
      <c r="CE27" s="3" t="s">
        <v>170</v>
      </c>
      <c r="CF27" s="3" t="s">
        <v>171</v>
      </c>
      <c r="CG27" s="3">
        <v>0</v>
      </c>
      <c r="CH27" s="3">
        <v>0.64</v>
      </c>
      <c r="CI27" s="3">
        <v>0</v>
      </c>
      <c r="CJ27" s="3">
        <v>944372</v>
      </c>
      <c r="CK27" s="3">
        <v>10056.94</v>
      </c>
      <c r="CL27" s="3">
        <v>0.90229999999999999</v>
      </c>
      <c r="CM27" s="2"/>
      <c r="CW27" s="2">
        <v>46197</v>
      </c>
      <c r="CX27" s="3" t="s">
        <v>1227</v>
      </c>
      <c r="CY27" s="3" t="s">
        <v>1228</v>
      </c>
      <c r="CZ27" s="3" t="s">
        <v>1229</v>
      </c>
      <c r="DA27" s="3">
        <v>0</v>
      </c>
      <c r="DB27" s="3">
        <v>0.89</v>
      </c>
      <c r="DC27" s="3">
        <v>0</v>
      </c>
      <c r="DD27" s="3">
        <v>2073277</v>
      </c>
      <c r="DE27" s="3">
        <v>9994.99</v>
      </c>
      <c r="DF27" s="3">
        <v>1.0926</v>
      </c>
    </row>
    <row r="28" spans="1:110" ht="13.5" customHeight="1" x14ac:dyDescent="0.3">
      <c r="A28" s="2">
        <v>46197</v>
      </c>
      <c r="B28" s="3" t="s">
        <v>761</v>
      </c>
      <c r="C28" s="3" t="s">
        <v>762</v>
      </c>
      <c r="D28" s="3" t="s">
        <v>763</v>
      </c>
      <c r="E28" s="3">
        <v>0</v>
      </c>
      <c r="F28" s="3">
        <v>0.71</v>
      </c>
      <c r="G28" s="3">
        <v>0</v>
      </c>
      <c r="H28" s="3">
        <v>790355</v>
      </c>
      <c r="I28" s="3">
        <v>9929.5</v>
      </c>
      <c r="J28" s="3">
        <v>4.1782000000000004</v>
      </c>
      <c r="K28" s="2">
        <v>46197</v>
      </c>
      <c r="L28" s="3" t="s">
        <v>88</v>
      </c>
      <c r="M28" s="3" t="s">
        <v>89</v>
      </c>
      <c r="N28" s="3" t="s">
        <v>90</v>
      </c>
      <c r="O28" s="3">
        <v>0</v>
      </c>
      <c r="P28" s="3">
        <v>1.31</v>
      </c>
      <c r="Q28" s="3">
        <v>0</v>
      </c>
      <c r="R28" s="3">
        <v>1535075</v>
      </c>
      <c r="S28" s="3">
        <v>9847.93</v>
      </c>
      <c r="T28" s="3">
        <v>2.7871000000000001</v>
      </c>
      <c r="U28" s="2">
        <v>46197</v>
      </c>
      <c r="V28" s="3" t="s">
        <v>210</v>
      </c>
      <c r="W28" s="3" t="s">
        <v>29</v>
      </c>
      <c r="X28" s="3" t="s">
        <v>390</v>
      </c>
      <c r="Y28" s="3">
        <v>0</v>
      </c>
      <c r="Z28" s="3">
        <v>0.38</v>
      </c>
      <c r="AA28" s="3">
        <v>0</v>
      </c>
      <c r="AB28" s="3">
        <v>566196</v>
      </c>
      <c r="AC28" s="3">
        <v>7301.83</v>
      </c>
      <c r="AD28" s="3">
        <v>18.233799999999999</v>
      </c>
      <c r="AE28" s="2"/>
      <c r="AO28" s="2"/>
      <c r="AY28" s="2">
        <v>46197</v>
      </c>
      <c r="AZ28" s="3" t="s">
        <v>124</v>
      </c>
      <c r="BA28" s="3" t="s">
        <v>29</v>
      </c>
      <c r="BB28" s="3" t="s">
        <v>125</v>
      </c>
      <c r="BC28" s="3">
        <v>0</v>
      </c>
      <c r="BD28" s="3">
        <v>0.74</v>
      </c>
      <c r="BE28" s="3">
        <v>0</v>
      </c>
      <c r="BF28" s="3">
        <v>927645</v>
      </c>
      <c r="BG28" s="3">
        <v>9189</v>
      </c>
      <c r="BH28" s="3">
        <v>5.0327999999999999</v>
      </c>
      <c r="BI28" s="2">
        <v>46197</v>
      </c>
      <c r="BJ28" s="3" t="s">
        <v>999</v>
      </c>
      <c r="BK28" s="3" t="s">
        <v>1000</v>
      </c>
      <c r="BL28" s="3" t="s">
        <v>1001</v>
      </c>
      <c r="BM28" s="3">
        <v>0</v>
      </c>
      <c r="BN28" s="3">
        <v>0.73</v>
      </c>
      <c r="BO28" s="3">
        <v>0</v>
      </c>
      <c r="BP28" s="3">
        <v>957645</v>
      </c>
      <c r="BS28" s="2">
        <v>46197</v>
      </c>
      <c r="BT28" s="3" t="s">
        <v>649</v>
      </c>
      <c r="BU28" s="3" t="s">
        <v>487</v>
      </c>
      <c r="BV28" s="3" t="s">
        <v>650</v>
      </c>
      <c r="BW28" s="3">
        <v>0</v>
      </c>
      <c r="BX28" s="3">
        <v>2.41</v>
      </c>
      <c r="BY28" s="3">
        <v>0</v>
      </c>
      <c r="BZ28" s="3">
        <v>2465880</v>
      </c>
      <c r="CA28" s="3">
        <v>9785.49</v>
      </c>
      <c r="CB28" s="3">
        <v>1.9349000000000001</v>
      </c>
      <c r="CC28" s="2">
        <v>46197</v>
      </c>
      <c r="CD28" s="3" t="s">
        <v>172</v>
      </c>
      <c r="CE28" s="3" t="s">
        <v>173</v>
      </c>
      <c r="CF28" s="3" t="s">
        <v>174</v>
      </c>
      <c r="CG28" s="3">
        <v>0</v>
      </c>
      <c r="CH28" s="3">
        <v>0.64</v>
      </c>
      <c r="CI28" s="3">
        <v>0</v>
      </c>
      <c r="CJ28" s="3">
        <v>941898</v>
      </c>
      <c r="CK28" s="3">
        <v>10030.07</v>
      </c>
      <c r="CL28" s="3">
        <v>0.68320000000000003</v>
      </c>
      <c r="CM28" s="2"/>
      <c r="CW28" s="2">
        <v>46197</v>
      </c>
      <c r="CX28" s="3" t="s">
        <v>1230</v>
      </c>
      <c r="CY28" s="3" t="s">
        <v>1231</v>
      </c>
      <c r="CZ28" s="3" t="s">
        <v>1232</v>
      </c>
      <c r="DA28" s="3">
        <v>0</v>
      </c>
      <c r="DB28" s="3">
        <v>0.89</v>
      </c>
      <c r="DC28" s="3">
        <v>0</v>
      </c>
      <c r="DD28" s="3">
        <v>2070818</v>
      </c>
    </row>
    <row r="29" spans="1:110" ht="13.5" customHeight="1" x14ac:dyDescent="0.3">
      <c r="A29" s="2">
        <v>46197</v>
      </c>
      <c r="B29" s="3" t="s">
        <v>68</v>
      </c>
      <c r="C29" s="3" t="s">
        <v>56</v>
      </c>
      <c r="D29" s="3" t="s">
        <v>69</v>
      </c>
      <c r="E29" s="3">
        <v>0</v>
      </c>
      <c r="F29" s="3">
        <v>0.7</v>
      </c>
      <c r="G29" s="3">
        <v>0</v>
      </c>
      <c r="H29" s="3">
        <v>782269</v>
      </c>
      <c r="I29" s="3">
        <v>9827.4</v>
      </c>
      <c r="J29" s="3">
        <v>4.2638999999999996</v>
      </c>
      <c r="K29" s="2">
        <v>46197</v>
      </c>
      <c r="L29" s="3" t="s">
        <v>91</v>
      </c>
      <c r="M29" s="3" t="s">
        <v>92</v>
      </c>
      <c r="N29" s="3" t="s">
        <v>93</v>
      </c>
      <c r="O29" s="3">
        <v>0</v>
      </c>
      <c r="P29" s="3">
        <v>1.3</v>
      </c>
      <c r="Q29" s="3">
        <v>0</v>
      </c>
      <c r="R29" s="3">
        <v>1520972</v>
      </c>
      <c r="S29" s="3">
        <v>9757.89</v>
      </c>
      <c r="T29" s="3">
        <v>2.9571999999999998</v>
      </c>
      <c r="U29" s="2">
        <v>46197</v>
      </c>
      <c r="V29" s="3" t="s">
        <v>7</v>
      </c>
      <c r="W29" s="3" t="s">
        <v>7</v>
      </c>
      <c r="X29" s="3" t="s">
        <v>46</v>
      </c>
      <c r="Z29" s="3">
        <v>14.61</v>
      </c>
      <c r="AB29" s="3">
        <v>-21904519</v>
      </c>
      <c r="AE29" s="2"/>
      <c r="AO29" s="2"/>
      <c r="AY29" s="2">
        <v>46197</v>
      </c>
      <c r="AZ29" s="3" t="s">
        <v>403</v>
      </c>
      <c r="BA29" s="3" t="s">
        <v>404</v>
      </c>
      <c r="BB29" s="3" t="s">
        <v>405</v>
      </c>
      <c r="BC29" s="3">
        <v>0</v>
      </c>
      <c r="BD29" s="3">
        <v>0.68</v>
      </c>
      <c r="BE29" s="3">
        <v>0</v>
      </c>
      <c r="BF29" s="3">
        <v>849678</v>
      </c>
      <c r="BI29" s="2">
        <v>46197</v>
      </c>
      <c r="BJ29" s="3" t="s">
        <v>1002</v>
      </c>
      <c r="BK29" s="3" t="s">
        <v>1003</v>
      </c>
      <c r="BL29" s="3" t="s">
        <v>1004</v>
      </c>
      <c r="BM29" s="3">
        <v>0</v>
      </c>
      <c r="BN29" s="3">
        <v>0.72</v>
      </c>
      <c r="BO29" s="3">
        <v>0</v>
      </c>
      <c r="BP29" s="3">
        <v>941341</v>
      </c>
      <c r="BQ29" s="3">
        <v>10177.56</v>
      </c>
      <c r="BR29" s="3">
        <v>0.245</v>
      </c>
      <c r="BS29" s="2">
        <v>46197</v>
      </c>
      <c r="BT29" s="3" t="s">
        <v>651</v>
      </c>
      <c r="BU29" s="3" t="s">
        <v>360</v>
      </c>
      <c r="BV29" s="3" t="s">
        <v>652</v>
      </c>
      <c r="BW29" s="3">
        <v>0</v>
      </c>
      <c r="BX29" s="3">
        <v>2.41</v>
      </c>
      <c r="BY29" s="3">
        <v>0</v>
      </c>
      <c r="BZ29" s="3">
        <v>2459105</v>
      </c>
      <c r="CA29" s="3">
        <v>9759.2199999999993</v>
      </c>
      <c r="CB29" s="3">
        <v>1.7964</v>
      </c>
      <c r="CC29" s="2">
        <v>46197</v>
      </c>
      <c r="CD29" s="3" t="s">
        <v>175</v>
      </c>
      <c r="CE29" s="3" t="s">
        <v>176</v>
      </c>
      <c r="CF29" s="3" t="s">
        <v>177</v>
      </c>
      <c r="CG29" s="3">
        <v>0</v>
      </c>
      <c r="CH29" s="3">
        <v>0.64</v>
      </c>
      <c r="CI29" s="3">
        <v>0</v>
      </c>
      <c r="CJ29" s="3">
        <v>939707</v>
      </c>
      <c r="CK29" s="3">
        <v>10007.08</v>
      </c>
      <c r="CL29" s="3">
        <v>1.3013999999999999</v>
      </c>
      <c r="CM29" s="2"/>
      <c r="CW29" s="2">
        <v>46197</v>
      </c>
      <c r="CX29" s="3" t="s">
        <v>1233</v>
      </c>
      <c r="CY29" s="3" t="s">
        <v>1234</v>
      </c>
      <c r="CZ29" s="3" t="s">
        <v>1235</v>
      </c>
      <c r="DA29" s="3">
        <v>0</v>
      </c>
      <c r="DB29" s="3">
        <v>0.89</v>
      </c>
      <c r="DC29" s="3">
        <v>0</v>
      </c>
      <c r="DD29" s="3">
        <v>2070367</v>
      </c>
      <c r="DE29" s="3">
        <v>9981</v>
      </c>
      <c r="DF29" s="3">
        <v>1.1017999999999999</v>
      </c>
    </row>
    <row r="30" spans="1:110" ht="13.5" customHeight="1" x14ac:dyDescent="0.3">
      <c r="A30" s="2">
        <v>46197</v>
      </c>
      <c r="B30" s="3" t="s">
        <v>737</v>
      </c>
      <c r="C30" s="3" t="s">
        <v>29</v>
      </c>
      <c r="D30" s="3" t="s">
        <v>738</v>
      </c>
      <c r="E30" s="3">
        <v>0</v>
      </c>
      <c r="F30" s="3">
        <v>0.7</v>
      </c>
      <c r="G30" s="3">
        <v>0</v>
      </c>
      <c r="H30" s="3">
        <v>782238</v>
      </c>
      <c r="I30" s="3">
        <v>5880</v>
      </c>
      <c r="J30" s="3">
        <v>18.049099999999999</v>
      </c>
      <c r="K30" s="2">
        <v>46197</v>
      </c>
      <c r="L30" s="3" t="s">
        <v>94</v>
      </c>
      <c r="M30" s="3" t="s">
        <v>95</v>
      </c>
      <c r="N30" s="3" t="s">
        <v>96</v>
      </c>
      <c r="O30" s="3">
        <v>0</v>
      </c>
      <c r="P30" s="3">
        <v>1.24</v>
      </c>
      <c r="Q30" s="3">
        <v>0</v>
      </c>
      <c r="R30" s="3">
        <v>1454525</v>
      </c>
      <c r="S30" s="3">
        <v>9331.3799999999992</v>
      </c>
      <c r="T30" s="3">
        <v>6.8722000000000003</v>
      </c>
      <c r="U30" s="2"/>
      <c r="AE30" s="2"/>
      <c r="AO30" s="2"/>
      <c r="AY30" s="2">
        <v>46197</v>
      </c>
      <c r="AZ30" s="3" t="s">
        <v>406</v>
      </c>
      <c r="BA30" s="3" t="s">
        <v>407</v>
      </c>
      <c r="BB30" s="3" t="s">
        <v>408</v>
      </c>
      <c r="BC30" s="3">
        <v>0</v>
      </c>
      <c r="BD30" s="3">
        <v>0.66</v>
      </c>
      <c r="BE30" s="3">
        <v>0</v>
      </c>
      <c r="BF30" s="3">
        <v>836197</v>
      </c>
      <c r="BG30" s="3">
        <v>10101.92</v>
      </c>
      <c r="BH30" s="3">
        <v>0.54930000000000001</v>
      </c>
      <c r="BI30" s="2">
        <v>46197</v>
      </c>
      <c r="BJ30" s="3" t="s">
        <v>1005</v>
      </c>
      <c r="BK30" s="3" t="s">
        <v>1006</v>
      </c>
      <c r="BL30" s="3" t="s">
        <v>1007</v>
      </c>
      <c r="BM30" s="3">
        <v>0</v>
      </c>
      <c r="BN30" s="3">
        <v>0.71</v>
      </c>
      <c r="BO30" s="3">
        <v>0</v>
      </c>
      <c r="BP30" s="3">
        <v>940770</v>
      </c>
      <c r="BQ30" s="3">
        <v>10171.549999999999</v>
      </c>
      <c r="BR30" s="3">
        <v>0.245</v>
      </c>
      <c r="BS30" s="2">
        <v>46197</v>
      </c>
      <c r="BT30" s="3" t="s">
        <v>653</v>
      </c>
      <c r="BU30" s="3" t="s">
        <v>654</v>
      </c>
      <c r="BV30" s="3" t="s">
        <v>655</v>
      </c>
      <c r="BW30" s="3">
        <v>0</v>
      </c>
      <c r="BX30" s="3">
        <v>2.4</v>
      </c>
      <c r="BY30" s="3">
        <v>0</v>
      </c>
      <c r="BZ30" s="3">
        <v>2455388</v>
      </c>
      <c r="CA30" s="3">
        <v>9745.17</v>
      </c>
      <c r="CB30" s="3">
        <v>2.0737999999999999</v>
      </c>
      <c r="CC30" s="2">
        <v>46197</v>
      </c>
      <c r="CD30" s="3" t="s">
        <v>178</v>
      </c>
      <c r="CE30" s="3" t="s">
        <v>179</v>
      </c>
      <c r="CF30" s="3" t="s">
        <v>180</v>
      </c>
      <c r="CG30" s="3">
        <v>0</v>
      </c>
      <c r="CH30" s="3">
        <v>0.64</v>
      </c>
      <c r="CI30" s="3">
        <v>0</v>
      </c>
      <c r="CJ30" s="3">
        <v>939200</v>
      </c>
      <c r="CK30" s="3">
        <v>10002.34</v>
      </c>
      <c r="CL30" s="3">
        <v>1.9124000000000001</v>
      </c>
      <c r="CM30" s="2"/>
      <c r="CW30" s="2">
        <v>46197</v>
      </c>
      <c r="CX30" s="3" t="s">
        <v>1236</v>
      </c>
      <c r="CY30" s="3" t="s">
        <v>431</v>
      </c>
      <c r="CZ30" s="3" t="s">
        <v>1237</v>
      </c>
      <c r="DA30" s="3">
        <v>0</v>
      </c>
      <c r="DB30" s="3">
        <v>0.89</v>
      </c>
      <c r="DC30" s="3">
        <v>0</v>
      </c>
      <c r="DD30" s="3">
        <v>2069925</v>
      </c>
      <c r="DE30" s="3">
        <v>9979.0300000000007</v>
      </c>
      <c r="DF30" s="3">
        <v>1.0882000000000001</v>
      </c>
    </row>
    <row r="31" spans="1:110" ht="13.5" customHeight="1" x14ac:dyDescent="0.3">
      <c r="A31" s="2">
        <v>46197</v>
      </c>
      <c r="B31" s="3" t="s">
        <v>764</v>
      </c>
      <c r="C31" s="3" t="s">
        <v>765</v>
      </c>
      <c r="D31" s="3" t="s">
        <v>766</v>
      </c>
      <c r="E31" s="3">
        <v>0</v>
      </c>
      <c r="F31" s="3">
        <v>0.7</v>
      </c>
      <c r="G31" s="3">
        <v>0</v>
      </c>
      <c r="H31" s="3">
        <v>779943</v>
      </c>
      <c r="I31" s="3">
        <v>9797.2099999999991</v>
      </c>
      <c r="J31" s="3">
        <v>3.1158999999999999</v>
      </c>
      <c r="K31" s="2">
        <v>46197</v>
      </c>
      <c r="L31" s="3" t="s">
        <v>97</v>
      </c>
      <c r="M31" s="3" t="s">
        <v>98</v>
      </c>
      <c r="N31" s="3" t="s">
        <v>99</v>
      </c>
      <c r="O31" s="3">
        <v>0</v>
      </c>
      <c r="P31" s="3">
        <v>1.1299999999999999</v>
      </c>
      <c r="Q31" s="3">
        <v>0</v>
      </c>
      <c r="R31" s="3">
        <v>1320805</v>
      </c>
      <c r="S31" s="3">
        <v>8473.98</v>
      </c>
      <c r="T31" s="3">
        <v>4.0532000000000004</v>
      </c>
      <c r="U31" s="2"/>
      <c r="AE31" s="2"/>
      <c r="AO31" s="2"/>
      <c r="AY31" s="2">
        <v>46197</v>
      </c>
      <c r="AZ31" s="3" t="s">
        <v>409</v>
      </c>
      <c r="BA31" s="3" t="s">
        <v>410</v>
      </c>
      <c r="BB31" s="3" t="s">
        <v>411</v>
      </c>
      <c r="BC31" s="3">
        <v>0</v>
      </c>
      <c r="BD31" s="3">
        <v>0.65</v>
      </c>
      <c r="BE31" s="3">
        <v>0</v>
      </c>
      <c r="BF31" s="3">
        <v>818086</v>
      </c>
      <c r="BG31" s="3">
        <v>9882.36</v>
      </c>
      <c r="BH31" s="3">
        <v>1.3091999999999999</v>
      </c>
      <c r="BI31" s="2">
        <v>46197</v>
      </c>
      <c r="BJ31" s="3" t="s">
        <v>1008</v>
      </c>
      <c r="BK31" s="3" t="s">
        <v>1009</v>
      </c>
      <c r="BL31" s="3" t="s">
        <v>1010</v>
      </c>
      <c r="BM31" s="3">
        <v>0</v>
      </c>
      <c r="BN31" s="3">
        <v>0.71</v>
      </c>
      <c r="BO31" s="3">
        <v>0</v>
      </c>
      <c r="BP31" s="3">
        <v>939356</v>
      </c>
      <c r="BQ31" s="3">
        <v>10156.33</v>
      </c>
      <c r="BR31" s="3">
        <v>0.1313</v>
      </c>
      <c r="BS31" s="2">
        <v>46197</v>
      </c>
      <c r="BT31" s="3" t="s">
        <v>656</v>
      </c>
      <c r="BU31" s="3" t="s">
        <v>657</v>
      </c>
      <c r="BV31" s="3" t="s">
        <v>658</v>
      </c>
      <c r="BW31" s="3">
        <v>0</v>
      </c>
      <c r="BX31" s="3">
        <v>2.4</v>
      </c>
      <c r="BY31" s="3">
        <v>0</v>
      </c>
      <c r="BZ31" s="3">
        <v>2454476</v>
      </c>
      <c r="CA31" s="3">
        <v>9741.2900000000009</v>
      </c>
      <c r="CB31" s="3">
        <v>1.8867</v>
      </c>
      <c r="CC31" s="2">
        <v>46197</v>
      </c>
      <c r="CD31" s="3" t="s">
        <v>181</v>
      </c>
      <c r="CE31" s="3" t="s">
        <v>182</v>
      </c>
      <c r="CF31" s="3" t="s">
        <v>183</v>
      </c>
      <c r="CG31" s="3">
        <v>0</v>
      </c>
      <c r="CH31" s="3">
        <v>0.64</v>
      </c>
      <c r="CI31" s="3">
        <v>0</v>
      </c>
      <c r="CJ31" s="3">
        <v>939010</v>
      </c>
      <c r="CK31" s="3">
        <v>10000.06</v>
      </c>
      <c r="CL31" s="3">
        <v>0.64280000000000004</v>
      </c>
      <c r="CM31" s="2"/>
      <c r="CW31" s="2">
        <v>46197</v>
      </c>
      <c r="CX31" s="3" t="s">
        <v>1238</v>
      </c>
      <c r="CY31" s="3" t="s">
        <v>1239</v>
      </c>
      <c r="CZ31" s="3" t="s">
        <v>1240</v>
      </c>
      <c r="DA31" s="3">
        <v>0</v>
      </c>
      <c r="DB31" s="3">
        <v>0.89</v>
      </c>
      <c r="DC31" s="3">
        <v>0</v>
      </c>
      <c r="DD31" s="3">
        <v>2069740</v>
      </c>
      <c r="DE31" s="3">
        <v>9977.2099999999991</v>
      </c>
      <c r="DF31" s="3">
        <v>1.3564000000000001</v>
      </c>
    </row>
    <row r="32" spans="1:110" ht="13.5" customHeight="1" x14ac:dyDescent="0.3">
      <c r="A32" s="2">
        <v>46197</v>
      </c>
      <c r="B32" s="3" t="s">
        <v>767</v>
      </c>
      <c r="C32" s="3" t="s">
        <v>768</v>
      </c>
      <c r="D32" s="3" t="s">
        <v>769</v>
      </c>
      <c r="E32" s="3">
        <v>0</v>
      </c>
      <c r="F32" s="3">
        <v>0.7</v>
      </c>
      <c r="G32" s="3">
        <v>0</v>
      </c>
      <c r="H32" s="3">
        <v>777658</v>
      </c>
      <c r="I32" s="3">
        <v>9768.4</v>
      </c>
      <c r="J32" s="3">
        <v>3.1328</v>
      </c>
      <c r="K32" s="2">
        <v>46197</v>
      </c>
      <c r="L32" s="3" t="s">
        <v>100</v>
      </c>
      <c r="M32" s="3" t="s">
        <v>101</v>
      </c>
      <c r="N32" s="3" t="s">
        <v>102</v>
      </c>
      <c r="O32" s="3">
        <v>0</v>
      </c>
      <c r="P32" s="3">
        <v>1.1100000000000001</v>
      </c>
      <c r="Q32" s="3">
        <v>0</v>
      </c>
      <c r="R32" s="3">
        <v>1305180</v>
      </c>
      <c r="S32" s="3">
        <v>8373.74</v>
      </c>
      <c r="T32" s="3">
        <v>4.2908999999999997</v>
      </c>
      <c r="U32" s="2"/>
      <c r="AE32" s="2"/>
      <c r="AO32" s="2"/>
      <c r="AY32" s="2">
        <v>46197</v>
      </c>
      <c r="AZ32" s="3" t="s">
        <v>412</v>
      </c>
      <c r="BA32" s="3" t="s">
        <v>413</v>
      </c>
      <c r="BB32" s="3" t="s">
        <v>414</v>
      </c>
      <c r="BC32" s="3">
        <v>0</v>
      </c>
      <c r="BD32" s="3">
        <v>0.63</v>
      </c>
      <c r="BE32" s="3">
        <v>0</v>
      </c>
      <c r="BF32" s="3">
        <v>789796</v>
      </c>
      <c r="BG32" s="3">
        <v>10266.19</v>
      </c>
      <c r="BH32" s="3">
        <v>3.8624000000000001</v>
      </c>
      <c r="BI32" s="2">
        <v>46197</v>
      </c>
      <c r="BJ32" s="3" t="s">
        <v>1011</v>
      </c>
      <c r="BK32" s="3" t="s">
        <v>1012</v>
      </c>
      <c r="BL32" s="3" t="s">
        <v>1013</v>
      </c>
      <c r="BM32" s="3">
        <v>0</v>
      </c>
      <c r="BN32" s="3">
        <v>0.71</v>
      </c>
      <c r="BO32" s="3">
        <v>0</v>
      </c>
      <c r="BP32" s="3">
        <v>938859</v>
      </c>
      <c r="BQ32" s="3">
        <v>10150.68</v>
      </c>
      <c r="BR32" s="3">
        <v>0.27610000000000001</v>
      </c>
      <c r="BS32" s="2">
        <v>46197</v>
      </c>
      <c r="BT32" s="3" t="s">
        <v>659</v>
      </c>
      <c r="BU32" s="3" t="s">
        <v>660</v>
      </c>
      <c r="BV32" s="3" t="s">
        <v>661</v>
      </c>
      <c r="BW32" s="3">
        <v>0</v>
      </c>
      <c r="BX32" s="3">
        <v>2.4</v>
      </c>
      <c r="BY32" s="3">
        <v>0</v>
      </c>
      <c r="BZ32" s="3">
        <v>2452680</v>
      </c>
      <c r="CA32" s="3">
        <v>9735.36</v>
      </c>
      <c r="CB32" s="3">
        <v>2.0350999999999999</v>
      </c>
      <c r="CC32" s="2">
        <v>46197</v>
      </c>
      <c r="CD32" s="3" t="s">
        <v>184</v>
      </c>
      <c r="CE32" s="3" t="s">
        <v>185</v>
      </c>
      <c r="CF32" s="3" t="s">
        <v>186</v>
      </c>
      <c r="CG32" s="3">
        <v>0</v>
      </c>
      <c r="CH32" s="3">
        <v>0.64</v>
      </c>
      <c r="CI32" s="3">
        <v>0</v>
      </c>
      <c r="CJ32" s="3">
        <v>938974</v>
      </c>
      <c r="CK32" s="3">
        <v>9998.89</v>
      </c>
      <c r="CL32" s="3">
        <v>1.3753</v>
      </c>
      <c r="CM32" s="2"/>
      <c r="CW32" s="2">
        <v>46197</v>
      </c>
      <c r="CX32" s="3" t="s">
        <v>1241</v>
      </c>
      <c r="CY32" s="3" t="s">
        <v>1242</v>
      </c>
      <c r="CZ32" s="3" t="s">
        <v>1243</v>
      </c>
      <c r="DA32" s="3">
        <v>0</v>
      </c>
      <c r="DB32" s="3">
        <v>0.89</v>
      </c>
      <c r="DC32" s="3">
        <v>0</v>
      </c>
      <c r="DD32" s="3">
        <v>2067116</v>
      </c>
    </row>
    <row r="33" spans="1:110" ht="13.5" customHeight="1" x14ac:dyDescent="0.3">
      <c r="A33" s="2">
        <v>46197</v>
      </c>
      <c r="B33" s="3" t="s">
        <v>44</v>
      </c>
      <c r="C33" s="3" t="s">
        <v>29</v>
      </c>
      <c r="D33" s="3" t="s">
        <v>45</v>
      </c>
      <c r="E33" s="3">
        <v>0</v>
      </c>
      <c r="F33" s="3">
        <v>0.63</v>
      </c>
      <c r="G33" s="3">
        <v>0</v>
      </c>
      <c r="H33" s="3">
        <v>706738</v>
      </c>
      <c r="I33" s="3">
        <v>9650.58</v>
      </c>
      <c r="J33" s="3">
        <v>5.3255999999999997</v>
      </c>
      <c r="K33" s="2">
        <v>46197</v>
      </c>
      <c r="L33" s="3" t="s">
        <v>103</v>
      </c>
      <c r="M33" s="3" t="s">
        <v>63</v>
      </c>
      <c r="N33" s="3" t="s">
        <v>104</v>
      </c>
      <c r="O33" s="3">
        <v>0</v>
      </c>
      <c r="P33" s="3">
        <v>1.02</v>
      </c>
      <c r="Q33" s="3">
        <v>0</v>
      </c>
      <c r="R33" s="3">
        <v>1197161</v>
      </c>
      <c r="S33" s="3">
        <v>9602.49</v>
      </c>
      <c r="T33" s="3">
        <v>12.1774</v>
      </c>
      <c r="U33" s="2"/>
      <c r="AE33" s="2"/>
      <c r="AO33" s="2"/>
      <c r="AY33" s="2">
        <v>46197</v>
      </c>
      <c r="AZ33" s="3" t="s">
        <v>415</v>
      </c>
      <c r="BA33" s="3" t="s">
        <v>416</v>
      </c>
      <c r="BB33" s="3" t="s">
        <v>417</v>
      </c>
      <c r="BC33" s="3">
        <v>0</v>
      </c>
      <c r="BD33" s="3">
        <v>0.62</v>
      </c>
      <c r="BE33" s="3">
        <v>0</v>
      </c>
      <c r="BF33" s="3">
        <v>776231</v>
      </c>
      <c r="BG33" s="3">
        <v>10091.6</v>
      </c>
      <c r="BH33" s="3">
        <v>0.80640000000000001</v>
      </c>
      <c r="BI33" s="2">
        <v>46197</v>
      </c>
      <c r="BJ33" s="3" t="s">
        <v>1014</v>
      </c>
      <c r="BK33" s="3" t="s">
        <v>1015</v>
      </c>
      <c r="BL33" s="3" t="s">
        <v>1016</v>
      </c>
      <c r="BM33" s="3">
        <v>0</v>
      </c>
      <c r="BN33" s="3">
        <v>0.71</v>
      </c>
      <c r="BO33" s="3">
        <v>0</v>
      </c>
      <c r="BP33" s="3">
        <v>938618</v>
      </c>
      <c r="BQ33" s="3">
        <v>10148.24</v>
      </c>
      <c r="BR33" s="3">
        <v>0.32669999999999999</v>
      </c>
      <c r="BS33" s="2">
        <v>46197</v>
      </c>
      <c r="BT33" s="3" t="s">
        <v>662</v>
      </c>
      <c r="BU33" s="3" t="s">
        <v>663</v>
      </c>
      <c r="BV33" s="3" t="s">
        <v>664</v>
      </c>
      <c r="BW33" s="3">
        <v>0</v>
      </c>
      <c r="BX33" s="3">
        <v>2.4</v>
      </c>
      <c r="BY33" s="3">
        <v>0</v>
      </c>
      <c r="BZ33" s="3">
        <v>2451236</v>
      </c>
      <c r="CA33" s="3">
        <v>9729.61</v>
      </c>
      <c r="CB33" s="3">
        <v>2.2357</v>
      </c>
      <c r="CC33" s="2">
        <v>46197</v>
      </c>
      <c r="CD33" s="3" t="s">
        <v>187</v>
      </c>
      <c r="CE33" s="3" t="s">
        <v>188</v>
      </c>
      <c r="CF33" s="3" t="s">
        <v>189</v>
      </c>
      <c r="CG33" s="3">
        <v>0</v>
      </c>
      <c r="CH33" s="3">
        <v>0.64</v>
      </c>
      <c r="CI33" s="3">
        <v>0</v>
      </c>
      <c r="CJ33" s="3">
        <v>938925</v>
      </c>
      <c r="CK33" s="3">
        <v>9998.94</v>
      </c>
      <c r="CL33" s="3">
        <v>2.6484000000000001</v>
      </c>
      <c r="CM33" s="2"/>
      <c r="CW33" s="2">
        <v>46197</v>
      </c>
      <c r="CX33" s="3" t="s">
        <v>1244</v>
      </c>
      <c r="CY33" s="3" t="s">
        <v>1245</v>
      </c>
      <c r="CZ33" s="3" t="s">
        <v>1246</v>
      </c>
      <c r="DA33" s="3">
        <v>0</v>
      </c>
      <c r="DB33" s="3">
        <v>0.89</v>
      </c>
      <c r="DC33" s="3">
        <v>0</v>
      </c>
      <c r="DD33" s="3">
        <v>2063632</v>
      </c>
      <c r="DE33" s="3">
        <v>9948.9500000000007</v>
      </c>
      <c r="DF33" s="3">
        <v>0.85550000000000004</v>
      </c>
    </row>
    <row r="34" spans="1:110" ht="13.5" customHeight="1" x14ac:dyDescent="0.3">
      <c r="A34" s="2">
        <v>46197</v>
      </c>
      <c r="B34" s="3" t="s">
        <v>97</v>
      </c>
      <c r="C34" s="3" t="s">
        <v>98</v>
      </c>
      <c r="D34" s="3" t="s">
        <v>99</v>
      </c>
      <c r="E34" s="3">
        <v>0</v>
      </c>
      <c r="F34" s="3">
        <v>0.61</v>
      </c>
      <c r="G34" s="3">
        <v>0</v>
      </c>
      <c r="H34" s="3">
        <v>674561</v>
      </c>
      <c r="I34" s="3">
        <v>8473.98</v>
      </c>
      <c r="J34" s="3">
        <v>4.0532000000000004</v>
      </c>
      <c r="K34" s="2">
        <v>46197</v>
      </c>
      <c r="L34" s="3" t="s">
        <v>105</v>
      </c>
      <c r="M34" s="3" t="s">
        <v>63</v>
      </c>
      <c r="N34" s="3" t="s">
        <v>106</v>
      </c>
      <c r="O34" s="3">
        <v>0</v>
      </c>
      <c r="P34" s="3">
        <v>0.86</v>
      </c>
      <c r="Q34" s="3">
        <v>0</v>
      </c>
      <c r="R34" s="3">
        <v>1006702</v>
      </c>
      <c r="S34" s="3">
        <v>8073.47</v>
      </c>
      <c r="T34" s="3">
        <v>14.0169</v>
      </c>
      <c r="U34" s="2"/>
      <c r="AE34" s="2"/>
      <c r="AO34" s="2"/>
      <c r="AY34" s="2">
        <v>46197</v>
      </c>
      <c r="AZ34" s="3" t="s">
        <v>418</v>
      </c>
      <c r="BA34" s="3" t="s">
        <v>419</v>
      </c>
      <c r="BB34" s="3" t="s">
        <v>420</v>
      </c>
      <c r="BC34" s="3">
        <v>0</v>
      </c>
      <c r="BD34" s="3">
        <v>0.62</v>
      </c>
      <c r="BE34" s="3">
        <v>0</v>
      </c>
      <c r="BF34" s="3">
        <v>775830</v>
      </c>
      <c r="BG34" s="3">
        <v>10086.52</v>
      </c>
      <c r="BH34" s="3">
        <v>0.60909999999999997</v>
      </c>
      <c r="BI34" s="2">
        <v>46197</v>
      </c>
      <c r="BJ34" s="3" t="s">
        <v>1017</v>
      </c>
      <c r="BK34" s="3" t="s">
        <v>618</v>
      </c>
      <c r="BL34" s="3" t="s">
        <v>1018</v>
      </c>
      <c r="BM34" s="3">
        <v>0</v>
      </c>
      <c r="BN34" s="3">
        <v>0.71</v>
      </c>
      <c r="BO34" s="3">
        <v>0</v>
      </c>
      <c r="BP34" s="3">
        <v>935111</v>
      </c>
      <c r="BQ34" s="3">
        <v>10110.4</v>
      </c>
      <c r="BR34" s="3">
        <v>3.6200000000000003E-2</v>
      </c>
      <c r="BS34" s="2">
        <v>46197</v>
      </c>
      <c r="BT34" s="3" t="s">
        <v>665</v>
      </c>
      <c r="BU34" s="3" t="s">
        <v>666</v>
      </c>
      <c r="BV34" s="3" t="s">
        <v>667</v>
      </c>
      <c r="BW34" s="3">
        <v>0</v>
      </c>
      <c r="BX34" s="3">
        <v>2.4</v>
      </c>
      <c r="BY34" s="3">
        <v>0</v>
      </c>
      <c r="BZ34" s="3">
        <v>2450380</v>
      </c>
      <c r="CA34" s="3">
        <v>9724.08</v>
      </c>
      <c r="CB34" s="3">
        <v>1.9131</v>
      </c>
      <c r="CC34" s="2">
        <v>46197</v>
      </c>
      <c r="CD34" s="3" t="s">
        <v>190</v>
      </c>
      <c r="CE34" s="3" t="s">
        <v>191</v>
      </c>
      <c r="CF34" s="3" t="s">
        <v>192</v>
      </c>
      <c r="CG34" s="3">
        <v>0</v>
      </c>
      <c r="CH34" s="3">
        <v>0.64</v>
      </c>
      <c r="CI34" s="3">
        <v>0</v>
      </c>
      <c r="CJ34" s="3">
        <v>937789</v>
      </c>
      <c r="CK34" s="3">
        <v>9985.98</v>
      </c>
      <c r="CL34" s="3">
        <v>1.8216000000000001</v>
      </c>
      <c r="CM34" s="2"/>
      <c r="CW34" s="2">
        <v>46197</v>
      </c>
      <c r="CX34" s="3" t="s">
        <v>1247</v>
      </c>
      <c r="CY34" s="3" t="s">
        <v>1248</v>
      </c>
      <c r="CZ34" s="3" t="s">
        <v>1249</v>
      </c>
      <c r="DA34" s="3">
        <v>0</v>
      </c>
      <c r="DB34" s="3">
        <v>0.88</v>
      </c>
      <c r="DC34" s="3">
        <v>0</v>
      </c>
      <c r="DD34" s="3">
        <v>2058614</v>
      </c>
      <c r="DE34" s="3">
        <v>9924.2099999999991</v>
      </c>
      <c r="DF34" s="3">
        <v>1.2916000000000001</v>
      </c>
    </row>
    <row r="35" spans="1:110" ht="13.5" customHeight="1" x14ac:dyDescent="0.3">
      <c r="A35" s="2">
        <v>46197</v>
      </c>
      <c r="B35" s="3" t="s">
        <v>124</v>
      </c>
      <c r="C35" s="3" t="s">
        <v>29</v>
      </c>
      <c r="D35" s="3" t="s">
        <v>125</v>
      </c>
      <c r="E35" s="3">
        <v>0</v>
      </c>
      <c r="F35" s="3">
        <v>0.6</v>
      </c>
      <c r="G35" s="3">
        <v>0</v>
      </c>
      <c r="H35" s="3">
        <v>670245</v>
      </c>
      <c r="I35" s="3">
        <v>9189</v>
      </c>
      <c r="J35" s="3">
        <v>5.0327999999999999</v>
      </c>
      <c r="K35" s="2">
        <v>46197</v>
      </c>
      <c r="L35" s="3" t="s">
        <v>107</v>
      </c>
      <c r="M35" s="3" t="s">
        <v>108</v>
      </c>
      <c r="N35" s="3" t="s">
        <v>109</v>
      </c>
      <c r="O35" s="3">
        <v>0</v>
      </c>
      <c r="P35" s="3">
        <v>0.81</v>
      </c>
      <c r="Q35" s="3">
        <v>0</v>
      </c>
      <c r="R35" s="3">
        <v>945465</v>
      </c>
      <c r="S35" s="3">
        <v>9190.8799999999992</v>
      </c>
      <c r="T35" s="3">
        <v>3.5838000000000001</v>
      </c>
      <c r="U35" s="2"/>
      <c r="AE35" s="2"/>
      <c r="AO35" s="2"/>
      <c r="AY35" s="2">
        <v>46197</v>
      </c>
      <c r="AZ35" s="3" t="s">
        <v>421</v>
      </c>
      <c r="BA35" s="3" t="s">
        <v>422</v>
      </c>
      <c r="BB35" s="3" t="s">
        <v>423</v>
      </c>
      <c r="BC35" s="3">
        <v>0</v>
      </c>
      <c r="BD35" s="3">
        <v>0.62</v>
      </c>
      <c r="BE35" s="3">
        <v>0</v>
      </c>
      <c r="BF35" s="3">
        <v>774310</v>
      </c>
      <c r="BG35" s="3">
        <v>10068.17</v>
      </c>
      <c r="BH35" s="3">
        <v>2.4851000000000001</v>
      </c>
      <c r="BI35" s="2">
        <v>46197</v>
      </c>
      <c r="BJ35" s="3" t="s">
        <v>1019</v>
      </c>
      <c r="BK35" s="3" t="s">
        <v>1020</v>
      </c>
      <c r="BL35" s="3" t="s">
        <v>1021</v>
      </c>
      <c r="BM35" s="3">
        <v>0</v>
      </c>
      <c r="BN35" s="3">
        <v>0.71</v>
      </c>
      <c r="BO35" s="3">
        <v>0</v>
      </c>
      <c r="BP35" s="3">
        <v>935044</v>
      </c>
      <c r="BQ35" s="3">
        <v>10109.530000000001</v>
      </c>
      <c r="BR35" s="3">
        <v>0.33660000000000001</v>
      </c>
      <c r="BS35" s="2">
        <v>46197</v>
      </c>
      <c r="BT35" s="3" t="s">
        <v>668</v>
      </c>
      <c r="BU35" s="3" t="s">
        <v>315</v>
      </c>
      <c r="BV35" s="3" t="s">
        <v>669</v>
      </c>
      <c r="BW35" s="3">
        <v>0</v>
      </c>
      <c r="BX35" s="3">
        <v>2.4</v>
      </c>
      <c r="BY35" s="3">
        <v>0</v>
      </c>
      <c r="BZ35" s="3">
        <v>2450236</v>
      </c>
      <c r="CA35" s="3">
        <v>9723.94</v>
      </c>
      <c r="CB35" s="3">
        <v>1.9160999999999999</v>
      </c>
      <c r="CC35" s="2">
        <v>46197</v>
      </c>
      <c r="CD35" s="3" t="s">
        <v>193</v>
      </c>
      <c r="CE35" s="3" t="s">
        <v>194</v>
      </c>
      <c r="CF35" s="3" t="s">
        <v>195</v>
      </c>
      <c r="CG35" s="3">
        <v>0</v>
      </c>
      <c r="CH35" s="3">
        <v>0.63</v>
      </c>
      <c r="CI35" s="3">
        <v>0</v>
      </c>
      <c r="CJ35" s="3">
        <v>929187</v>
      </c>
      <c r="CK35" s="3">
        <v>9895.2199999999993</v>
      </c>
      <c r="CL35" s="3">
        <v>0.97919999999999996</v>
      </c>
      <c r="CM35" s="2"/>
      <c r="CW35" s="2">
        <v>46197</v>
      </c>
      <c r="CX35" s="3" t="s">
        <v>1250</v>
      </c>
      <c r="CY35" s="3" t="s">
        <v>781</v>
      </c>
      <c r="CZ35" s="3" t="s">
        <v>1251</v>
      </c>
      <c r="DA35" s="3">
        <v>0</v>
      </c>
      <c r="DB35" s="3">
        <v>0.88</v>
      </c>
      <c r="DC35" s="3">
        <v>0</v>
      </c>
      <c r="DD35" s="3">
        <v>2058226</v>
      </c>
      <c r="DE35" s="3">
        <v>9921.7199999999993</v>
      </c>
      <c r="DF35" s="3">
        <v>1.0521</v>
      </c>
    </row>
    <row r="36" spans="1:110" ht="13.5" customHeight="1" x14ac:dyDescent="0.3">
      <c r="A36" s="2">
        <v>46197</v>
      </c>
      <c r="B36" s="3" t="s">
        <v>222</v>
      </c>
      <c r="C36" s="3" t="s">
        <v>56</v>
      </c>
      <c r="D36" s="3" t="s">
        <v>770</v>
      </c>
      <c r="E36" s="3">
        <v>0</v>
      </c>
      <c r="F36" s="3">
        <v>0.55000000000000004</v>
      </c>
      <c r="G36" s="3">
        <v>0</v>
      </c>
      <c r="H36" s="3">
        <v>611334</v>
      </c>
      <c r="I36" s="3">
        <v>12386.65</v>
      </c>
      <c r="J36" s="3">
        <v>1.9340999999999999</v>
      </c>
      <c r="K36" s="2">
        <v>46197</v>
      </c>
      <c r="L36" s="3" t="s">
        <v>38</v>
      </c>
      <c r="M36" s="3" t="s">
        <v>29</v>
      </c>
      <c r="N36" s="3" t="s">
        <v>39</v>
      </c>
      <c r="O36" s="3">
        <v>0</v>
      </c>
      <c r="P36" s="3">
        <v>0.8</v>
      </c>
      <c r="Q36" s="3">
        <v>0</v>
      </c>
      <c r="R36" s="3">
        <v>936981</v>
      </c>
      <c r="S36" s="3">
        <v>10019.719999999999</v>
      </c>
      <c r="T36" s="3">
        <v>6.3605</v>
      </c>
      <c r="U36" s="2"/>
      <c r="AE36" s="2"/>
      <c r="AO36" s="2"/>
      <c r="AY36" s="2">
        <v>46197</v>
      </c>
      <c r="AZ36" s="3" t="s">
        <v>424</v>
      </c>
      <c r="BA36" s="3" t="s">
        <v>425</v>
      </c>
      <c r="BB36" s="3" t="s">
        <v>426</v>
      </c>
      <c r="BC36" s="3">
        <v>0</v>
      </c>
      <c r="BD36" s="3">
        <v>0.61</v>
      </c>
      <c r="BE36" s="3">
        <v>0</v>
      </c>
      <c r="BF36" s="3">
        <v>771891</v>
      </c>
      <c r="BG36" s="3">
        <v>10034.950000000001</v>
      </c>
      <c r="BH36" s="3">
        <v>2.5813000000000001</v>
      </c>
      <c r="BI36" s="2">
        <v>46197</v>
      </c>
      <c r="BJ36" s="3" t="s">
        <v>1022</v>
      </c>
      <c r="BK36" s="3" t="s">
        <v>1023</v>
      </c>
      <c r="BL36" s="3" t="s">
        <v>1024</v>
      </c>
      <c r="BM36" s="3">
        <v>0</v>
      </c>
      <c r="BN36" s="3">
        <v>0.71</v>
      </c>
      <c r="BO36" s="3">
        <v>0</v>
      </c>
      <c r="BP36" s="3">
        <v>935017</v>
      </c>
      <c r="BQ36" s="3">
        <v>10109.4</v>
      </c>
      <c r="BR36" s="3">
        <v>0.24249999999999999</v>
      </c>
      <c r="BS36" s="2">
        <v>46197</v>
      </c>
      <c r="BT36" s="3" t="s">
        <v>670</v>
      </c>
      <c r="BU36" s="3" t="s">
        <v>671</v>
      </c>
      <c r="BV36" s="3" t="s">
        <v>672</v>
      </c>
      <c r="BW36" s="3">
        <v>0</v>
      </c>
      <c r="BX36" s="3">
        <v>2.4</v>
      </c>
      <c r="BY36" s="3">
        <v>0</v>
      </c>
      <c r="BZ36" s="3">
        <v>2449498</v>
      </c>
      <c r="CA36" s="3">
        <v>9720.9699999999993</v>
      </c>
      <c r="CB36" s="3">
        <v>2.0472999999999999</v>
      </c>
      <c r="CC36" s="2">
        <v>46197</v>
      </c>
      <c r="CD36" s="3" t="s">
        <v>196</v>
      </c>
      <c r="CE36" s="3" t="s">
        <v>197</v>
      </c>
      <c r="CF36" s="3" t="s">
        <v>198</v>
      </c>
      <c r="CG36" s="3">
        <v>0</v>
      </c>
      <c r="CH36" s="3">
        <v>0.63</v>
      </c>
      <c r="CI36" s="3">
        <v>0</v>
      </c>
      <c r="CJ36" s="3">
        <v>919334</v>
      </c>
      <c r="CK36" s="3">
        <v>9789.7099999999991</v>
      </c>
      <c r="CL36" s="3">
        <v>2.1646000000000001</v>
      </c>
      <c r="CM36" s="2"/>
      <c r="CW36" s="2">
        <v>46197</v>
      </c>
      <c r="CX36" s="3" t="s">
        <v>1252</v>
      </c>
      <c r="CY36" s="3" t="s">
        <v>1253</v>
      </c>
      <c r="CZ36" s="3" t="s">
        <v>1254</v>
      </c>
      <c r="DA36" s="3">
        <v>0</v>
      </c>
      <c r="DB36" s="3">
        <v>0.88</v>
      </c>
      <c r="DC36" s="3">
        <v>0</v>
      </c>
      <c r="DD36" s="3">
        <v>2057093</v>
      </c>
      <c r="DE36" s="3">
        <v>9916.69</v>
      </c>
      <c r="DF36" s="3">
        <v>1.5038</v>
      </c>
    </row>
    <row r="37" spans="1:110" ht="13.5" customHeight="1" x14ac:dyDescent="0.3">
      <c r="A37" s="2">
        <v>46197</v>
      </c>
      <c r="B37" s="3" t="s">
        <v>217</v>
      </c>
      <c r="C37" s="3" t="s">
        <v>218</v>
      </c>
      <c r="D37" s="3" t="s">
        <v>771</v>
      </c>
      <c r="E37" s="3">
        <v>0</v>
      </c>
      <c r="F37" s="3">
        <v>0.54</v>
      </c>
      <c r="G37" s="3">
        <v>0</v>
      </c>
      <c r="H37" s="3">
        <v>598011</v>
      </c>
      <c r="I37" s="3">
        <v>9983.6200000000008</v>
      </c>
      <c r="J37" s="3">
        <v>4.8555000000000001</v>
      </c>
      <c r="K37" s="2">
        <v>46197</v>
      </c>
      <c r="L37" s="3" t="s">
        <v>110</v>
      </c>
      <c r="M37" s="3" t="s">
        <v>63</v>
      </c>
      <c r="N37" s="3" t="s">
        <v>111</v>
      </c>
      <c r="O37" s="3">
        <v>0</v>
      </c>
      <c r="P37" s="3">
        <v>0.74</v>
      </c>
      <c r="Q37" s="3">
        <v>0</v>
      </c>
      <c r="R37" s="3">
        <v>861994</v>
      </c>
      <c r="S37" s="3">
        <v>8920.7000000000007</v>
      </c>
      <c r="T37" s="3">
        <v>12.076700000000001</v>
      </c>
      <c r="U37" s="2"/>
      <c r="AE37" s="2"/>
      <c r="AO37" s="2"/>
      <c r="AY37" s="2">
        <v>46197</v>
      </c>
      <c r="AZ37" s="3" t="s">
        <v>286</v>
      </c>
      <c r="BA37" s="3" t="s">
        <v>287</v>
      </c>
      <c r="BB37" s="3" t="s">
        <v>288</v>
      </c>
      <c r="BC37" s="3">
        <v>0</v>
      </c>
      <c r="BD37" s="3">
        <v>0.61</v>
      </c>
      <c r="BE37" s="3">
        <v>0</v>
      </c>
      <c r="BF37" s="3">
        <v>769643</v>
      </c>
      <c r="BG37" s="3">
        <v>10005.42</v>
      </c>
      <c r="BH37" s="3">
        <v>2.6576</v>
      </c>
      <c r="BI37" s="2">
        <v>46197</v>
      </c>
      <c r="BJ37" s="3" t="s">
        <v>1025</v>
      </c>
      <c r="BK37" s="3" t="s">
        <v>612</v>
      </c>
      <c r="BL37" s="3" t="s">
        <v>1026</v>
      </c>
      <c r="BM37" s="3">
        <v>0</v>
      </c>
      <c r="BN37" s="3">
        <v>0.71</v>
      </c>
      <c r="BO37" s="3">
        <v>0</v>
      </c>
      <c r="BP37" s="3">
        <v>934697</v>
      </c>
      <c r="BQ37" s="3">
        <v>10105.719999999999</v>
      </c>
      <c r="BR37" s="3">
        <v>0.26889999999999997</v>
      </c>
      <c r="BS37" s="2">
        <v>46197</v>
      </c>
      <c r="BT37" s="3" t="s">
        <v>673</v>
      </c>
      <c r="BU37" s="3" t="s">
        <v>647</v>
      </c>
      <c r="BV37" s="3" t="s">
        <v>674</v>
      </c>
      <c r="BW37" s="3">
        <v>0</v>
      </c>
      <c r="BX37" s="3">
        <v>2.4</v>
      </c>
      <c r="BY37" s="3">
        <v>0</v>
      </c>
      <c r="BZ37" s="3">
        <v>2448568</v>
      </c>
      <c r="CA37" s="3">
        <v>9717.9699999999993</v>
      </c>
      <c r="CB37" s="3">
        <v>2.1238000000000001</v>
      </c>
      <c r="CC37" s="2">
        <v>46197</v>
      </c>
      <c r="CD37" s="3" t="s">
        <v>199</v>
      </c>
      <c r="CE37" s="3" t="s">
        <v>200</v>
      </c>
      <c r="CF37" s="3" t="s">
        <v>201</v>
      </c>
      <c r="CG37" s="3">
        <v>0</v>
      </c>
      <c r="CH37" s="3">
        <v>0.62</v>
      </c>
      <c r="CI37" s="3">
        <v>0</v>
      </c>
      <c r="CJ37" s="3">
        <v>917623</v>
      </c>
      <c r="CK37" s="3">
        <v>9771.19</v>
      </c>
      <c r="CL37" s="3">
        <v>2.9881000000000002</v>
      </c>
      <c r="CM37" s="2"/>
      <c r="CW37" s="2">
        <v>46197</v>
      </c>
      <c r="CX37" s="3" t="s">
        <v>1255</v>
      </c>
      <c r="CY37" s="3" t="s">
        <v>1256</v>
      </c>
      <c r="CZ37" s="3" t="s">
        <v>1257</v>
      </c>
      <c r="DA37" s="3">
        <v>0</v>
      </c>
      <c r="DB37" s="3">
        <v>0.88</v>
      </c>
      <c r="DC37" s="3">
        <v>0</v>
      </c>
      <c r="DD37" s="3">
        <v>2054264</v>
      </c>
      <c r="DE37" s="3">
        <v>9905.3700000000008</v>
      </c>
      <c r="DF37" s="3">
        <v>1.7688999999999999</v>
      </c>
    </row>
    <row r="38" spans="1:110" ht="13.5" customHeight="1" x14ac:dyDescent="0.3">
      <c r="A38" s="2">
        <v>46197</v>
      </c>
      <c r="B38" s="3" t="s">
        <v>119</v>
      </c>
      <c r="C38" s="3" t="s">
        <v>29</v>
      </c>
      <c r="D38" s="3" t="s">
        <v>120</v>
      </c>
      <c r="E38" s="3">
        <v>0</v>
      </c>
      <c r="F38" s="3">
        <v>0.52</v>
      </c>
      <c r="G38" s="3">
        <v>0</v>
      </c>
      <c r="H38" s="3">
        <v>580160</v>
      </c>
      <c r="I38" s="3">
        <v>7239.79</v>
      </c>
      <c r="J38" s="3">
        <v>17.153199999999998</v>
      </c>
      <c r="K38" s="2">
        <v>46197</v>
      </c>
      <c r="L38" s="3" t="s">
        <v>112</v>
      </c>
      <c r="M38" s="3" t="s">
        <v>113</v>
      </c>
      <c r="N38" s="3" t="s">
        <v>114</v>
      </c>
      <c r="O38" s="3">
        <v>0</v>
      </c>
      <c r="P38" s="3">
        <v>0.73</v>
      </c>
      <c r="Q38" s="3">
        <v>0</v>
      </c>
      <c r="R38" s="3">
        <v>849027</v>
      </c>
      <c r="S38" s="3">
        <v>9904.17</v>
      </c>
      <c r="T38" s="3">
        <v>0.7016</v>
      </c>
      <c r="U38" s="2"/>
      <c r="AE38" s="2"/>
      <c r="AO38" s="2"/>
      <c r="AY38" s="2">
        <v>46197</v>
      </c>
      <c r="AZ38" s="3" t="s">
        <v>427</v>
      </c>
      <c r="BA38" s="3" t="s">
        <v>428</v>
      </c>
      <c r="BB38" s="3" t="s">
        <v>429</v>
      </c>
      <c r="BC38" s="3">
        <v>0</v>
      </c>
      <c r="BD38" s="3">
        <v>0.61</v>
      </c>
      <c r="BE38" s="3">
        <v>0</v>
      </c>
      <c r="BF38" s="3">
        <v>769393</v>
      </c>
      <c r="BG38" s="3">
        <v>10002.700000000001</v>
      </c>
      <c r="BH38" s="3">
        <v>0.94389999999999996</v>
      </c>
      <c r="BI38" s="2">
        <v>46197</v>
      </c>
      <c r="BJ38" s="3" t="s">
        <v>1027</v>
      </c>
      <c r="BK38" s="3" t="s">
        <v>1028</v>
      </c>
      <c r="BL38" s="3" t="s">
        <v>1029</v>
      </c>
      <c r="BM38" s="3">
        <v>0</v>
      </c>
      <c r="BN38" s="3">
        <v>0.71</v>
      </c>
      <c r="BO38" s="3">
        <v>0</v>
      </c>
      <c r="BP38" s="3">
        <v>933329</v>
      </c>
      <c r="BQ38" s="3">
        <v>10091.129999999999</v>
      </c>
      <c r="BR38" s="3">
        <v>5.2499999999999998E-2</v>
      </c>
      <c r="BS38" s="2">
        <v>46197</v>
      </c>
      <c r="BT38" s="3" t="s">
        <v>675</v>
      </c>
      <c r="BU38" s="3" t="s">
        <v>676</v>
      </c>
      <c r="BV38" s="3" t="s">
        <v>677</v>
      </c>
      <c r="BW38" s="3">
        <v>0</v>
      </c>
      <c r="BX38" s="3">
        <v>2.36</v>
      </c>
      <c r="BY38" s="3">
        <v>0</v>
      </c>
      <c r="BZ38" s="3">
        <v>2414882</v>
      </c>
      <c r="CA38" s="3">
        <v>9582.94</v>
      </c>
      <c r="CB38" s="3">
        <v>2.7423999999999999</v>
      </c>
      <c r="CC38" s="2">
        <v>46197</v>
      </c>
      <c r="CD38" s="3" t="s">
        <v>202</v>
      </c>
      <c r="CE38" s="3" t="s">
        <v>29</v>
      </c>
      <c r="CF38" s="3" t="s">
        <v>203</v>
      </c>
      <c r="CG38" s="3">
        <v>0</v>
      </c>
      <c r="CH38" s="3">
        <v>0.61</v>
      </c>
      <c r="CI38" s="3">
        <v>0</v>
      </c>
      <c r="CJ38" s="3">
        <v>889514</v>
      </c>
      <c r="CK38" s="3">
        <v>9472.99</v>
      </c>
      <c r="CL38" s="3">
        <v>2.8384</v>
      </c>
      <c r="CM38" s="2"/>
      <c r="CW38" s="2">
        <v>46197</v>
      </c>
      <c r="CX38" s="3" t="s">
        <v>1258</v>
      </c>
      <c r="CY38" s="3" t="s">
        <v>1259</v>
      </c>
      <c r="CZ38" s="3" t="s">
        <v>1260</v>
      </c>
      <c r="DA38" s="3">
        <v>0</v>
      </c>
      <c r="DB38" s="3">
        <v>0.88</v>
      </c>
      <c r="DC38" s="3">
        <v>0</v>
      </c>
      <c r="DD38" s="3">
        <v>2054150</v>
      </c>
      <c r="DE38" s="3">
        <v>9902.89</v>
      </c>
      <c r="DF38" s="3">
        <v>1.5437000000000001</v>
      </c>
    </row>
    <row r="39" spans="1:110" ht="13.5" customHeight="1" x14ac:dyDescent="0.3">
      <c r="A39" s="2">
        <v>46197</v>
      </c>
      <c r="B39" s="3" t="s">
        <v>772</v>
      </c>
      <c r="C39" s="3" t="s">
        <v>388</v>
      </c>
      <c r="D39" s="3" t="s">
        <v>773</v>
      </c>
      <c r="E39" s="3">
        <v>0</v>
      </c>
      <c r="F39" s="3">
        <v>0.48</v>
      </c>
      <c r="G39" s="3">
        <v>0</v>
      </c>
      <c r="H39" s="3">
        <v>533560</v>
      </c>
      <c r="I39" s="3">
        <v>10054.629999999999</v>
      </c>
      <c r="J39" s="3">
        <v>0.77229999999999999</v>
      </c>
      <c r="K39" s="2">
        <v>46197</v>
      </c>
      <c r="L39" s="3" t="s">
        <v>115</v>
      </c>
      <c r="M39" s="3" t="s">
        <v>29</v>
      </c>
      <c r="N39" s="3" t="s">
        <v>116</v>
      </c>
      <c r="O39" s="3">
        <v>0</v>
      </c>
      <c r="P39" s="3">
        <v>0.7</v>
      </c>
      <c r="Q39" s="3">
        <v>0</v>
      </c>
      <c r="R39" s="3">
        <v>821628</v>
      </c>
      <c r="S39" s="3">
        <v>9088.81</v>
      </c>
      <c r="T39" s="3">
        <v>4.6387</v>
      </c>
      <c r="U39" s="2"/>
      <c r="AE39" s="2"/>
      <c r="AO39" s="2"/>
      <c r="AY39" s="2">
        <v>46197</v>
      </c>
      <c r="AZ39" s="3" t="s">
        <v>187</v>
      </c>
      <c r="BA39" s="3" t="s">
        <v>188</v>
      </c>
      <c r="BB39" s="3" t="s">
        <v>189</v>
      </c>
      <c r="BC39" s="3">
        <v>0</v>
      </c>
      <c r="BD39" s="3">
        <v>0.61</v>
      </c>
      <c r="BE39" s="3">
        <v>0</v>
      </c>
      <c r="BF39" s="3">
        <v>769138</v>
      </c>
      <c r="BG39" s="3">
        <v>9998.94</v>
      </c>
      <c r="BH39" s="3">
        <v>2.6484000000000001</v>
      </c>
      <c r="BI39" s="2">
        <v>46197</v>
      </c>
      <c r="BJ39" s="3" t="s">
        <v>1030</v>
      </c>
      <c r="BK39" s="3" t="s">
        <v>1031</v>
      </c>
      <c r="BL39" s="3" t="s">
        <v>1032</v>
      </c>
      <c r="BM39" s="3">
        <v>0</v>
      </c>
      <c r="BN39" s="3">
        <v>0.71</v>
      </c>
      <c r="BO39" s="3">
        <v>0</v>
      </c>
      <c r="BP39" s="3">
        <v>933053</v>
      </c>
      <c r="BQ39" s="3">
        <v>10088.129999999999</v>
      </c>
      <c r="BR39" s="3">
        <v>0.16569999999999999</v>
      </c>
      <c r="BS39" s="2">
        <v>46197</v>
      </c>
      <c r="BT39" s="3" t="s">
        <v>678</v>
      </c>
      <c r="BU39" s="3" t="s">
        <v>679</v>
      </c>
      <c r="BV39" s="3" t="s">
        <v>680</v>
      </c>
      <c r="BW39" s="3">
        <v>0</v>
      </c>
      <c r="BX39" s="3">
        <v>1.7</v>
      </c>
      <c r="BY39" s="3">
        <v>0</v>
      </c>
      <c r="BZ39" s="3">
        <v>1734235</v>
      </c>
      <c r="CA39" s="3">
        <v>9832.25</v>
      </c>
      <c r="CB39" s="3">
        <v>1.653</v>
      </c>
      <c r="CC39" s="2">
        <v>46197</v>
      </c>
      <c r="CD39" s="3" t="s">
        <v>130</v>
      </c>
      <c r="CE39" s="3" t="s">
        <v>131</v>
      </c>
      <c r="CF39" s="3" t="s">
        <v>204</v>
      </c>
      <c r="CG39" s="3">
        <v>0</v>
      </c>
      <c r="CH39" s="3">
        <v>0.6</v>
      </c>
      <c r="CI39" s="3">
        <v>0</v>
      </c>
      <c r="CJ39" s="3">
        <v>883712</v>
      </c>
      <c r="CK39" s="3">
        <v>9411.7099999999991</v>
      </c>
      <c r="CL39" s="3">
        <v>1.6518999999999999</v>
      </c>
      <c r="CM39" s="2"/>
      <c r="CW39" s="2">
        <v>46197</v>
      </c>
      <c r="CX39" s="3" t="s">
        <v>1261</v>
      </c>
      <c r="CY39" s="3" t="s">
        <v>1262</v>
      </c>
      <c r="CZ39" s="3" t="s">
        <v>1263</v>
      </c>
      <c r="DA39" s="3">
        <v>0</v>
      </c>
      <c r="DB39" s="3">
        <v>0.88</v>
      </c>
      <c r="DC39" s="3">
        <v>0</v>
      </c>
      <c r="DD39" s="3">
        <v>2049782</v>
      </c>
      <c r="DE39" s="3">
        <v>9886.7199999999993</v>
      </c>
      <c r="DF39" s="3">
        <v>4.9070999999999998</v>
      </c>
    </row>
    <row r="40" spans="1:110" ht="13.5" customHeight="1" x14ac:dyDescent="0.3">
      <c r="A40" s="2">
        <v>46197</v>
      </c>
      <c r="B40" s="3" t="s">
        <v>774</v>
      </c>
      <c r="C40" s="3" t="s">
        <v>775</v>
      </c>
      <c r="D40" s="3" t="s">
        <v>776</v>
      </c>
      <c r="E40" s="3">
        <v>0</v>
      </c>
      <c r="F40" s="3">
        <v>0.48</v>
      </c>
      <c r="G40" s="3">
        <v>0</v>
      </c>
      <c r="H40" s="3">
        <v>532092</v>
      </c>
      <c r="I40" s="3">
        <v>10025.81</v>
      </c>
      <c r="J40" s="3">
        <v>2.5754999999999999</v>
      </c>
      <c r="K40" s="2">
        <v>46197</v>
      </c>
      <c r="L40" s="3" t="s">
        <v>117</v>
      </c>
      <c r="M40" s="3" t="s">
        <v>56</v>
      </c>
      <c r="N40" s="3" t="s">
        <v>118</v>
      </c>
      <c r="O40" s="3">
        <v>0</v>
      </c>
      <c r="P40" s="3">
        <v>0.59</v>
      </c>
      <c r="Q40" s="3">
        <v>0</v>
      </c>
      <c r="R40" s="3">
        <v>692562</v>
      </c>
      <c r="S40" s="3">
        <v>7405.73</v>
      </c>
      <c r="T40" s="3">
        <v>12.543200000000001</v>
      </c>
      <c r="U40" s="2"/>
      <c r="AE40" s="2"/>
      <c r="AO40" s="2"/>
      <c r="AY40" s="2">
        <v>46197</v>
      </c>
      <c r="AZ40" s="3" t="s">
        <v>430</v>
      </c>
      <c r="BA40" s="3" t="s">
        <v>431</v>
      </c>
      <c r="BB40" s="3" t="s">
        <v>432</v>
      </c>
      <c r="BC40" s="3">
        <v>0</v>
      </c>
      <c r="BD40" s="3">
        <v>0.61</v>
      </c>
      <c r="BE40" s="3">
        <v>0</v>
      </c>
      <c r="BF40" s="3">
        <v>769042</v>
      </c>
      <c r="BG40" s="3">
        <v>9999.02</v>
      </c>
      <c r="BH40" s="3">
        <v>2.7839999999999998</v>
      </c>
      <c r="BI40" s="2">
        <v>46197</v>
      </c>
      <c r="BJ40" s="3" t="s">
        <v>1033</v>
      </c>
      <c r="BK40" s="3" t="s">
        <v>1034</v>
      </c>
      <c r="BL40" s="3" t="s">
        <v>1035</v>
      </c>
      <c r="BM40" s="3">
        <v>0</v>
      </c>
      <c r="BN40" s="3">
        <v>0.71</v>
      </c>
      <c r="BO40" s="3">
        <v>0</v>
      </c>
      <c r="BP40" s="3">
        <v>932973</v>
      </c>
      <c r="BQ40" s="3">
        <v>10087.31</v>
      </c>
      <c r="BR40" s="3">
        <v>6.3E-3</v>
      </c>
      <c r="BS40" s="2">
        <v>46197</v>
      </c>
      <c r="BT40" s="3" t="s">
        <v>681</v>
      </c>
      <c r="BU40" s="3" t="s">
        <v>682</v>
      </c>
      <c r="BV40" s="3" t="s">
        <v>683</v>
      </c>
      <c r="BW40" s="3">
        <v>0</v>
      </c>
      <c r="BX40" s="3">
        <v>1.48</v>
      </c>
      <c r="BY40" s="3">
        <v>0</v>
      </c>
      <c r="BZ40" s="3">
        <v>1509375</v>
      </c>
      <c r="CA40" s="3">
        <v>9982.56</v>
      </c>
      <c r="CB40" s="3">
        <v>1.3313999999999999</v>
      </c>
      <c r="CC40" s="2">
        <v>46197</v>
      </c>
      <c r="CD40" s="3" t="s">
        <v>28</v>
      </c>
      <c r="CE40" s="3" t="s">
        <v>29</v>
      </c>
      <c r="CF40" s="3" t="s">
        <v>205</v>
      </c>
      <c r="CG40" s="3">
        <v>0</v>
      </c>
      <c r="CH40" s="3">
        <v>0.59</v>
      </c>
      <c r="CI40" s="3">
        <v>0</v>
      </c>
      <c r="CJ40" s="3">
        <v>861114</v>
      </c>
      <c r="CK40" s="3">
        <v>9310.09</v>
      </c>
      <c r="CL40" s="3">
        <v>7.9903000000000004</v>
      </c>
      <c r="CM40" s="2"/>
      <c r="CW40" s="2">
        <v>46197</v>
      </c>
      <c r="CX40" s="3" t="s">
        <v>1264</v>
      </c>
      <c r="CY40" s="3" t="s">
        <v>1265</v>
      </c>
      <c r="CZ40" s="3" t="s">
        <v>1266</v>
      </c>
      <c r="DA40" s="3">
        <v>0</v>
      </c>
      <c r="DB40" s="3">
        <v>0.88</v>
      </c>
      <c r="DC40" s="3">
        <v>0</v>
      </c>
      <c r="DD40" s="3">
        <v>2048836</v>
      </c>
      <c r="DE40" s="3">
        <v>9876.8700000000008</v>
      </c>
      <c r="DF40" s="3">
        <v>1.1634</v>
      </c>
    </row>
    <row r="41" spans="1:110" ht="13.5" customHeight="1" x14ac:dyDescent="0.3">
      <c r="A41" s="2">
        <v>46197</v>
      </c>
      <c r="B41" s="3" t="s">
        <v>777</v>
      </c>
      <c r="C41" s="3" t="s">
        <v>778</v>
      </c>
      <c r="D41" s="3" t="s">
        <v>779</v>
      </c>
      <c r="E41" s="3">
        <v>0</v>
      </c>
      <c r="F41" s="3">
        <v>0.48</v>
      </c>
      <c r="G41" s="3">
        <v>0</v>
      </c>
      <c r="H41" s="3">
        <v>531220</v>
      </c>
      <c r="I41" s="3">
        <v>10009.92</v>
      </c>
      <c r="J41" s="3">
        <v>0.86399999999999999</v>
      </c>
      <c r="K41" s="2">
        <v>46197</v>
      </c>
      <c r="L41" s="3" t="s">
        <v>119</v>
      </c>
      <c r="M41" s="3" t="s">
        <v>29</v>
      </c>
      <c r="N41" s="3" t="s">
        <v>120</v>
      </c>
      <c r="O41" s="3">
        <v>0</v>
      </c>
      <c r="P41" s="3">
        <v>0.57999999999999996</v>
      </c>
      <c r="Q41" s="3">
        <v>0</v>
      </c>
      <c r="R41" s="3">
        <v>677066</v>
      </c>
      <c r="S41" s="3">
        <v>7239.79</v>
      </c>
      <c r="T41" s="3">
        <v>17.153199999999998</v>
      </c>
      <c r="U41" s="2"/>
      <c r="AE41" s="2"/>
      <c r="AO41" s="2"/>
      <c r="AY41" s="2">
        <v>46197</v>
      </c>
      <c r="AZ41" s="3" t="s">
        <v>311</v>
      </c>
      <c r="BA41" s="3" t="s">
        <v>312</v>
      </c>
      <c r="BB41" s="3" t="s">
        <v>313</v>
      </c>
      <c r="BC41" s="3">
        <v>0</v>
      </c>
      <c r="BD41" s="3">
        <v>0.61</v>
      </c>
      <c r="BE41" s="3">
        <v>0</v>
      </c>
      <c r="BF41" s="3">
        <v>768745</v>
      </c>
      <c r="BG41" s="3">
        <v>9995.7000000000007</v>
      </c>
      <c r="BH41" s="3">
        <v>2.7719999999999998</v>
      </c>
      <c r="BI41" s="2">
        <v>46197</v>
      </c>
      <c r="BJ41" s="3" t="s">
        <v>1036</v>
      </c>
      <c r="BK41" s="3" t="s">
        <v>1037</v>
      </c>
      <c r="BL41" s="3" t="s">
        <v>1038</v>
      </c>
      <c r="BM41" s="3">
        <v>0</v>
      </c>
      <c r="BN41" s="3">
        <v>0.71</v>
      </c>
      <c r="BO41" s="3">
        <v>0</v>
      </c>
      <c r="BP41" s="3">
        <v>932935</v>
      </c>
      <c r="BQ41" s="3">
        <v>10086.790000000001</v>
      </c>
      <c r="BR41" s="3">
        <v>0.24610000000000001</v>
      </c>
      <c r="BS41" s="2">
        <v>46197</v>
      </c>
      <c r="BT41" s="3" t="s">
        <v>684</v>
      </c>
      <c r="BU41" s="3" t="s">
        <v>685</v>
      </c>
      <c r="BV41" s="3" t="s">
        <v>686</v>
      </c>
      <c r="BW41" s="3">
        <v>0</v>
      </c>
      <c r="BX41" s="3">
        <v>1.47</v>
      </c>
      <c r="BY41" s="3">
        <v>0</v>
      </c>
      <c r="BZ41" s="3">
        <v>1500420</v>
      </c>
      <c r="CA41" s="3">
        <v>9925.09</v>
      </c>
      <c r="CB41" s="3">
        <v>1.5411999999999999</v>
      </c>
      <c r="CC41" s="2">
        <v>46197</v>
      </c>
      <c r="CD41" s="3" t="s">
        <v>40</v>
      </c>
      <c r="CE41" s="3" t="s">
        <v>29</v>
      </c>
      <c r="CF41" s="3" t="s">
        <v>206</v>
      </c>
      <c r="CG41" s="3">
        <v>0</v>
      </c>
      <c r="CH41" s="3">
        <v>0.57999999999999996</v>
      </c>
      <c r="CI41" s="3">
        <v>0</v>
      </c>
      <c r="CJ41" s="3">
        <v>858712</v>
      </c>
      <c r="CK41" s="3">
        <v>10100.35</v>
      </c>
      <c r="CL41" s="3">
        <v>5.6009000000000002</v>
      </c>
      <c r="CM41" s="2"/>
      <c r="CW41" s="2">
        <v>46197</v>
      </c>
      <c r="CX41" s="3" t="s">
        <v>1267</v>
      </c>
      <c r="CY41" s="3" t="s">
        <v>1268</v>
      </c>
      <c r="CZ41" s="3" t="s">
        <v>1269</v>
      </c>
      <c r="DA41" s="3">
        <v>0</v>
      </c>
      <c r="DB41" s="3">
        <v>0.88</v>
      </c>
      <c r="DC41" s="3">
        <v>0</v>
      </c>
      <c r="DD41" s="3">
        <v>2046743</v>
      </c>
      <c r="DE41" s="3">
        <v>9866.7999999999993</v>
      </c>
      <c r="DF41" s="3">
        <v>1.6132</v>
      </c>
    </row>
    <row r="42" spans="1:110" ht="13.5" customHeight="1" x14ac:dyDescent="0.3">
      <c r="A42" s="2">
        <v>46197</v>
      </c>
      <c r="B42" s="3" t="s">
        <v>780</v>
      </c>
      <c r="C42" s="3" t="s">
        <v>781</v>
      </c>
      <c r="D42" s="3" t="s">
        <v>782</v>
      </c>
      <c r="E42" s="3">
        <v>0</v>
      </c>
      <c r="F42" s="3">
        <v>0.48</v>
      </c>
      <c r="G42" s="3">
        <v>0</v>
      </c>
      <c r="H42" s="3">
        <v>531195</v>
      </c>
      <c r="I42" s="3">
        <v>10009.07</v>
      </c>
      <c r="J42" s="3">
        <v>1.0531999999999999</v>
      </c>
      <c r="K42" s="2">
        <v>46197</v>
      </c>
      <c r="L42" s="3" t="s">
        <v>121</v>
      </c>
      <c r="M42" s="3" t="s">
        <v>122</v>
      </c>
      <c r="N42" s="3" t="s">
        <v>123</v>
      </c>
      <c r="O42" s="3">
        <v>0</v>
      </c>
      <c r="P42" s="3">
        <v>0.51</v>
      </c>
      <c r="Q42" s="3">
        <v>0</v>
      </c>
      <c r="R42" s="3">
        <v>601723</v>
      </c>
      <c r="S42" s="3">
        <v>9650.7999999999993</v>
      </c>
      <c r="T42" s="3">
        <v>2.1233</v>
      </c>
      <c r="U42" s="2"/>
      <c r="AE42" s="2"/>
      <c r="AO42" s="2"/>
      <c r="AY42" s="2">
        <v>46197</v>
      </c>
      <c r="AZ42" s="3" t="s">
        <v>433</v>
      </c>
      <c r="BA42" s="3" t="s">
        <v>434</v>
      </c>
      <c r="BB42" s="3" t="s">
        <v>435</v>
      </c>
      <c r="BC42" s="3">
        <v>0</v>
      </c>
      <c r="BD42" s="3">
        <v>0.61</v>
      </c>
      <c r="BE42" s="3">
        <v>0</v>
      </c>
      <c r="BF42" s="3">
        <v>768537</v>
      </c>
      <c r="BG42" s="3">
        <v>9989.67</v>
      </c>
      <c r="BH42" s="3">
        <v>2.6674000000000002</v>
      </c>
      <c r="BI42" s="2">
        <v>46197</v>
      </c>
      <c r="BJ42" s="3" t="s">
        <v>1039</v>
      </c>
      <c r="BK42" s="3" t="s">
        <v>1040</v>
      </c>
      <c r="BL42" s="3" t="s">
        <v>1041</v>
      </c>
      <c r="BM42" s="3">
        <v>0</v>
      </c>
      <c r="BN42" s="3">
        <v>0.71</v>
      </c>
      <c r="BO42" s="3">
        <v>0</v>
      </c>
      <c r="BP42" s="3">
        <v>932920</v>
      </c>
      <c r="BQ42" s="3">
        <v>10086.57</v>
      </c>
      <c r="BR42" s="3">
        <v>0.24610000000000001</v>
      </c>
      <c r="BS42" s="2">
        <v>46197</v>
      </c>
      <c r="BT42" s="3" t="s">
        <v>687</v>
      </c>
      <c r="BU42" s="3" t="s">
        <v>688</v>
      </c>
      <c r="BV42" s="3" t="s">
        <v>689</v>
      </c>
      <c r="BW42" s="3">
        <v>0</v>
      </c>
      <c r="BX42" s="3">
        <v>1.24</v>
      </c>
      <c r="BY42" s="3">
        <v>0</v>
      </c>
      <c r="BZ42" s="3">
        <v>1263057</v>
      </c>
      <c r="CA42" s="3">
        <v>10026.15</v>
      </c>
      <c r="CB42" s="3">
        <v>0.64119999999999999</v>
      </c>
      <c r="CC42" s="2">
        <v>46197</v>
      </c>
      <c r="CD42" s="3" t="s">
        <v>207</v>
      </c>
      <c r="CE42" s="3" t="s">
        <v>208</v>
      </c>
      <c r="CF42" s="3" t="s">
        <v>209</v>
      </c>
      <c r="CG42" s="3">
        <v>0</v>
      </c>
      <c r="CH42" s="3">
        <v>0.54</v>
      </c>
      <c r="CI42" s="3">
        <v>0</v>
      </c>
      <c r="CJ42" s="3">
        <v>799224</v>
      </c>
      <c r="CK42" s="3">
        <v>8503.93</v>
      </c>
      <c r="CL42" s="3">
        <v>12.4834</v>
      </c>
      <c r="CM42" s="2"/>
      <c r="CW42" s="2">
        <v>46197</v>
      </c>
      <c r="CX42" s="3" t="s">
        <v>1270</v>
      </c>
      <c r="CY42" s="3" t="s">
        <v>237</v>
      </c>
      <c r="CZ42" s="3" t="s">
        <v>1271</v>
      </c>
      <c r="DA42" s="3">
        <v>0</v>
      </c>
      <c r="DB42" s="3">
        <v>0.87</v>
      </c>
      <c r="DC42" s="3">
        <v>0</v>
      </c>
      <c r="DD42" s="3">
        <v>2039761</v>
      </c>
      <c r="DE42" s="3">
        <v>9832.94</v>
      </c>
      <c r="DF42" s="3">
        <v>1.6512</v>
      </c>
    </row>
    <row r="43" spans="1:110" ht="13.5" customHeight="1" x14ac:dyDescent="0.3">
      <c r="A43" s="2">
        <v>46197</v>
      </c>
      <c r="B43" s="3" t="s">
        <v>783</v>
      </c>
      <c r="C43" s="3" t="s">
        <v>784</v>
      </c>
      <c r="D43" s="3" t="s">
        <v>785</v>
      </c>
      <c r="E43" s="3">
        <v>0</v>
      </c>
      <c r="F43" s="3">
        <v>0.48</v>
      </c>
      <c r="G43" s="3">
        <v>0</v>
      </c>
      <c r="H43" s="3">
        <v>530584</v>
      </c>
      <c r="I43" s="3">
        <v>9998.1299999999992</v>
      </c>
      <c r="J43" s="3">
        <v>4.3959999999999999</v>
      </c>
      <c r="K43" s="2">
        <v>46197</v>
      </c>
      <c r="L43" s="3" t="s">
        <v>42</v>
      </c>
      <c r="M43" s="3" t="s">
        <v>29</v>
      </c>
      <c r="N43" s="3" t="s">
        <v>43</v>
      </c>
      <c r="O43" s="3">
        <v>0</v>
      </c>
      <c r="P43" s="3">
        <v>0.51</v>
      </c>
      <c r="Q43" s="3">
        <v>0</v>
      </c>
      <c r="R43" s="3">
        <v>591778</v>
      </c>
      <c r="S43" s="3">
        <v>9492.18</v>
      </c>
      <c r="T43" s="3">
        <v>6.1319999999999997</v>
      </c>
      <c r="U43" s="2"/>
      <c r="AE43" s="2"/>
      <c r="AO43" s="2"/>
      <c r="AY43" s="2">
        <v>46197</v>
      </c>
      <c r="AZ43" s="3" t="s">
        <v>436</v>
      </c>
      <c r="BA43" s="3" t="s">
        <v>437</v>
      </c>
      <c r="BB43" s="3" t="s">
        <v>438</v>
      </c>
      <c r="BC43" s="3">
        <v>0</v>
      </c>
      <c r="BD43" s="3">
        <v>0.61</v>
      </c>
      <c r="BE43" s="3">
        <v>0</v>
      </c>
      <c r="BF43" s="3">
        <v>768472</v>
      </c>
      <c r="BG43" s="3">
        <v>9990.4</v>
      </c>
      <c r="BH43" s="3">
        <v>2.6844000000000001</v>
      </c>
      <c r="BI43" s="2">
        <v>46197</v>
      </c>
      <c r="BJ43" s="3" t="s">
        <v>1042</v>
      </c>
      <c r="BK43" s="3" t="s">
        <v>1043</v>
      </c>
      <c r="BL43" s="3" t="s">
        <v>1044</v>
      </c>
      <c r="BM43" s="3">
        <v>0</v>
      </c>
      <c r="BN43" s="3">
        <v>0.71</v>
      </c>
      <c r="BO43" s="3">
        <v>0</v>
      </c>
      <c r="BP43" s="3">
        <v>932904</v>
      </c>
      <c r="BQ43" s="3">
        <v>10086.57</v>
      </c>
      <c r="BR43" s="3">
        <v>6.3E-3</v>
      </c>
      <c r="BS43" s="2">
        <v>46197</v>
      </c>
      <c r="BT43" s="3" t="s">
        <v>690</v>
      </c>
      <c r="BU43" s="3" t="s">
        <v>691</v>
      </c>
      <c r="BV43" s="3" t="s">
        <v>692</v>
      </c>
      <c r="BW43" s="3">
        <v>0</v>
      </c>
      <c r="BX43" s="3">
        <v>1.24</v>
      </c>
      <c r="BY43" s="3">
        <v>0</v>
      </c>
      <c r="BZ43" s="3">
        <v>1262230</v>
      </c>
      <c r="CA43" s="3">
        <v>10018.98</v>
      </c>
      <c r="CB43" s="3">
        <v>1.1140000000000001</v>
      </c>
      <c r="CC43" s="2">
        <v>46197</v>
      </c>
      <c r="CD43" s="3" t="s">
        <v>210</v>
      </c>
      <c r="CE43" s="3" t="s">
        <v>29</v>
      </c>
      <c r="CF43" s="3" t="s">
        <v>211</v>
      </c>
      <c r="CG43" s="3">
        <v>0</v>
      </c>
      <c r="CH43" s="3">
        <v>0.54</v>
      </c>
      <c r="CI43" s="3">
        <v>0</v>
      </c>
      <c r="CJ43" s="3">
        <v>798831</v>
      </c>
      <c r="CK43" s="3">
        <v>7301.83</v>
      </c>
      <c r="CL43" s="3">
        <v>18.233799999999999</v>
      </c>
      <c r="CM43" s="2"/>
      <c r="CW43" s="2">
        <v>46197</v>
      </c>
      <c r="CX43" s="3" t="s">
        <v>1272</v>
      </c>
      <c r="CY43" s="3" t="s">
        <v>507</v>
      </c>
      <c r="CZ43" s="3" t="s">
        <v>1273</v>
      </c>
      <c r="DA43" s="3">
        <v>0</v>
      </c>
      <c r="DB43" s="3">
        <v>0.87</v>
      </c>
      <c r="DC43" s="3">
        <v>0</v>
      </c>
      <c r="DD43" s="3">
        <v>2037755</v>
      </c>
      <c r="DE43" s="3">
        <v>9823.5300000000007</v>
      </c>
      <c r="DF43" s="3">
        <v>1.5746</v>
      </c>
    </row>
    <row r="44" spans="1:110" ht="13.5" customHeight="1" x14ac:dyDescent="0.3">
      <c r="A44" s="2">
        <v>46197</v>
      </c>
      <c r="B44" s="3" t="s">
        <v>786</v>
      </c>
      <c r="C44" s="3" t="s">
        <v>321</v>
      </c>
      <c r="D44" s="3" t="s">
        <v>787</v>
      </c>
      <c r="E44" s="3">
        <v>0</v>
      </c>
      <c r="F44" s="3">
        <v>0.48</v>
      </c>
      <c r="G44" s="3">
        <v>0</v>
      </c>
      <c r="H44" s="3">
        <v>530419</v>
      </c>
      <c r="I44" s="3">
        <v>9999.3799999999992</v>
      </c>
      <c r="J44" s="3">
        <v>8.0244</v>
      </c>
      <c r="K44" s="2">
        <v>46197</v>
      </c>
      <c r="L44" s="3" t="s">
        <v>124</v>
      </c>
      <c r="M44" s="3" t="s">
        <v>29</v>
      </c>
      <c r="N44" s="3" t="s">
        <v>125</v>
      </c>
      <c r="O44" s="3">
        <v>0</v>
      </c>
      <c r="P44" s="3">
        <v>0.49</v>
      </c>
      <c r="Q44" s="3">
        <v>0</v>
      </c>
      <c r="R44" s="3">
        <v>572872</v>
      </c>
      <c r="S44" s="3">
        <v>9189</v>
      </c>
      <c r="T44" s="3">
        <v>5.0327999999999999</v>
      </c>
      <c r="U44" s="2"/>
      <c r="AE44" s="2"/>
      <c r="AO44" s="2"/>
      <c r="AY44" s="2">
        <v>46197</v>
      </c>
      <c r="AZ44" s="3" t="s">
        <v>439</v>
      </c>
      <c r="BA44" s="3" t="s">
        <v>440</v>
      </c>
      <c r="BB44" s="3" t="s">
        <v>441</v>
      </c>
      <c r="BC44" s="3">
        <v>0</v>
      </c>
      <c r="BD44" s="3">
        <v>0.61</v>
      </c>
      <c r="BE44" s="3">
        <v>0</v>
      </c>
      <c r="BF44" s="3">
        <v>768405</v>
      </c>
      <c r="BG44" s="3">
        <v>9990.2800000000007</v>
      </c>
      <c r="BH44" s="3">
        <v>2.6516999999999999</v>
      </c>
      <c r="BI44" s="2">
        <v>46197</v>
      </c>
      <c r="BJ44" s="3" t="s">
        <v>1045</v>
      </c>
      <c r="BK44" s="3" t="s">
        <v>583</v>
      </c>
      <c r="BL44" s="3" t="s">
        <v>1046</v>
      </c>
      <c r="BM44" s="3">
        <v>0</v>
      </c>
      <c r="BN44" s="3">
        <v>0.71</v>
      </c>
      <c r="BO44" s="3">
        <v>0</v>
      </c>
      <c r="BP44" s="3">
        <v>932521</v>
      </c>
      <c r="BQ44" s="3">
        <v>10082.19</v>
      </c>
      <c r="BR44" s="3">
        <v>0.57299999999999995</v>
      </c>
      <c r="BS44" s="2">
        <v>46197</v>
      </c>
      <c r="BT44" s="3" t="s">
        <v>693</v>
      </c>
      <c r="BU44" s="3" t="s">
        <v>694</v>
      </c>
      <c r="BV44" s="3" t="s">
        <v>695</v>
      </c>
      <c r="BW44" s="3">
        <v>0</v>
      </c>
      <c r="BX44" s="3">
        <v>1.23</v>
      </c>
      <c r="BY44" s="3">
        <v>0</v>
      </c>
      <c r="BZ44" s="3">
        <v>1260240</v>
      </c>
      <c r="CA44" s="3">
        <v>10003.73</v>
      </c>
      <c r="CB44" s="3">
        <v>0.2009</v>
      </c>
      <c r="CC44" s="2">
        <v>46197</v>
      </c>
      <c r="CD44" s="3" t="s">
        <v>212</v>
      </c>
      <c r="CE44" s="3" t="s">
        <v>213</v>
      </c>
      <c r="CF44" s="3" t="s">
        <v>214</v>
      </c>
      <c r="CG44" s="3">
        <v>0</v>
      </c>
      <c r="CH44" s="3">
        <v>0.48</v>
      </c>
      <c r="CI44" s="3">
        <v>0</v>
      </c>
      <c r="CJ44" s="3">
        <v>704258</v>
      </c>
      <c r="CM44" s="2"/>
      <c r="CW44" s="2">
        <v>46197</v>
      </c>
      <c r="CX44" s="3" t="s">
        <v>1274</v>
      </c>
      <c r="CY44" s="3" t="s">
        <v>1275</v>
      </c>
      <c r="CZ44" s="3" t="s">
        <v>1276</v>
      </c>
      <c r="DA44" s="3">
        <v>0</v>
      </c>
      <c r="DB44" s="3">
        <v>0.87</v>
      </c>
      <c r="DC44" s="3">
        <v>0</v>
      </c>
      <c r="DD44" s="3">
        <v>2035745</v>
      </c>
      <c r="DE44" s="3">
        <v>9814.33</v>
      </c>
      <c r="DF44" s="3">
        <v>1.1819999999999999</v>
      </c>
    </row>
    <row r="45" spans="1:110" ht="13.5" customHeight="1" x14ac:dyDescent="0.3">
      <c r="A45" s="2">
        <v>46197</v>
      </c>
      <c r="B45" s="3" t="s">
        <v>788</v>
      </c>
      <c r="C45" s="3" t="s">
        <v>789</v>
      </c>
      <c r="D45" s="3" t="s">
        <v>790</v>
      </c>
      <c r="E45" s="3">
        <v>0</v>
      </c>
      <c r="F45" s="3">
        <v>0.47</v>
      </c>
      <c r="G45" s="3">
        <v>0</v>
      </c>
      <c r="H45" s="3">
        <v>528683</v>
      </c>
      <c r="I45" s="3">
        <v>9962.2999999999993</v>
      </c>
      <c r="J45" s="3">
        <v>0.70599999999999996</v>
      </c>
      <c r="K45" s="2">
        <v>46197</v>
      </c>
      <c r="L45" s="3" t="s">
        <v>126</v>
      </c>
      <c r="M45" s="3" t="s">
        <v>29</v>
      </c>
      <c r="N45" s="3" t="s">
        <v>127</v>
      </c>
      <c r="O45" s="3">
        <v>0</v>
      </c>
      <c r="P45" s="3">
        <v>0.28999999999999998</v>
      </c>
      <c r="Q45" s="3">
        <v>0</v>
      </c>
      <c r="R45" s="3">
        <v>339361</v>
      </c>
      <c r="S45" s="3">
        <v>9072.1200000000008</v>
      </c>
      <c r="T45" s="3">
        <v>3.7886000000000002</v>
      </c>
      <c r="U45" s="2"/>
      <c r="AE45" s="2"/>
      <c r="AO45" s="2"/>
      <c r="AY45" s="2">
        <v>46197</v>
      </c>
      <c r="AZ45" s="3" t="s">
        <v>442</v>
      </c>
      <c r="BA45" s="3" t="s">
        <v>413</v>
      </c>
      <c r="BB45" s="3" t="s">
        <v>443</v>
      </c>
      <c r="BC45" s="3">
        <v>0</v>
      </c>
      <c r="BD45" s="3">
        <v>0.61</v>
      </c>
      <c r="BE45" s="3">
        <v>0</v>
      </c>
      <c r="BF45" s="3">
        <v>768183</v>
      </c>
      <c r="BG45" s="3">
        <v>9985.35</v>
      </c>
      <c r="BH45" s="3">
        <v>3.4815999999999998</v>
      </c>
      <c r="BI45" s="2">
        <v>46197</v>
      </c>
      <c r="BJ45" s="3" t="s">
        <v>1047</v>
      </c>
      <c r="BK45" s="3" t="s">
        <v>422</v>
      </c>
      <c r="BL45" s="3" t="s">
        <v>1048</v>
      </c>
      <c r="BM45" s="3">
        <v>0</v>
      </c>
      <c r="BN45" s="3">
        <v>0.71</v>
      </c>
      <c r="BO45" s="3">
        <v>0</v>
      </c>
      <c r="BP45" s="3">
        <v>932025</v>
      </c>
      <c r="BQ45" s="3">
        <v>10077.09</v>
      </c>
      <c r="BR45" s="3">
        <v>8.2400000000000001E-2</v>
      </c>
      <c r="BS45" s="2">
        <v>46197</v>
      </c>
      <c r="BT45" s="3" t="s">
        <v>696</v>
      </c>
      <c r="BU45" s="3" t="s">
        <v>419</v>
      </c>
      <c r="BV45" s="3" t="s">
        <v>697</v>
      </c>
      <c r="BW45" s="3">
        <v>0</v>
      </c>
      <c r="BX45" s="3">
        <v>1.23</v>
      </c>
      <c r="BY45" s="3">
        <v>0</v>
      </c>
      <c r="BZ45" s="3">
        <v>1258907</v>
      </c>
      <c r="CA45" s="3">
        <v>9993.09</v>
      </c>
      <c r="CB45" s="3">
        <v>0.66210000000000002</v>
      </c>
      <c r="CC45" s="2">
        <v>46197</v>
      </c>
      <c r="CD45" s="3" t="s">
        <v>215</v>
      </c>
      <c r="CE45" s="3" t="s">
        <v>29</v>
      </c>
      <c r="CF45" s="3" t="s">
        <v>216</v>
      </c>
      <c r="CG45" s="3">
        <v>0</v>
      </c>
      <c r="CH45" s="3">
        <v>0.46</v>
      </c>
      <c r="CI45" s="3">
        <v>0</v>
      </c>
      <c r="CJ45" s="3">
        <v>678449</v>
      </c>
      <c r="CK45" s="3">
        <v>6751.24</v>
      </c>
      <c r="CL45" s="3">
        <v>16.656500000000001</v>
      </c>
      <c r="CM45" s="2"/>
      <c r="CW45" s="2">
        <v>46197</v>
      </c>
      <c r="CX45" s="3" t="s">
        <v>1277</v>
      </c>
      <c r="CY45" s="3" t="s">
        <v>1278</v>
      </c>
      <c r="CZ45" s="3" t="s">
        <v>1279</v>
      </c>
      <c r="DA45" s="3">
        <v>0</v>
      </c>
      <c r="DB45" s="3">
        <v>0.87</v>
      </c>
      <c r="DC45" s="3">
        <v>0</v>
      </c>
      <c r="DD45" s="3">
        <v>2034534</v>
      </c>
      <c r="DE45" s="3">
        <v>9821.39</v>
      </c>
      <c r="DF45" s="3">
        <v>3.9950000000000001</v>
      </c>
    </row>
    <row r="46" spans="1:110" ht="13.5" customHeight="1" x14ac:dyDescent="0.3">
      <c r="A46" s="2">
        <v>46197</v>
      </c>
      <c r="B46" s="3" t="s">
        <v>791</v>
      </c>
      <c r="C46" s="3" t="s">
        <v>792</v>
      </c>
      <c r="D46" s="3" t="s">
        <v>793</v>
      </c>
      <c r="E46" s="3">
        <v>0</v>
      </c>
      <c r="F46" s="3">
        <v>0.47</v>
      </c>
      <c r="G46" s="3">
        <v>0</v>
      </c>
      <c r="H46" s="3">
        <v>524431</v>
      </c>
      <c r="I46" s="3">
        <v>9881.7800000000007</v>
      </c>
      <c r="J46" s="3">
        <v>1.9742999999999999</v>
      </c>
      <c r="K46" s="2">
        <v>46197</v>
      </c>
      <c r="L46" s="3" t="s">
        <v>128</v>
      </c>
      <c r="M46" s="3" t="s">
        <v>50</v>
      </c>
      <c r="N46" s="3" t="s">
        <v>129</v>
      </c>
      <c r="O46" s="3">
        <v>0</v>
      </c>
      <c r="P46" s="3">
        <v>0.27</v>
      </c>
      <c r="Q46" s="3">
        <v>0</v>
      </c>
      <c r="R46" s="3">
        <v>311988</v>
      </c>
      <c r="S46" s="3">
        <v>10008.629999999999</v>
      </c>
      <c r="T46" s="3">
        <v>0.93910000000000005</v>
      </c>
      <c r="U46" s="2"/>
      <c r="AE46" s="2"/>
      <c r="AO46" s="2"/>
      <c r="AY46" s="2">
        <v>46197</v>
      </c>
      <c r="AZ46" s="3" t="s">
        <v>190</v>
      </c>
      <c r="BA46" s="3" t="s">
        <v>191</v>
      </c>
      <c r="BB46" s="3" t="s">
        <v>192</v>
      </c>
      <c r="BC46" s="3">
        <v>0</v>
      </c>
      <c r="BD46" s="3">
        <v>0.61</v>
      </c>
      <c r="BE46" s="3">
        <v>0</v>
      </c>
      <c r="BF46" s="3">
        <v>768159</v>
      </c>
      <c r="BG46" s="3">
        <v>9985.98</v>
      </c>
      <c r="BH46" s="3">
        <v>1.8216000000000001</v>
      </c>
      <c r="BI46" s="2">
        <v>46197</v>
      </c>
      <c r="BJ46" s="3" t="s">
        <v>1049</v>
      </c>
      <c r="BK46" s="3" t="s">
        <v>1050</v>
      </c>
      <c r="BL46" s="3" t="s">
        <v>1051</v>
      </c>
      <c r="BM46" s="3">
        <v>0</v>
      </c>
      <c r="BN46" s="3">
        <v>0.71</v>
      </c>
      <c r="BO46" s="3">
        <v>0</v>
      </c>
      <c r="BP46" s="3">
        <v>932005</v>
      </c>
      <c r="BQ46" s="3">
        <v>10076.83</v>
      </c>
      <c r="BR46" s="3">
        <v>0.18970000000000001</v>
      </c>
      <c r="BS46" s="2">
        <v>46197</v>
      </c>
      <c r="BT46" s="3" t="s">
        <v>577</v>
      </c>
      <c r="BU46" s="3" t="s">
        <v>578</v>
      </c>
      <c r="BV46" s="3" t="s">
        <v>579</v>
      </c>
      <c r="BW46" s="3">
        <v>0</v>
      </c>
      <c r="BX46" s="3">
        <v>1.23</v>
      </c>
      <c r="BY46" s="3">
        <v>0</v>
      </c>
      <c r="BZ46" s="3">
        <v>1258108</v>
      </c>
      <c r="CA46" s="3">
        <v>9986.43</v>
      </c>
      <c r="CB46" s="3">
        <v>1.2043999999999999</v>
      </c>
      <c r="CC46" s="2">
        <v>46197</v>
      </c>
      <c r="CD46" s="3" t="s">
        <v>217</v>
      </c>
      <c r="CE46" s="3" t="s">
        <v>218</v>
      </c>
      <c r="CF46" s="3" t="s">
        <v>219</v>
      </c>
      <c r="CG46" s="3">
        <v>0</v>
      </c>
      <c r="CH46" s="3">
        <v>0.43</v>
      </c>
      <c r="CI46" s="3">
        <v>0</v>
      </c>
      <c r="CJ46" s="3">
        <v>628987</v>
      </c>
      <c r="CK46" s="3">
        <v>9983.6200000000008</v>
      </c>
      <c r="CL46" s="3">
        <v>4.8555000000000001</v>
      </c>
      <c r="CM46" s="2"/>
      <c r="CW46" s="2">
        <v>46197</v>
      </c>
      <c r="CX46" s="3" t="s">
        <v>1280</v>
      </c>
      <c r="CY46" s="3" t="s">
        <v>1281</v>
      </c>
      <c r="CZ46" s="3" t="s">
        <v>1282</v>
      </c>
      <c r="DA46" s="3">
        <v>0</v>
      </c>
      <c r="DB46" s="3">
        <v>0.87</v>
      </c>
      <c r="DC46" s="3">
        <v>0</v>
      </c>
      <c r="DD46" s="3">
        <v>2032962</v>
      </c>
      <c r="DE46" s="3">
        <v>9800.69</v>
      </c>
      <c r="DF46" s="3">
        <v>2.9009</v>
      </c>
    </row>
    <row r="47" spans="1:110" ht="13.5" customHeight="1" x14ac:dyDescent="0.3">
      <c r="A47" s="2">
        <v>46197</v>
      </c>
      <c r="B47" s="3" t="s">
        <v>794</v>
      </c>
      <c r="C47" s="3" t="s">
        <v>795</v>
      </c>
      <c r="D47" s="3" t="s">
        <v>796</v>
      </c>
      <c r="E47" s="3">
        <v>0</v>
      </c>
      <c r="F47" s="3">
        <v>0.47</v>
      </c>
      <c r="G47" s="3">
        <v>0</v>
      </c>
      <c r="H47" s="3">
        <v>521159</v>
      </c>
      <c r="I47" s="3">
        <v>9820.56</v>
      </c>
      <c r="J47" s="3">
        <v>1.6783999999999999</v>
      </c>
      <c r="K47" s="2">
        <v>46197</v>
      </c>
      <c r="L47" s="3" t="s">
        <v>130</v>
      </c>
      <c r="M47" s="3" t="s">
        <v>131</v>
      </c>
      <c r="N47" s="3" t="s">
        <v>132</v>
      </c>
      <c r="O47" s="3">
        <v>0</v>
      </c>
      <c r="P47" s="3">
        <v>0.25</v>
      </c>
      <c r="Q47" s="3">
        <v>0</v>
      </c>
      <c r="R47" s="3">
        <v>293363</v>
      </c>
      <c r="S47" s="3">
        <v>9411.7099999999991</v>
      </c>
      <c r="T47" s="3">
        <v>1.6518999999999999</v>
      </c>
      <c r="U47" s="2"/>
      <c r="AE47" s="2"/>
      <c r="AO47" s="2"/>
      <c r="AY47" s="2">
        <v>46197</v>
      </c>
      <c r="AZ47" s="3" t="s">
        <v>444</v>
      </c>
      <c r="BA47" s="3" t="s">
        <v>445</v>
      </c>
      <c r="BB47" s="3" t="s">
        <v>446</v>
      </c>
      <c r="BC47" s="3">
        <v>0</v>
      </c>
      <c r="BD47" s="3">
        <v>0.61</v>
      </c>
      <c r="BE47" s="3">
        <v>0</v>
      </c>
      <c r="BF47" s="3">
        <v>768105</v>
      </c>
      <c r="BG47" s="3">
        <v>9985.56</v>
      </c>
      <c r="BH47" s="3">
        <v>2.6528999999999998</v>
      </c>
      <c r="BI47" s="2">
        <v>46197</v>
      </c>
      <c r="BJ47" s="3" t="s">
        <v>1052</v>
      </c>
      <c r="BK47" s="3" t="s">
        <v>240</v>
      </c>
      <c r="BL47" s="3" t="s">
        <v>1053</v>
      </c>
      <c r="BM47" s="3">
        <v>0</v>
      </c>
      <c r="BN47" s="3">
        <v>0.71</v>
      </c>
      <c r="BO47" s="3">
        <v>0</v>
      </c>
      <c r="BP47" s="3">
        <v>931059</v>
      </c>
      <c r="BQ47" s="3">
        <v>10066.530000000001</v>
      </c>
      <c r="BR47" s="3">
        <v>0.1656</v>
      </c>
      <c r="BS47" s="2">
        <v>46197</v>
      </c>
      <c r="BT47" s="3" t="s">
        <v>698</v>
      </c>
      <c r="BU47" s="3" t="s">
        <v>699</v>
      </c>
      <c r="BV47" s="3" t="s">
        <v>700</v>
      </c>
      <c r="BW47" s="3">
        <v>0</v>
      </c>
      <c r="BX47" s="3">
        <v>1.23</v>
      </c>
      <c r="BY47" s="3">
        <v>0</v>
      </c>
      <c r="BZ47" s="3">
        <v>1258077</v>
      </c>
      <c r="CA47" s="3">
        <v>9986.15</v>
      </c>
      <c r="CB47" s="3">
        <v>1.1322000000000001</v>
      </c>
      <c r="CC47" s="2">
        <v>46197</v>
      </c>
      <c r="CD47" s="3" t="s">
        <v>220</v>
      </c>
      <c r="CE47" s="3" t="s">
        <v>29</v>
      </c>
      <c r="CF47" s="3" t="s">
        <v>221</v>
      </c>
      <c r="CG47" s="3">
        <v>0</v>
      </c>
      <c r="CH47" s="3">
        <v>0.43</v>
      </c>
      <c r="CI47" s="3">
        <v>0</v>
      </c>
      <c r="CJ47" s="3">
        <v>626865</v>
      </c>
      <c r="CK47" s="3">
        <v>8321.34</v>
      </c>
      <c r="CL47" s="3">
        <v>10.180199999999999</v>
      </c>
      <c r="CM47" s="2"/>
      <c r="CW47" s="2">
        <v>46197</v>
      </c>
      <c r="CX47" s="3" t="s">
        <v>1283</v>
      </c>
      <c r="CY47" s="3" t="s">
        <v>778</v>
      </c>
      <c r="CZ47" s="3" t="s">
        <v>1284</v>
      </c>
      <c r="DA47" s="3">
        <v>0</v>
      </c>
      <c r="DB47" s="3">
        <v>0.87</v>
      </c>
      <c r="DC47" s="3">
        <v>0</v>
      </c>
      <c r="DD47" s="3">
        <v>2030661</v>
      </c>
      <c r="DE47" s="3">
        <v>9787.56</v>
      </c>
      <c r="DF47" s="3">
        <v>1.1818</v>
      </c>
    </row>
    <row r="48" spans="1:110" ht="13.5" customHeight="1" x14ac:dyDescent="0.3">
      <c r="A48" s="2">
        <v>46197</v>
      </c>
      <c r="B48" s="3" t="s">
        <v>797</v>
      </c>
      <c r="C48" s="3" t="s">
        <v>798</v>
      </c>
      <c r="D48" s="3" t="s">
        <v>799</v>
      </c>
      <c r="E48" s="3">
        <v>0</v>
      </c>
      <c r="F48" s="3">
        <v>0.47</v>
      </c>
      <c r="G48" s="3">
        <v>0</v>
      </c>
      <c r="H48" s="3">
        <v>521029</v>
      </c>
      <c r="I48" s="3">
        <v>9818.69</v>
      </c>
      <c r="J48" s="3">
        <v>7.9776999999999996</v>
      </c>
      <c r="K48" s="2">
        <v>46197</v>
      </c>
      <c r="L48" s="3" t="s">
        <v>7</v>
      </c>
      <c r="M48" s="3" t="s">
        <v>7</v>
      </c>
      <c r="N48" s="3" t="s">
        <v>46</v>
      </c>
      <c r="P48" s="3">
        <v>12.5</v>
      </c>
      <c r="R48" s="3">
        <v>-14637072</v>
      </c>
      <c r="U48" s="2"/>
      <c r="AE48" s="2"/>
      <c r="AO48" s="2"/>
      <c r="AY48" s="2">
        <v>46197</v>
      </c>
      <c r="AZ48" s="3" t="s">
        <v>447</v>
      </c>
      <c r="BA48" s="3" t="s">
        <v>448</v>
      </c>
      <c r="BB48" s="3" t="s">
        <v>449</v>
      </c>
      <c r="BC48" s="3">
        <v>0</v>
      </c>
      <c r="BD48" s="3">
        <v>0.61</v>
      </c>
      <c r="BE48" s="3">
        <v>0</v>
      </c>
      <c r="BF48" s="3">
        <v>767935</v>
      </c>
      <c r="BG48" s="3">
        <v>9983.83</v>
      </c>
      <c r="BH48" s="3">
        <v>1.0552999999999999</v>
      </c>
      <c r="BI48" s="2">
        <v>46197</v>
      </c>
      <c r="BJ48" s="3" t="s">
        <v>1054</v>
      </c>
      <c r="BK48" s="3" t="s">
        <v>1055</v>
      </c>
      <c r="BL48" s="3" t="s">
        <v>1056</v>
      </c>
      <c r="BM48" s="3">
        <v>0</v>
      </c>
      <c r="BN48" s="3">
        <v>0.71</v>
      </c>
      <c r="BO48" s="3">
        <v>0</v>
      </c>
      <c r="BP48" s="3">
        <v>930624</v>
      </c>
      <c r="BQ48" s="3">
        <v>10061.94</v>
      </c>
      <c r="BR48" s="3">
        <v>2.2599999999999999E-2</v>
      </c>
      <c r="BS48" s="2">
        <v>46197</v>
      </c>
      <c r="BT48" s="3" t="s">
        <v>701</v>
      </c>
      <c r="BU48" s="3" t="s">
        <v>702</v>
      </c>
      <c r="BV48" s="3" t="s">
        <v>703</v>
      </c>
      <c r="BW48" s="3">
        <v>0</v>
      </c>
      <c r="BX48" s="3">
        <v>1.23</v>
      </c>
      <c r="BY48" s="3">
        <v>0</v>
      </c>
      <c r="BZ48" s="3">
        <v>1252533</v>
      </c>
      <c r="CC48" s="2">
        <v>46197</v>
      </c>
      <c r="CD48" s="3" t="s">
        <v>222</v>
      </c>
      <c r="CE48" s="3" t="s">
        <v>56</v>
      </c>
      <c r="CF48" s="3" t="s">
        <v>223</v>
      </c>
      <c r="CG48" s="3">
        <v>0</v>
      </c>
      <c r="CH48" s="3">
        <v>0.41</v>
      </c>
      <c r="CI48" s="3">
        <v>0</v>
      </c>
      <c r="CJ48" s="3">
        <v>609497</v>
      </c>
      <c r="CK48" s="3">
        <v>12386.65</v>
      </c>
      <c r="CL48" s="3">
        <v>1.9340999999999999</v>
      </c>
      <c r="CM48" s="2"/>
      <c r="CW48" s="2">
        <v>46197</v>
      </c>
      <c r="CX48" s="3" t="s">
        <v>1285</v>
      </c>
      <c r="CY48" s="3" t="s">
        <v>260</v>
      </c>
      <c r="CZ48" s="3" t="s">
        <v>1286</v>
      </c>
      <c r="DA48" s="3">
        <v>0</v>
      </c>
      <c r="DB48" s="3">
        <v>0.87</v>
      </c>
      <c r="DC48" s="3">
        <v>0</v>
      </c>
      <c r="DD48" s="3">
        <v>2028628</v>
      </c>
      <c r="DE48" s="3">
        <v>9779.58</v>
      </c>
      <c r="DF48" s="3">
        <v>1.9855</v>
      </c>
    </row>
    <row r="49" spans="1:110" ht="13.5" customHeight="1" x14ac:dyDescent="0.3">
      <c r="A49" s="2">
        <v>46197</v>
      </c>
      <c r="B49" s="3" t="s">
        <v>800</v>
      </c>
      <c r="C49" s="3" t="s">
        <v>801</v>
      </c>
      <c r="D49" s="3" t="s">
        <v>802</v>
      </c>
      <c r="E49" s="3">
        <v>0</v>
      </c>
      <c r="F49" s="3">
        <v>0.47</v>
      </c>
      <c r="G49" s="3">
        <v>0</v>
      </c>
      <c r="H49" s="3">
        <v>519337</v>
      </c>
      <c r="I49" s="3">
        <v>9784.73</v>
      </c>
      <c r="J49" s="3">
        <v>4.1551999999999998</v>
      </c>
      <c r="K49" s="2"/>
      <c r="U49" s="2"/>
      <c r="AE49" s="2"/>
      <c r="AO49" s="2"/>
      <c r="AY49" s="2">
        <v>46197</v>
      </c>
      <c r="AZ49" s="3" t="s">
        <v>450</v>
      </c>
      <c r="BA49" s="3" t="s">
        <v>451</v>
      </c>
      <c r="BB49" s="3" t="s">
        <v>452</v>
      </c>
      <c r="BC49" s="3">
        <v>0</v>
      </c>
      <c r="BD49" s="3">
        <v>0.61</v>
      </c>
      <c r="BE49" s="3">
        <v>0</v>
      </c>
      <c r="BF49" s="3">
        <v>767246</v>
      </c>
      <c r="BG49" s="3">
        <v>9974.49</v>
      </c>
      <c r="BH49" s="3">
        <v>2.4860000000000002</v>
      </c>
      <c r="BI49" s="2">
        <v>46197</v>
      </c>
      <c r="BJ49" s="3" t="s">
        <v>1057</v>
      </c>
      <c r="BK49" s="3" t="s">
        <v>1058</v>
      </c>
      <c r="BL49" s="3" t="s">
        <v>1059</v>
      </c>
      <c r="BM49" s="3">
        <v>0</v>
      </c>
      <c r="BN49" s="3">
        <v>0.71</v>
      </c>
      <c r="BO49" s="3">
        <v>0</v>
      </c>
      <c r="BP49" s="3">
        <v>930276</v>
      </c>
      <c r="BQ49" s="3">
        <v>10057.870000000001</v>
      </c>
      <c r="BR49" s="3">
        <v>0.32769999999999999</v>
      </c>
      <c r="BS49" s="2">
        <v>46197</v>
      </c>
      <c r="BT49" s="3" t="s">
        <v>704</v>
      </c>
      <c r="BU49" s="3" t="s">
        <v>702</v>
      </c>
      <c r="BV49" s="3" t="s">
        <v>703</v>
      </c>
      <c r="BW49" s="3">
        <v>0</v>
      </c>
      <c r="BX49" s="3">
        <v>1.23</v>
      </c>
      <c r="BY49" s="3">
        <v>0</v>
      </c>
      <c r="BZ49" s="3">
        <v>1252533</v>
      </c>
      <c r="CC49" s="2">
        <v>46197</v>
      </c>
      <c r="CD49" s="3" t="s">
        <v>70</v>
      </c>
      <c r="CE49" s="3" t="s">
        <v>29</v>
      </c>
      <c r="CF49" s="3" t="s">
        <v>224</v>
      </c>
      <c r="CG49" s="3">
        <v>0</v>
      </c>
      <c r="CH49" s="3">
        <v>0.41</v>
      </c>
      <c r="CI49" s="3">
        <v>0</v>
      </c>
      <c r="CJ49" s="3">
        <v>603649</v>
      </c>
      <c r="CK49" s="3">
        <v>6348.82</v>
      </c>
      <c r="CL49" s="3">
        <v>17.7789</v>
      </c>
      <c r="CM49" s="2"/>
      <c r="CW49" s="2">
        <v>46197</v>
      </c>
      <c r="CX49" s="3" t="s">
        <v>1287</v>
      </c>
      <c r="CY49" s="3" t="s">
        <v>1288</v>
      </c>
      <c r="CZ49" s="3" t="s">
        <v>1289</v>
      </c>
      <c r="DA49" s="3">
        <v>0</v>
      </c>
      <c r="DB49" s="3">
        <v>0.87</v>
      </c>
      <c r="DC49" s="3">
        <v>0</v>
      </c>
      <c r="DD49" s="3">
        <v>2025013</v>
      </c>
      <c r="DE49" s="3">
        <v>9763.49</v>
      </c>
      <c r="DF49" s="3">
        <v>2.3506</v>
      </c>
    </row>
    <row r="50" spans="1:110" ht="13.5" customHeight="1" x14ac:dyDescent="0.3">
      <c r="A50" s="2">
        <v>46197</v>
      </c>
      <c r="B50" s="3" t="s">
        <v>803</v>
      </c>
      <c r="C50" s="3" t="s">
        <v>804</v>
      </c>
      <c r="D50" s="3" t="s">
        <v>805</v>
      </c>
      <c r="E50" s="3">
        <v>0</v>
      </c>
      <c r="F50" s="3">
        <v>0.46</v>
      </c>
      <c r="G50" s="3">
        <v>0</v>
      </c>
      <c r="H50" s="3">
        <v>516862</v>
      </c>
      <c r="I50" s="3">
        <v>9740.01</v>
      </c>
      <c r="J50" s="3">
        <v>2.3851</v>
      </c>
      <c r="K50" s="2"/>
      <c r="U50" s="2"/>
      <c r="AE50" s="2"/>
      <c r="AO50" s="2"/>
      <c r="AY50" s="2">
        <v>46197</v>
      </c>
      <c r="AZ50" s="3" t="s">
        <v>453</v>
      </c>
      <c r="BA50" s="3" t="s">
        <v>454</v>
      </c>
      <c r="BB50" s="3" t="s">
        <v>455</v>
      </c>
      <c r="BC50" s="3">
        <v>0</v>
      </c>
      <c r="BD50" s="3">
        <v>0.61</v>
      </c>
      <c r="BE50" s="3">
        <v>0</v>
      </c>
      <c r="BF50" s="3">
        <v>766588</v>
      </c>
      <c r="BG50" s="3">
        <v>9965.89</v>
      </c>
      <c r="BH50" s="3">
        <v>0.83160000000000001</v>
      </c>
      <c r="BI50" s="2">
        <v>46197</v>
      </c>
      <c r="BJ50" s="3" t="s">
        <v>1060</v>
      </c>
      <c r="BK50" s="3" t="s">
        <v>1061</v>
      </c>
      <c r="BL50" s="3" t="s">
        <v>1062</v>
      </c>
      <c r="BM50" s="3">
        <v>0</v>
      </c>
      <c r="BN50" s="3">
        <v>0.71</v>
      </c>
      <c r="BO50" s="3">
        <v>0</v>
      </c>
      <c r="BP50" s="3">
        <v>929992</v>
      </c>
      <c r="BQ50" s="3">
        <v>10055.02</v>
      </c>
      <c r="BR50" s="3">
        <v>0.1898</v>
      </c>
      <c r="BS50" s="2">
        <v>46197</v>
      </c>
      <c r="BT50" s="3" t="s">
        <v>705</v>
      </c>
      <c r="BU50" s="3" t="s">
        <v>706</v>
      </c>
      <c r="BV50" s="3" t="s">
        <v>707</v>
      </c>
      <c r="BW50" s="3">
        <v>0</v>
      </c>
      <c r="BX50" s="3">
        <v>1.23</v>
      </c>
      <c r="BY50" s="3">
        <v>0</v>
      </c>
      <c r="BZ50" s="3">
        <v>1251315</v>
      </c>
      <c r="CA50" s="3">
        <v>9932.2099999999991</v>
      </c>
      <c r="CB50" s="3">
        <v>1.2834000000000001</v>
      </c>
      <c r="CC50" s="2">
        <v>46197</v>
      </c>
      <c r="CD50" s="3" t="s">
        <v>225</v>
      </c>
      <c r="CE50" s="3" t="s">
        <v>218</v>
      </c>
      <c r="CF50" s="3" t="s">
        <v>226</v>
      </c>
      <c r="CG50" s="3">
        <v>0</v>
      </c>
      <c r="CH50" s="3">
        <v>0.34</v>
      </c>
      <c r="CI50" s="3">
        <v>0</v>
      </c>
      <c r="CJ50" s="3">
        <v>494487</v>
      </c>
      <c r="CK50" s="3">
        <v>10532.51</v>
      </c>
      <c r="CL50" s="3">
        <v>3.1417000000000002</v>
      </c>
      <c r="CM50" s="2"/>
      <c r="CW50" s="2">
        <v>46197</v>
      </c>
      <c r="CX50" s="3" t="s">
        <v>1290</v>
      </c>
      <c r="CY50" s="3" t="s">
        <v>1291</v>
      </c>
      <c r="CZ50" s="3" t="s">
        <v>1292</v>
      </c>
      <c r="DA50" s="3">
        <v>0</v>
      </c>
      <c r="DB50" s="3">
        <v>0.87</v>
      </c>
      <c r="DC50" s="3">
        <v>0</v>
      </c>
      <c r="DD50" s="3">
        <v>2018653</v>
      </c>
      <c r="DE50" s="3">
        <v>9730.93</v>
      </c>
      <c r="DF50" s="3">
        <v>2.1088</v>
      </c>
    </row>
    <row r="51" spans="1:110" ht="13.5" customHeight="1" x14ac:dyDescent="0.3">
      <c r="A51" s="2">
        <v>46197</v>
      </c>
      <c r="B51" s="3" t="s">
        <v>806</v>
      </c>
      <c r="C51" s="3" t="s">
        <v>807</v>
      </c>
      <c r="D51" s="3" t="s">
        <v>808</v>
      </c>
      <c r="E51" s="3">
        <v>0</v>
      </c>
      <c r="F51" s="3">
        <v>0.46</v>
      </c>
      <c r="G51" s="3">
        <v>0</v>
      </c>
      <c r="H51" s="3">
        <v>515811</v>
      </c>
      <c r="I51" s="3">
        <v>9719.9</v>
      </c>
      <c r="J51" s="3">
        <v>2.3045</v>
      </c>
      <c r="K51" s="2"/>
      <c r="U51" s="2"/>
      <c r="AE51" s="2"/>
      <c r="AO51" s="2"/>
      <c r="AY51" s="2">
        <v>46197</v>
      </c>
      <c r="AZ51" s="3" t="s">
        <v>456</v>
      </c>
      <c r="BA51" s="3" t="s">
        <v>457</v>
      </c>
      <c r="BB51" s="3" t="s">
        <v>458</v>
      </c>
      <c r="BC51" s="3">
        <v>0</v>
      </c>
      <c r="BD51" s="3">
        <v>0.61</v>
      </c>
      <c r="BE51" s="3">
        <v>0</v>
      </c>
      <c r="BF51" s="3">
        <v>766282</v>
      </c>
      <c r="BG51" s="3">
        <v>9962.27</v>
      </c>
      <c r="BH51" s="3">
        <v>2.6423000000000001</v>
      </c>
      <c r="BI51" s="2">
        <v>46197</v>
      </c>
      <c r="BJ51" s="3" t="s">
        <v>1063</v>
      </c>
      <c r="BK51" s="3" t="s">
        <v>1064</v>
      </c>
      <c r="BL51" s="3" t="s">
        <v>1065</v>
      </c>
      <c r="BM51" s="3">
        <v>0</v>
      </c>
      <c r="BN51" s="3">
        <v>0.71</v>
      </c>
      <c r="BO51" s="3">
        <v>0</v>
      </c>
      <c r="BP51" s="3">
        <v>929882</v>
      </c>
      <c r="BQ51" s="3">
        <v>10053.92</v>
      </c>
      <c r="BR51" s="3">
        <v>0.1096</v>
      </c>
      <c r="BS51" s="2">
        <v>46197</v>
      </c>
      <c r="BT51" s="3" t="s">
        <v>708</v>
      </c>
      <c r="BU51" s="3" t="s">
        <v>709</v>
      </c>
      <c r="BV51" s="3" t="s">
        <v>710</v>
      </c>
      <c r="BW51" s="3">
        <v>0</v>
      </c>
      <c r="BX51" s="3">
        <v>1.22</v>
      </c>
      <c r="BY51" s="3">
        <v>0</v>
      </c>
      <c r="BZ51" s="3">
        <v>1250136</v>
      </c>
      <c r="CC51" s="2">
        <v>46197</v>
      </c>
      <c r="CD51" s="3" t="s">
        <v>117</v>
      </c>
      <c r="CE51" s="3" t="s">
        <v>56</v>
      </c>
      <c r="CF51" s="3" t="s">
        <v>227</v>
      </c>
      <c r="CG51" s="3">
        <v>0</v>
      </c>
      <c r="CH51" s="3">
        <v>0.33</v>
      </c>
      <c r="CI51" s="3">
        <v>0</v>
      </c>
      <c r="CJ51" s="3">
        <v>491587</v>
      </c>
      <c r="CK51" s="3">
        <v>7405.73</v>
      </c>
      <c r="CL51" s="3">
        <v>12.543200000000001</v>
      </c>
      <c r="CM51" s="2"/>
      <c r="CW51" s="2">
        <v>46197</v>
      </c>
      <c r="CX51" s="3" t="s">
        <v>1293</v>
      </c>
      <c r="CY51" s="3" t="s">
        <v>363</v>
      </c>
      <c r="CZ51" s="3" t="s">
        <v>1294</v>
      </c>
      <c r="DA51" s="3">
        <v>0</v>
      </c>
      <c r="DB51" s="3">
        <v>0.86</v>
      </c>
      <c r="DC51" s="3">
        <v>0</v>
      </c>
      <c r="DD51" s="3">
        <v>2013648</v>
      </c>
      <c r="DE51" s="3">
        <v>9707.57</v>
      </c>
      <c r="DF51" s="3">
        <v>2.2170000000000001</v>
      </c>
    </row>
    <row r="52" spans="1:110" ht="13.5" customHeight="1" x14ac:dyDescent="0.3">
      <c r="A52" s="2">
        <v>46197</v>
      </c>
      <c r="B52" s="3" t="s">
        <v>809</v>
      </c>
      <c r="C52" s="3" t="s">
        <v>810</v>
      </c>
      <c r="D52" s="3" t="s">
        <v>811</v>
      </c>
      <c r="E52" s="3">
        <v>0</v>
      </c>
      <c r="F52" s="3">
        <v>0.46</v>
      </c>
      <c r="G52" s="3">
        <v>0</v>
      </c>
      <c r="H52" s="3">
        <v>512815</v>
      </c>
      <c r="I52" s="3">
        <v>9663.4</v>
      </c>
      <c r="J52" s="3">
        <v>2.35</v>
      </c>
      <c r="K52" s="2"/>
      <c r="U52" s="2"/>
      <c r="AE52" s="2"/>
      <c r="AO52" s="2"/>
      <c r="AY52" s="2">
        <v>46197</v>
      </c>
      <c r="AZ52" s="3" t="s">
        <v>459</v>
      </c>
      <c r="BA52" s="3" t="s">
        <v>460</v>
      </c>
      <c r="BB52" s="3" t="s">
        <v>461</v>
      </c>
      <c r="BC52" s="3">
        <v>0</v>
      </c>
      <c r="BD52" s="3">
        <v>0.61</v>
      </c>
      <c r="BE52" s="3">
        <v>0</v>
      </c>
      <c r="BF52" s="3">
        <v>766128</v>
      </c>
      <c r="BI52" s="2">
        <v>46197</v>
      </c>
      <c r="BJ52" s="3" t="s">
        <v>1066</v>
      </c>
      <c r="BK52" s="3" t="s">
        <v>1067</v>
      </c>
      <c r="BL52" s="3" t="s">
        <v>1068</v>
      </c>
      <c r="BM52" s="3">
        <v>0</v>
      </c>
      <c r="BN52" s="3">
        <v>0.71</v>
      </c>
      <c r="BO52" s="3">
        <v>0</v>
      </c>
      <c r="BP52" s="3">
        <v>929497</v>
      </c>
      <c r="BQ52" s="3">
        <v>10049.549999999999</v>
      </c>
      <c r="BR52" s="3">
        <v>0.19650000000000001</v>
      </c>
      <c r="BS52" s="2">
        <v>46197</v>
      </c>
      <c r="BT52" s="3" t="s">
        <v>711</v>
      </c>
      <c r="BU52" s="3" t="s">
        <v>702</v>
      </c>
      <c r="BV52" s="3" t="s">
        <v>703</v>
      </c>
      <c r="BW52" s="3">
        <v>0</v>
      </c>
      <c r="BX52" s="3">
        <v>1.22</v>
      </c>
      <c r="BY52" s="3">
        <v>0</v>
      </c>
      <c r="BZ52" s="3">
        <v>1248847</v>
      </c>
      <c r="CC52" s="2">
        <v>46197</v>
      </c>
      <c r="CD52" s="3" t="s">
        <v>228</v>
      </c>
      <c r="CE52" s="3" t="s">
        <v>229</v>
      </c>
      <c r="CF52" s="3" t="s">
        <v>230</v>
      </c>
      <c r="CG52" s="3">
        <v>0</v>
      </c>
      <c r="CH52" s="3">
        <v>0.33</v>
      </c>
      <c r="CI52" s="3">
        <v>0</v>
      </c>
      <c r="CJ52" s="3">
        <v>478156</v>
      </c>
      <c r="CK52" s="3">
        <v>10183.969999999999</v>
      </c>
      <c r="CL52" s="3">
        <v>1.0404</v>
      </c>
      <c r="CM52" s="2"/>
      <c r="CW52" s="2">
        <v>46197</v>
      </c>
      <c r="CX52" s="3" t="s">
        <v>1295</v>
      </c>
      <c r="CY52" s="3" t="s">
        <v>1296</v>
      </c>
      <c r="CZ52" s="3" t="s">
        <v>1297</v>
      </c>
      <c r="DA52" s="3">
        <v>0</v>
      </c>
      <c r="DB52" s="3">
        <v>0.86</v>
      </c>
      <c r="DC52" s="3">
        <v>0</v>
      </c>
      <c r="DD52" s="3">
        <v>2004582</v>
      </c>
      <c r="DE52" s="3">
        <v>9663.7900000000009</v>
      </c>
      <c r="DF52" s="3">
        <v>3.3048999999999999</v>
      </c>
    </row>
    <row r="53" spans="1:110" ht="13.5" customHeight="1" x14ac:dyDescent="0.3">
      <c r="A53" s="2">
        <v>46197</v>
      </c>
      <c r="B53" s="3" t="s">
        <v>812</v>
      </c>
      <c r="C53" s="3" t="s">
        <v>813</v>
      </c>
      <c r="D53" s="3" t="s">
        <v>814</v>
      </c>
      <c r="E53" s="3">
        <v>0</v>
      </c>
      <c r="F53" s="3">
        <v>0.43</v>
      </c>
      <c r="G53" s="3">
        <v>0</v>
      </c>
      <c r="H53" s="3">
        <v>481526</v>
      </c>
      <c r="I53" s="3">
        <v>9073.7800000000007</v>
      </c>
      <c r="J53" s="3">
        <v>5.4077999999999999</v>
      </c>
      <c r="K53" s="2"/>
      <c r="U53" s="2"/>
      <c r="AE53" s="2"/>
      <c r="AO53" s="2"/>
      <c r="AY53" s="2">
        <v>46197</v>
      </c>
      <c r="AZ53" s="3" t="s">
        <v>462</v>
      </c>
      <c r="BA53" s="3" t="s">
        <v>463</v>
      </c>
      <c r="BB53" s="3" t="s">
        <v>464</v>
      </c>
      <c r="BC53" s="3">
        <v>0</v>
      </c>
      <c r="BD53" s="3">
        <v>0.61</v>
      </c>
      <c r="BE53" s="3">
        <v>0</v>
      </c>
      <c r="BF53" s="3">
        <v>765834</v>
      </c>
      <c r="BI53" s="2">
        <v>46197</v>
      </c>
      <c r="BJ53" s="3" t="s">
        <v>1069</v>
      </c>
      <c r="BK53" s="3" t="s">
        <v>1070</v>
      </c>
      <c r="BL53" s="3" t="s">
        <v>1071</v>
      </c>
      <c r="BM53" s="3">
        <v>0</v>
      </c>
      <c r="BN53" s="3">
        <v>0.71</v>
      </c>
      <c r="BO53" s="3">
        <v>0</v>
      </c>
      <c r="BP53" s="3">
        <v>929425</v>
      </c>
      <c r="BQ53" s="3">
        <v>10049.049999999999</v>
      </c>
      <c r="BR53" s="3">
        <v>0.26140000000000002</v>
      </c>
      <c r="BS53" s="2">
        <v>46197</v>
      </c>
      <c r="BT53" s="3" t="s">
        <v>712</v>
      </c>
      <c r="BU53" s="3" t="s">
        <v>702</v>
      </c>
      <c r="BV53" s="3" t="s">
        <v>703</v>
      </c>
      <c r="BW53" s="3">
        <v>0</v>
      </c>
      <c r="BX53" s="3">
        <v>1.22</v>
      </c>
      <c r="BY53" s="3">
        <v>0</v>
      </c>
      <c r="BZ53" s="3">
        <v>1248847</v>
      </c>
      <c r="CC53" s="2">
        <v>46197</v>
      </c>
      <c r="CD53" s="3" t="s">
        <v>231</v>
      </c>
      <c r="CE53" s="3" t="s">
        <v>191</v>
      </c>
      <c r="CF53" s="3" t="s">
        <v>232</v>
      </c>
      <c r="CG53" s="3">
        <v>0</v>
      </c>
      <c r="CH53" s="3">
        <v>0.32</v>
      </c>
      <c r="CI53" s="3">
        <v>0</v>
      </c>
      <c r="CJ53" s="3">
        <v>476468</v>
      </c>
      <c r="CK53" s="3">
        <v>10148.68</v>
      </c>
      <c r="CL53" s="3">
        <v>0.78510000000000002</v>
      </c>
      <c r="CM53" s="2"/>
      <c r="CW53" s="2">
        <v>46197</v>
      </c>
      <c r="CX53" s="3" t="s">
        <v>1298</v>
      </c>
      <c r="CY53" s="3" t="s">
        <v>173</v>
      </c>
      <c r="CZ53" s="3" t="s">
        <v>1299</v>
      </c>
      <c r="DA53" s="3">
        <v>0</v>
      </c>
      <c r="DB53" s="3">
        <v>0.86</v>
      </c>
      <c r="DC53" s="3">
        <v>0</v>
      </c>
      <c r="DD53" s="3">
        <v>2003354</v>
      </c>
      <c r="DE53" s="3">
        <v>9651.76</v>
      </c>
      <c r="DF53" s="3">
        <v>3.3460999999999999</v>
      </c>
    </row>
    <row r="54" spans="1:110" ht="13.5" customHeight="1" x14ac:dyDescent="0.3">
      <c r="A54" s="2">
        <v>46197</v>
      </c>
      <c r="B54" s="3" t="s">
        <v>815</v>
      </c>
      <c r="C54" s="3" t="s">
        <v>816</v>
      </c>
      <c r="D54" s="3" t="s">
        <v>817</v>
      </c>
      <c r="E54" s="3">
        <v>0</v>
      </c>
      <c r="F54" s="3">
        <v>0.43</v>
      </c>
      <c r="G54" s="3">
        <v>0</v>
      </c>
      <c r="H54" s="3">
        <v>478340</v>
      </c>
      <c r="I54" s="3">
        <v>9016.91</v>
      </c>
      <c r="J54" s="3">
        <v>7.7975000000000003</v>
      </c>
      <c r="K54" s="2"/>
      <c r="U54" s="2"/>
      <c r="AE54" s="2"/>
      <c r="AO54" s="2"/>
      <c r="AY54" s="2">
        <v>46197</v>
      </c>
      <c r="AZ54" s="3" t="s">
        <v>465</v>
      </c>
      <c r="BA54" s="3" t="s">
        <v>466</v>
      </c>
      <c r="BB54" s="3" t="s">
        <v>467</v>
      </c>
      <c r="BC54" s="3">
        <v>0</v>
      </c>
      <c r="BD54" s="3">
        <v>0.61</v>
      </c>
      <c r="BE54" s="3">
        <v>0</v>
      </c>
      <c r="BF54" s="3">
        <v>765633</v>
      </c>
      <c r="BG54" s="3">
        <v>9953.61</v>
      </c>
      <c r="BH54" s="3">
        <v>2.6537000000000002</v>
      </c>
      <c r="BI54" s="2">
        <v>46197</v>
      </c>
      <c r="BJ54" s="3" t="s">
        <v>1072</v>
      </c>
      <c r="BK54" s="3" t="s">
        <v>1073</v>
      </c>
      <c r="BL54" s="3" t="s">
        <v>1074</v>
      </c>
      <c r="BM54" s="3">
        <v>0</v>
      </c>
      <c r="BN54" s="3">
        <v>0.71</v>
      </c>
      <c r="BO54" s="3">
        <v>0</v>
      </c>
      <c r="BP54" s="3">
        <v>929224</v>
      </c>
      <c r="BQ54" s="3">
        <v>10046.879999999999</v>
      </c>
      <c r="BR54" s="3">
        <v>0.1171</v>
      </c>
      <c r="BS54" s="2">
        <v>46197</v>
      </c>
      <c r="BT54" s="3" t="s">
        <v>713</v>
      </c>
      <c r="BU54" s="3" t="s">
        <v>714</v>
      </c>
      <c r="BV54" s="3" t="s">
        <v>715</v>
      </c>
      <c r="BW54" s="3">
        <v>0</v>
      </c>
      <c r="BX54" s="3">
        <v>1.22</v>
      </c>
      <c r="BY54" s="3">
        <v>0</v>
      </c>
      <c r="BZ54" s="3">
        <v>1241274</v>
      </c>
      <c r="CA54" s="3">
        <v>9853.5300000000007</v>
      </c>
      <c r="CB54" s="3">
        <v>1.6120000000000001</v>
      </c>
      <c r="CC54" s="2">
        <v>46197</v>
      </c>
      <c r="CD54" s="3" t="s">
        <v>233</v>
      </c>
      <c r="CE54" s="3" t="s">
        <v>234</v>
      </c>
      <c r="CF54" s="3" t="s">
        <v>235</v>
      </c>
      <c r="CG54" s="3">
        <v>0</v>
      </c>
      <c r="CH54" s="3">
        <v>0.32</v>
      </c>
      <c r="CI54" s="3">
        <v>0</v>
      </c>
      <c r="CJ54" s="3">
        <v>475668</v>
      </c>
      <c r="CK54" s="3">
        <v>10131.5</v>
      </c>
      <c r="CL54" s="3">
        <v>0.54569999999999996</v>
      </c>
      <c r="CM54" s="2"/>
      <c r="CW54" s="2">
        <v>46197</v>
      </c>
      <c r="CX54" s="3" t="s">
        <v>1300</v>
      </c>
      <c r="CY54" s="3" t="s">
        <v>1301</v>
      </c>
      <c r="CZ54" s="3" t="s">
        <v>1302</v>
      </c>
      <c r="DA54" s="3">
        <v>0</v>
      </c>
      <c r="DB54" s="3">
        <v>0.86</v>
      </c>
      <c r="DC54" s="3">
        <v>0</v>
      </c>
      <c r="DD54" s="3">
        <v>2000927</v>
      </c>
      <c r="DE54" s="3">
        <v>9646.19</v>
      </c>
      <c r="DF54" s="3">
        <v>3.3451</v>
      </c>
    </row>
    <row r="55" spans="1:110" ht="13.5" customHeight="1" x14ac:dyDescent="0.3">
      <c r="A55" s="2">
        <v>46197</v>
      </c>
      <c r="B55" s="3" t="s">
        <v>167</v>
      </c>
      <c r="C55" s="3" t="s">
        <v>29</v>
      </c>
      <c r="D55" s="3" t="s">
        <v>168</v>
      </c>
      <c r="E55" s="3">
        <v>0</v>
      </c>
      <c r="F55" s="3">
        <v>0.42</v>
      </c>
      <c r="G55" s="3">
        <v>0</v>
      </c>
      <c r="H55" s="3">
        <v>467531</v>
      </c>
      <c r="I55" s="3">
        <v>8989.7800000000007</v>
      </c>
      <c r="J55" s="3">
        <v>4.2381000000000002</v>
      </c>
      <c r="K55" s="2"/>
      <c r="U55" s="2"/>
      <c r="AE55" s="2"/>
      <c r="AO55" s="2"/>
      <c r="AY55" s="2">
        <v>46197</v>
      </c>
      <c r="AZ55" s="3" t="s">
        <v>468</v>
      </c>
      <c r="BA55" s="3" t="s">
        <v>395</v>
      </c>
      <c r="BB55" s="3" t="s">
        <v>469</v>
      </c>
      <c r="BC55" s="3">
        <v>0</v>
      </c>
      <c r="BD55" s="3">
        <v>0.61</v>
      </c>
      <c r="BE55" s="3">
        <v>0</v>
      </c>
      <c r="BF55" s="3">
        <v>765474</v>
      </c>
      <c r="BG55" s="3">
        <v>9950.39</v>
      </c>
      <c r="BH55" s="3">
        <v>2.6551</v>
      </c>
      <c r="BI55" s="2">
        <v>46197</v>
      </c>
      <c r="BJ55" s="3" t="s">
        <v>1075</v>
      </c>
      <c r="BK55" s="3" t="s">
        <v>1076</v>
      </c>
      <c r="BL55" s="3" t="s">
        <v>1077</v>
      </c>
      <c r="BM55" s="3">
        <v>0</v>
      </c>
      <c r="BN55" s="3">
        <v>0.71</v>
      </c>
      <c r="BO55" s="3">
        <v>0</v>
      </c>
      <c r="BP55" s="3">
        <v>929185</v>
      </c>
      <c r="BQ55" s="3">
        <v>10046.44</v>
      </c>
      <c r="BR55" s="3">
        <v>0.1585</v>
      </c>
      <c r="BS55" s="2">
        <v>46197</v>
      </c>
      <c r="BT55" s="3" t="s">
        <v>716</v>
      </c>
      <c r="BU55" s="3" t="s">
        <v>717</v>
      </c>
      <c r="BV55" s="3" t="s">
        <v>718</v>
      </c>
      <c r="BW55" s="3">
        <v>0</v>
      </c>
      <c r="BX55" s="3">
        <v>1.22</v>
      </c>
      <c r="BY55" s="3">
        <v>0</v>
      </c>
      <c r="BZ55" s="3">
        <v>1241249</v>
      </c>
      <c r="CA55" s="3">
        <v>10053.9</v>
      </c>
      <c r="CB55" s="3">
        <v>0.56889999999999996</v>
      </c>
      <c r="CC55" s="2">
        <v>46197</v>
      </c>
      <c r="CD55" s="3" t="s">
        <v>236</v>
      </c>
      <c r="CE55" s="3" t="s">
        <v>237</v>
      </c>
      <c r="CF55" s="3" t="s">
        <v>238</v>
      </c>
      <c r="CG55" s="3">
        <v>0</v>
      </c>
      <c r="CH55" s="3">
        <v>0.32</v>
      </c>
      <c r="CI55" s="3">
        <v>0</v>
      </c>
      <c r="CJ55" s="3">
        <v>474358</v>
      </c>
      <c r="CK55" s="3">
        <v>10103.549999999999</v>
      </c>
      <c r="CL55" s="3">
        <v>0.62980000000000003</v>
      </c>
      <c r="CM55" s="2"/>
      <c r="CW55" s="2">
        <v>46197</v>
      </c>
      <c r="CX55" s="3" t="s">
        <v>1303</v>
      </c>
      <c r="CY55" s="3" t="s">
        <v>1304</v>
      </c>
      <c r="CZ55" s="3" t="s">
        <v>1305</v>
      </c>
      <c r="DA55" s="3">
        <v>0</v>
      </c>
      <c r="DB55" s="3">
        <v>0.86</v>
      </c>
      <c r="DC55" s="3">
        <v>0</v>
      </c>
      <c r="DD55" s="3">
        <v>1995150</v>
      </c>
      <c r="DE55" s="3">
        <v>9615.24</v>
      </c>
      <c r="DF55" s="3">
        <v>3.423</v>
      </c>
    </row>
    <row r="56" spans="1:110" ht="13.5" customHeight="1" x14ac:dyDescent="0.3">
      <c r="A56" s="2">
        <v>46197</v>
      </c>
      <c r="B56" s="3" t="s">
        <v>818</v>
      </c>
      <c r="C56" s="3" t="s">
        <v>257</v>
      </c>
      <c r="D56" s="3" t="s">
        <v>819</v>
      </c>
      <c r="E56" s="3">
        <v>0</v>
      </c>
      <c r="F56" s="3">
        <v>0.42</v>
      </c>
      <c r="G56" s="3">
        <v>0</v>
      </c>
      <c r="H56" s="3">
        <v>462408</v>
      </c>
      <c r="I56" s="3">
        <v>9681.0499999999993</v>
      </c>
      <c r="J56" s="3">
        <v>3.3492999999999999</v>
      </c>
      <c r="K56" s="2"/>
      <c r="U56" s="2"/>
      <c r="AE56" s="2"/>
      <c r="AO56" s="2"/>
      <c r="AY56" s="2">
        <v>46197</v>
      </c>
      <c r="AZ56" s="3" t="s">
        <v>470</v>
      </c>
      <c r="BA56" s="3" t="s">
        <v>471</v>
      </c>
      <c r="BB56" s="3" t="s">
        <v>472</v>
      </c>
      <c r="BC56" s="3">
        <v>0</v>
      </c>
      <c r="BD56" s="3">
        <v>0.61</v>
      </c>
      <c r="BE56" s="3">
        <v>0</v>
      </c>
      <c r="BF56" s="3">
        <v>764986</v>
      </c>
      <c r="BG56" s="3">
        <v>9944.9500000000007</v>
      </c>
      <c r="BH56" s="3">
        <v>1.3786</v>
      </c>
      <c r="BI56" s="2">
        <v>46197</v>
      </c>
      <c r="BJ56" s="3" t="s">
        <v>1078</v>
      </c>
      <c r="BK56" s="3" t="s">
        <v>1079</v>
      </c>
      <c r="BL56" s="3" t="s">
        <v>1080</v>
      </c>
      <c r="BM56" s="3">
        <v>0</v>
      </c>
      <c r="BN56" s="3">
        <v>0.71</v>
      </c>
      <c r="BO56" s="3">
        <v>0</v>
      </c>
      <c r="BP56" s="3">
        <v>929169</v>
      </c>
      <c r="BQ56" s="3">
        <v>10046.27</v>
      </c>
      <c r="BR56" s="3">
        <v>0.1205</v>
      </c>
      <c r="BS56" s="2">
        <v>46197</v>
      </c>
      <c r="BT56" s="3" t="s">
        <v>719</v>
      </c>
      <c r="BU56" s="3" t="s">
        <v>629</v>
      </c>
      <c r="BV56" s="3" t="s">
        <v>720</v>
      </c>
      <c r="BW56" s="3">
        <v>0</v>
      </c>
      <c r="BX56" s="3">
        <v>1.21</v>
      </c>
      <c r="BY56" s="3">
        <v>0</v>
      </c>
      <c r="BZ56" s="3">
        <v>1233746</v>
      </c>
      <c r="CA56" s="3">
        <v>9792.64</v>
      </c>
      <c r="CB56" s="3">
        <v>1.972</v>
      </c>
      <c r="CC56" s="2">
        <v>46197</v>
      </c>
      <c r="CD56" s="3" t="s">
        <v>239</v>
      </c>
      <c r="CE56" s="3" t="s">
        <v>240</v>
      </c>
      <c r="CF56" s="3" t="s">
        <v>241</v>
      </c>
      <c r="CG56" s="3">
        <v>0</v>
      </c>
      <c r="CH56" s="3">
        <v>0.32</v>
      </c>
      <c r="CI56" s="3">
        <v>0</v>
      </c>
      <c r="CJ56" s="3">
        <v>473324</v>
      </c>
      <c r="CK56" s="3">
        <v>10081.43</v>
      </c>
      <c r="CL56" s="3">
        <v>0.80410000000000004</v>
      </c>
      <c r="CM56" s="2"/>
      <c r="CW56" s="2">
        <v>46197</v>
      </c>
      <c r="CX56" s="3" t="s">
        <v>1306</v>
      </c>
      <c r="CY56" s="3" t="s">
        <v>1307</v>
      </c>
      <c r="CZ56" s="3" t="s">
        <v>1308</v>
      </c>
      <c r="DA56" s="3">
        <v>0</v>
      </c>
      <c r="DB56" s="3">
        <v>0.85</v>
      </c>
      <c r="DC56" s="3">
        <v>0</v>
      </c>
      <c r="DD56" s="3">
        <v>1991447</v>
      </c>
      <c r="DE56" s="3">
        <v>9599.5499999999993</v>
      </c>
      <c r="DF56" s="3">
        <v>3.3576000000000001</v>
      </c>
    </row>
    <row r="57" spans="1:110" ht="13.5" customHeight="1" x14ac:dyDescent="0.3">
      <c r="A57" s="2">
        <v>46197</v>
      </c>
      <c r="B57" s="3" t="s">
        <v>820</v>
      </c>
      <c r="C57" s="3" t="s">
        <v>821</v>
      </c>
      <c r="D57" s="3" t="s">
        <v>822</v>
      </c>
      <c r="E57" s="3">
        <v>0</v>
      </c>
      <c r="F57" s="3">
        <v>0.41</v>
      </c>
      <c r="G57" s="3">
        <v>0</v>
      </c>
      <c r="H57" s="3">
        <v>461227</v>
      </c>
      <c r="I57" s="3">
        <v>8688.23</v>
      </c>
      <c r="J57" s="3">
        <v>20.810400000000001</v>
      </c>
      <c r="K57" s="2"/>
      <c r="U57" s="2"/>
      <c r="AE57" s="2"/>
      <c r="AO57" s="2"/>
      <c r="AY57" s="2">
        <v>46197</v>
      </c>
      <c r="AZ57" s="3" t="s">
        <v>473</v>
      </c>
      <c r="BA57" s="3" t="s">
        <v>474</v>
      </c>
      <c r="BB57" s="3" t="s">
        <v>475</v>
      </c>
      <c r="BC57" s="3">
        <v>0</v>
      </c>
      <c r="BD57" s="3">
        <v>0.61</v>
      </c>
      <c r="BE57" s="3">
        <v>0</v>
      </c>
      <c r="BF57" s="3">
        <v>764100</v>
      </c>
      <c r="BG57" s="3">
        <v>9933.4699999999993</v>
      </c>
      <c r="BH57" s="3">
        <v>1.1832</v>
      </c>
      <c r="BI57" s="2">
        <v>46197</v>
      </c>
      <c r="BJ57" s="3" t="s">
        <v>1081</v>
      </c>
      <c r="BK57" s="3" t="s">
        <v>1082</v>
      </c>
      <c r="BL57" s="3" t="s">
        <v>1083</v>
      </c>
      <c r="BM57" s="3">
        <v>0</v>
      </c>
      <c r="BN57" s="3">
        <v>0.71</v>
      </c>
      <c r="BO57" s="3">
        <v>0</v>
      </c>
      <c r="BP57" s="3">
        <v>928773</v>
      </c>
      <c r="BQ57" s="3">
        <v>10041.92</v>
      </c>
      <c r="BR57" s="3">
        <v>0.13600000000000001</v>
      </c>
      <c r="BS57" s="2">
        <v>46197</v>
      </c>
      <c r="BT57" s="3" t="s">
        <v>721</v>
      </c>
      <c r="BU57" s="3" t="s">
        <v>722</v>
      </c>
      <c r="BV57" s="3" t="s">
        <v>723</v>
      </c>
      <c r="BW57" s="3">
        <v>0</v>
      </c>
      <c r="BX57" s="3">
        <v>0.5</v>
      </c>
      <c r="BY57" s="3">
        <v>0</v>
      </c>
      <c r="BZ57" s="3">
        <v>507752</v>
      </c>
      <c r="CA57" s="3">
        <v>10075.959999999999</v>
      </c>
      <c r="CB57" s="3">
        <v>0.68340000000000001</v>
      </c>
      <c r="CC57" s="2">
        <v>46197</v>
      </c>
      <c r="CD57" s="3" t="s">
        <v>242</v>
      </c>
      <c r="CE57" s="3" t="s">
        <v>243</v>
      </c>
      <c r="CF57" s="3" t="s">
        <v>244</v>
      </c>
      <c r="CG57" s="3">
        <v>0</v>
      </c>
      <c r="CH57" s="3">
        <v>0.32</v>
      </c>
      <c r="CI57" s="3">
        <v>0</v>
      </c>
      <c r="CJ57" s="3">
        <v>472993</v>
      </c>
      <c r="CK57" s="3">
        <v>10074.620000000001</v>
      </c>
      <c r="CL57" s="3">
        <v>0.60189999999999999</v>
      </c>
      <c r="CM57" s="2"/>
      <c r="CW57" s="2">
        <v>46197</v>
      </c>
      <c r="CX57" s="3" t="s">
        <v>1309</v>
      </c>
      <c r="CY57" s="3" t="s">
        <v>1310</v>
      </c>
      <c r="CZ57" s="3" t="s">
        <v>1311</v>
      </c>
      <c r="DA57" s="3">
        <v>0</v>
      </c>
      <c r="DB57" s="3">
        <v>0.85</v>
      </c>
      <c r="DC57" s="3">
        <v>0</v>
      </c>
      <c r="DD57" s="3">
        <v>1990481</v>
      </c>
      <c r="DE57" s="3">
        <v>9596.39</v>
      </c>
      <c r="DF57" s="3">
        <v>3.4373999999999998</v>
      </c>
    </row>
    <row r="58" spans="1:110" ht="13.5" customHeight="1" x14ac:dyDescent="0.3">
      <c r="A58" s="2">
        <v>46197</v>
      </c>
      <c r="B58" s="3" t="s">
        <v>105</v>
      </c>
      <c r="C58" s="3" t="s">
        <v>63</v>
      </c>
      <c r="D58" s="3" t="s">
        <v>106</v>
      </c>
      <c r="E58" s="3">
        <v>0</v>
      </c>
      <c r="F58" s="3">
        <v>0.41</v>
      </c>
      <c r="G58" s="3">
        <v>0</v>
      </c>
      <c r="H58" s="3">
        <v>460585</v>
      </c>
      <c r="I58" s="3">
        <v>8073.47</v>
      </c>
      <c r="J58" s="3">
        <v>14.0169</v>
      </c>
      <c r="K58" s="2"/>
      <c r="U58" s="2"/>
      <c r="AE58" s="2"/>
      <c r="AO58" s="2"/>
      <c r="AY58" s="2">
        <v>46197</v>
      </c>
      <c r="AZ58" s="3" t="s">
        <v>476</v>
      </c>
      <c r="BA58" s="3" t="s">
        <v>477</v>
      </c>
      <c r="BB58" s="3" t="s">
        <v>405</v>
      </c>
      <c r="BC58" s="3">
        <v>0</v>
      </c>
      <c r="BD58" s="3">
        <v>0.61</v>
      </c>
      <c r="BE58" s="3">
        <v>0</v>
      </c>
      <c r="BF58" s="3">
        <v>763737</v>
      </c>
      <c r="BI58" s="2">
        <v>46197</v>
      </c>
      <c r="BJ58" s="3" t="s">
        <v>1084</v>
      </c>
      <c r="BK58" s="3" t="s">
        <v>1085</v>
      </c>
      <c r="BL58" s="3" t="s">
        <v>1086</v>
      </c>
      <c r="BM58" s="3">
        <v>0</v>
      </c>
      <c r="BN58" s="3">
        <v>0.7</v>
      </c>
      <c r="BO58" s="3">
        <v>0</v>
      </c>
      <c r="BP58" s="3">
        <v>927649</v>
      </c>
      <c r="BQ58" s="3">
        <v>10029.4</v>
      </c>
      <c r="BR58" s="3">
        <v>0.42159999999999997</v>
      </c>
      <c r="BS58" s="2">
        <v>46197</v>
      </c>
      <c r="BT58" s="3" t="s">
        <v>724</v>
      </c>
      <c r="BU58" s="3" t="s">
        <v>594</v>
      </c>
      <c r="BV58" s="3" t="s">
        <v>725</v>
      </c>
      <c r="BW58" s="3">
        <v>0</v>
      </c>
      <c r="BX58" s="3">
        <v>0.25</v>
      </c>
      <c r="BY58" s="3">
        <v>0</v>
      </c>
      <c r="BZ58" s="3">
        <v>254164</v>
      </c>
      <c r="CA58" s="3">
        <v>10087.58</v>
      </c>
      <c r="CB58" s="3">
        <v>0.66100000000000003</v>
      </c>
      <c r="CC58" s="2">
        <v>46197</v>
      </c>
      <c r="CD58" s="3" t="s">
        <v>245</v>
      </c>
      <c r="CE58" s="3" t="s">
        <v>92</v>
      </c>
      <c r="CF58" s="3" t="s">
        <v>246</v>
      </c>
      <c r="CG58" s="3">
        <v>0</v>
      </c>
      <c r="CH58" s="3">
        <v>0.32</v>
      </c>
      <c r="CI58" s="3">
        <v>0</v>
      </c>
      <c r="CJ58" s="3">
        <v>472631</v>
      </c>
      <c r="CK58" s="3">
        <v>10066.65</v>
      </c>
      <c r="CL58" s="3">
        <v>1.9690000000000001</v>
      </c>
      <c r="CM58" s="2"/>
      <c r="CW58" s="2">
        <v>46197</v>
      </c>
      <c r="CX58" s="3" t="s">
        <v>1312</v>
      </c>
      <c r="CY58" s="3" t="s">
        <v>1313</v>
      </c>
      <c r="CZ58" s="3" t="s">
        <v>1314</v>
      </c>
      <c r="DA58" s="3">
        <v>0</v>
      </c>
      <c r="DB58" s="3">
        <v>0.85</v>
      </c>
      <c r="DC58" s="3">
        <v>0</v>
      </c>
      <c r="DD58" s="3">
        <v>1984028</v>
      </c>
      <c r="DE58" s="3">
        <v>9564.73</v>
      </c>
      <c r="DF58" s="3">
        <v>3.4881000000000002</v>
      </c>
    </row>
    <row r="59" spans="1:110" ht="13.5" customHeight="1" x14ac:dyDescent="0.3">
      <c r="A59" s="2">
        <v>46197</v>
      </c>
      <c r="B59" s="3" t="s">
        <v>823</v>
      </c>
      <c r="C59" s="3" t="s">
        <v>553</v>
      </c>
      <c r="D59" s="3" t="s">
        <v>824</v>
      </c>
      <c r="E59" s="3">
        <v>0</v>
      </c>
      <c r="F59" s="3">
        <v>0.4</v>
      </c>
      <c r="G59" s="3">
        <v>0</v>
      </c>
      <c r="H59" s="3">
        <v>449141</v>
      </c>
      <c r="I59" s="3">
        <v>9897.69</v>
      </c>
      <c r="J59" s="3">
        <v>1.5984</v>
      </c>
      <c r="K59" s="2"/>
      <c r="U59" s="2"/>
      <c r="AE59" s="2"/>
      <c r="AO59" s="2"/>
      <c r="AY59" s="2">
        <v>46197</v>
      </c>
      <c r="AZ59" s="3" t="s">
        <v>478</v>
      </c>
      <c r="BA59" s="3" t="s">
        <v>248</v>
      </c>
      <c r="BB59" s="3" t="s">
        <v>479</v>
      </c>
      <c r="BC59" s="3">
        <v>0</v>
      </c>
      <c r="BD59" s="3">
        <v>0.61</v>
      </c>
      <c r="BE59" s="3">
        <v>0</v>
      </c>
      <c r="BF59" s="3">
        <v>761796</v>
      </c>
      <c r="BG59" s="3">
        <v>9902.9500000000007</v>
      </c>
      <c r="BH59" s="3">
        <v>1.3248</v>
      </c>
      <c r="BI59" s="2">
        <v>46197</v>
      </c>
      <c r="BJ59" s="3" t="s">
        <v>1087</v>
      </c>
      <c r="BK59" s="3" t="s">
        <v>1088</v>
      </c>
      <c r="BL59" s="3" t="s">
        <v>1089</v>
      </c>
      <c r="BM59" s="3">
        <v>0</v>
      </c>
      <c r="BN59" s="3">
        <v>0.7</v>
      </c>
      <c r="BO59" s="3">
        <v>0</v>
      </c>
      <c r="BP59" s="3">
        <v>927520</v>
      </c>
      <c r="BQ59" s="3">
        <v>10028.26</v>
      </c>
      <c r="BR59" s="3">
        <v>0.21290000000000001</v>
      </c>
      <c r="BS59" s="2">
        <v>46197</v>
      </c>
      <c r="BT59" s="3" t="s">
        <v>726</v>
      </c>
      <c r="BU59" s="3" t="s">
        <v>727</v>
      </c>
      <c r="BV59" s="3" t="s">
        <v>728</v>
      </c>
      <c r="BW59" s="3">
        <v>0</v>
      </c>
      <c r="BX59" s="3">
        <v>0.25</v>
      </c>
      <c r="BY59" s="3">
        <v>0</v>
      </c>
      <c r="BZ59" s="3">
        <v>253512</v>
      </c>
      <c r="CA59" s="3">
        <v>10061.629999999999</v>
      </c>
      <c r="CB59" s="3">
        <v>0.69199999999999995</v>
      </c>
      <c r="CC59" s="2">
        <v>46197</v>
      </c>
      <c r="CD59" s="3" t="s">
        <v>247</v>
      </c>
      <c r="CE59" s="3" t="s">
        <v>248</v>
      </c>
      <c r="CF59" s="3" t="s">
        <v>249</v>
      </c>
      <c r="CG59" s="3">
        <v>0</v>
      </c>
      <c r="CH59" s="3">
        <v>0.32</v>
      </c>
      <c r="CI59" s="3">
        <v>0</v>
      </c>
      <c r="CJ59" s="3">
        <v>472619</v>
      </c>
      <c r="CK59" s="3">
        <v>10066.290000000001</v>
      </c>
      <c r="CL59" s="3">
        <v>0.38150000000000001</v>
      </c>
      <c r="CM59" s="2"/>
      <c r="CW59" s="2">
        <v>46197</v>
      </c>
      <c r="CX59" s="3" t="s">
        <v>1315</v>
      </c>
      <c r="CY59" s="3" t="s">
        <v>1316</v>
      </c>
      <c r="CZ59" s="3" t="s">
        <v>1317</v>
      </c>
      <c r="DA59" s="3">
        <v>0</v>
      </c>
      <c r="DB59" s="3">
        <v>0.85</v>
      </c>
      <c r="DC59" s="3">
        <v>0</v>
      </c>
      <c r="DD59" s="3">
        <v>1980767</v>
      </c>
      <c r="DE59" s="3">
        <v>9545.64</v>
      </c>
      <c r="DF59" s="3">
        <v>3.4708999999999999</v>
      </c>
    </row>
    <row r="60" spans="1:110" ht="13.5" customHeight="1" x14ac:dyDescent="0.3">
      <c r="A60" s="2">
        <v>46197</v>
      </c>
      <c r="B60" s="3" t="s">
        <v>825</v>
      </c>
      <c r="C60" s="3" t="s">
        <v>523</v>
      </c>
      <c r="D60" s="3" t="s">
        <v>826</v>
      </c>
      <c r="E60" s="3">
        <v>0</v>
      </c>
      <c r="F60" s="3">
        <v>0.4</v>
      </c>
      <c r="G60" s="3">
        <v>0</v>
      </c>
      <c r="H60" s="3">
        <v>443610</v>
      </c>
      <c r="I60" s="3">
        <v>8361.08</v>
      </c>
      <c r="J60" s="3">
        <v>13.301299999999999</v>
      </c>
      <c r="K60" s="2"/>
      <c r="U60" s="2"/>
      <c r="AE60" s="2"/>
      <c r="AO60" s="2"/>
      <c r="AY60" s="2">
        <v>46197</v>
      </c>
      <c r="AZ60" s="3" t="s">
        <v>480</v>
      </c>
      <c r="BA60" s="3" t="s">
        <v>481</v>
      </c>
      <c r="BB60" s="3" t="s">
        <v>482</v>
      </c>
      <c r="BC60" s="3">
        <v>0</v>
      </c>
      <c r="BD60" s="3">
        <v>0.6</v>
      </c>
      <c r="BE60" s="3">
        <v>0</v>
      </c>
      <c r="BF60" s="3">
        <v>759052</v>
      </c>
      <c r="BG60" s="3">
        <v>9867.27</v>
      </c>
      <c r="BH60" s="3">
        <v>2.5148000000000001</v>
      </c>
      <c r="BI60" s="2">
        <v>46197</v>
      </c>
      <c r="BJ60" s="3" t="s">
        <v>1090</v>
      </c>
      <c r="BK60" s="3" t="s">
        <v>170</v>
      </c>
      <c r="BL60" s="3" t="s">
        <v>1091</v>
      </c>
      <c r="BM60" s="3">
        <v>0</v>
      </c>
      <c r="BN60" s="3">
        <v>0.7</v>
      </c>
      <c r="BO60" s="3">
        <v>0</v>
      </c>
      <c r="BP60" s="3">
        <v>927306</v>
      </c>
      <c r="BQ60" s="3">
        <v>10026.030000000001</v>
      </c>
      <c r="BR60" s="3">
        <v>0.13059999999999999</v>
      </c>
      <c r="BS60" s="2">
        <v>46197</v>
      </c>
      <c r="BT60" s="3" t="s">
        <v>729</v>
      </c>
      <c r="BU60" s="3" t="s">
        <v>730</v>
      </c>
      <c r="BV60" s="3" t="s">
        <v>731</v>
      </c>
      <c r="BW60" s="3">
        <v>0</v>
      </c>
      <c r="BX60" s="3">
        <v>0.25</v>
      </c>
      <c r="BY60" s="3">
        <v>0</v>
      </c>
      <c r="BZ60" s="3">
        <v>252189</v>
      </c>
      <c r="CA60" s="3">
        <v>10009.370000000001</v>
      </c>
      <c r="CB60" s="3">
        <v>0.21440000000000001</v>
      </c>
      <c r="CC60" s="2">
        <v>46197</v>
      </c>
      <c r="CD60" s="3" t="s">
        <v>250</v>
      </c>
      <c r="CE60" s="3" t="s">
        <v>251</v>
      </c>
      <c r="CF60" s="3" t="s">
        <v>252</v>
      </c>
      <c r="CG60" s="3">
        <v>0</v>
      </c>
      <c r="CH60" s="3">
        <v>0.32</v>
      </c>
      <c r="CI60" s="3">
        <v>0</v>
      </c>
      <c r="CJ60" s="3">
        <v>472058</v>
      </c>
      <c r="CK60" s="3">
        <v>10054.43</v>
      </c>
      <c r="CL60" s="3">
        <v>0.81759999999999999</v>
      </c>
      <c r="CM60" s="2"/>
      <c r="CW60" s="2">
        <v>46197</v>
      </c>
      <c r="CX60" s="3" t="s">
        <v>1318</v>
      </c>
      <c r="CY60" s="3" t="s">
        <v>95</v>
      </c>
      <c r="CZ60" s="3" t="s">
        <v>1319</v>
      </c>
      <c r="DA60" s="3">
        <v>0</v>
      </c>
      <c r="DB60" s="3">
        <v>0.85</v>
      </c>
      <c r="DC60" s="3">
        <v>0</v>
      </c>
      <c r="DD60" s="3">
        <v>1975544</v>
      </c>
      <c r="DE60" s="3">
        <v>9523.2099999999991</v>
      </c>
      <c r="DF60" s="3">
        <v>3.7989999999999999</v>
      </c>
    </row>
    <row r="61" spans="1:110" ht="13.5" customHeight="1" x14ac:dyDescent="0.3">
      <c r="A61" s="2">
        <v>46197</v>
      </c>
      <c r="B61" s="3" t="s">
        <v>732</v>
      </c>
      <c r="C61" s="3" t="s">
        <v>29</v>
      </c>
      <c r="D61" s="3" t="s">
        <v>733</v>
      </c>
      <c r="E61" s="3">
        <v>0</v>
      </c>
      <c r="F61" s="3">
        <v>0.39</v>
      </c>
      <c r="G61" s="3">
        <v>0</v>
      </c>
      <c r="H61" s="3">
        <v>436605</v>
      </c>
      <c r="I61" s="3">
        <v>7707.56</v>
      </c>
      <c r="J61" s="3">
        <v>15.328900000000001</v>
      </c>
      <c r="K61" s="2"/>
      <c r="U61" s="2"/>
      <c r="AE61" s="2"/>
      <c r="AO61" s="2"/>
      <c r="AY61" s="2">
        <v>46197</v>
      </c>
      <c r="AZ61" s="3" t="s">
        <v>483</v>
      </c>
      <c r="BA61" s="3" t="s">
        <v>484</v>
      </c>
      <c r="BB61" s="3" t="s">
        <v>485</v>
      </c>
      <c r="BC61" s="3">
        <v>0</v>
      </c>
      <c r="BD61" s="3">
        <v>0.6</v>
      </c>
      <c r="BE61" s="3">
        <v>0</v>
      </c>
      <c r="BF61" s="3">
        <v>758568</v>
      </c>
      <c r="BG61" s="3">
        <v>9861.4500000000007</v>
      </c>
      <c r="BH61" s="3">
        <v>2.4476</v>
      </c>
      <c r="BI61" s="2">
        <v>46197</v>
      </c>
      <c r="BJ61" s="3" t="s">
        <v>1092</v>
      </c>
      <c r="BK61" s="3" t="s">
        <v>1073</v>
      </c>
      <c r="BL61" s="3" t="s">
        <v>1093</v>
      </c>
      <c r="BM61" s="3">
        <v>0</v>
      </c>
      <c r="BN61" s="3">
        <v>0.7</v>
      </c>
      <c r="BO61" s="3">
        <v>0</v>
      </c>
      <c r="BP61" s="3">
        <v>926646</v>
      </c>
      <c r="BQ61" s="3">
        <v>10018.84</v>
      </c>
      <c r="BR61" s="3">
        <v>0.38279999999999997</v>
      </c>
      <c r="BS61" s="2">
        <v>46197</v>
      </c>
      <c r="BT61" s="3" t="s">
        <v>7</v>
      </c>
      <c r="BU61" s="3" t="s">
        <v>7</v>
      </c>
      <c r="BV61" s="3" t="s">
        <v>46</v>
      </c>
      <c r="BX61" s="3">
        <v>0.32</v>
      </c>
      <c r="BZ61" s="3">
        <v>334256</v>
      </c>
      <c r="CC61" s="2">
        <v>46197</v>
      </c>
      <c r="CD61" s="3" t="s">
        <v>253</v>
      </c>
      <c r="CE61" s="3" t="s">
        <v>254</v>
      </c>
      <c r="CF61" s="3" t="s">
        <v>255</v>
      </c>
      <c r="CG61" s="3">
        <v>0</v>
      </c>
      <c r="CH61" s="3">
        <v>0.32</v>
      </c>
      <c r="CI61" s="3">
        <v>0</v>
      </c>
      <c r="CJ61" s="3">
        <v>471924</v>
      </c>
      <c r="CK61" s="3">
        <v>10050.790000000001</v>
      </c>
      <c r="CL61" s="3">
        <v>2.5773999999999999</v>
      </c>
      <c r="CM61" s="2"/>
      <c r="CW61" s="2">
        <v>46197</v>
      </c>
      <c r="CX61" s="3" t="s">
        <v>1320</v>
      </c>
      <c r="CY61" s="3" t="s">
        <v>1321</v>
      </c>
      <c r="CZ61" s="3" t="s">
        <v>1322</v>
      </c>
      <c r="DA61" s="3">
        <v>0</v>
      </c>
      <c r="DB61" s="3">
        <v>0.85</v>
      </c>
      <c r="DC61" s="3">
        <v>0</v>
      </c>
      <c r="DD61" s="3">
        <v>1975191</v>
      </c>
      <c r="DE61" s="3">
        <v>9522.4699999999993</v>
      </c>
      <c r="DF61" s="3">
        <v>3.5789</v>
      </c>
    </row>
    <row r="62" spans="1:110" ht="13.5" customHeight="1" x14ac:dyDescent="0.3">
      <c r="A62" s="2">
        <v>46197</v>
      </c>
      <c r="B62" s="3" t="s">
        <v>827</v>
      </c>
      <c r="C62" s="3" t="s">
        <v>457</v>
      </c>
      <c r="D62" s="3" t="s">
        <v>828</v>
      </c>
      <c r="E62" s="3">
        <v>0</v>
      </c>
      <c r="F62" s="3">
        <v>0.38</v>
      </c>
      <c r="G62" s="3">
        <v>0</v>
      </c>
      <c r="H62" s="3">
        <v>424835</v>
      </c>
      <c r="I62" s="3">
        <v>8004.77</v>
      </c>
      <c r="J62" s="3">
        <v>10.420199999999999</v>
      </c>
      <c r="K62" s="2"/>
      <c r="U62" s="2"/>
      <c r="AE62" s="2"/>
      <c r="AO62" s="2"/>
      <c r="AY62" s="2">
        <v>46197</v>
      </c>
      <c r="AZ62" s="3" t="s">
        <v>486</v>
      </c>
      <c r="BA62" s="3" t="s">
        <v>487</v>
      </c>
      <c r="BB62" s="3" t="s">
        <v>488</v>
      </c>
      <c r="BC62" s="3">
        <v>0</v>
      </c>
      <c r="BD62" s="3">
        <v>0.6</v>
      </c>
      <c r="BE62" s="3">
        <v>0</v>
      </c>
      <c r="BF62" s="3">
        <v>757119</v>
      </c>
      <c r="BG62" s="3">
        <v>9842.2199999999993</v>
      </c>
      <c r="BH62" s="3">
        <v>2.4228000000000001</v>
      </c>
      <c r="BI62" s="2">
        <v>46197</v>
      </c>
      <c r="BJ62" s="3" t="s">
        <v>1094</v>
      </c>
      <c r="BK62" s="3" t="s">
        <v>1095</v>
      </c>
      <c r="BL62" s="3" t="s">
        <v>1096</v>
      </c>
      <c r="BM62" s="3">
        <v>0</v>
      </c>
      <c r="BN62" s="3">
        <v>0.7</v>
      </c>
      <c r="BO62" s="3">
        <v>0</v>
      </c>
      <c r="BP62" s="3">
        <v>926496</v>
      </c>
      <c r="BQ62" s="3">
        <v>10017.200000000001</v>
      </c>
      <c r="BR62" s="3">
        <v>0.21560000000000001</v>
      </c>
      <c r="BS62" s="2"/>
      <c r="CC62" s="2">
        <v>46197</v>
      </c>
      <c r="CD62" s="3" t="s">
        <v>256</v>
      </c>
      <c r="CE62" s="3" t="s">
        <v>257</v>
      </c>
      <c r="CF62" s="3" t="s">
        <v>258</v>
      </c>
      <c r="CG62" s="3">
        <v>0</v>
      </c>
      <c r="CH62" s="3">
        <v>0.32</v>
      </c>
      <c r="CI62" s="3">
        <v>0</v>
      </c>
      <c r="CJ62" s="3">
        <v>471594</v>
      </c>
      <c r="CK62" s="3">
        <v>10044.64</v>
      </c>
      <c r="CL62" s="3">
        <v>1.86</v>
      </c>
      <c r="CM62" s="2"/>
      <c r="CW62" s="2">
        <v>46197</v>
      </c>
      <c r="CX62" s="3" t="s">
        <v>1323</v>
      </c>
      <c r="CY62" s="3" t="s">
        <v>1324</v>
      </c>
      <c r="CZ62" s="3" t="s">
        <v>1325</v>
      </c>
      <c r="DA62" s="3">
        <v>0</v>
      </c>
      <c r="DB62" s="3">
        <v>0.85</v>
      </c>
      <c r="DC62" s="3">
        <v>0</v>
      </c>
      <c r="DD62" s="3">
        <v>1975009</v>
      </c>
      <c r="DE62" s="3">
        <v>9521.2900000000009</v>
      </c>
      <c r="DF62" s="3">
        <v>4.0182000000000002</v>
      </c>
    </row>
    <row r="63" spans="1:110" ht="13.5" customHeight="1" x14ac:dyDescent="0.3">
      <c r="A63" s="2">
        <v>46197</v>
      </c>
      <c r="B63" s="3" t="s">
        <v>829</v>
      </c>
      <c r="C63" s="3" t="s">
        <v>830</v>
      </c>
      <c r="D63" s="3" t="s">
        <v>831</v>
      </c>
      <c r="E63" s="3">
        <v>0</v>
      </c>
      <c r="F63" s="3">
        <v>0.38</v>
      </c>
      <c r="G63" s="3">
        <v>0</v>
      </c>
      <c r="H63" s="3">
        <v>423882</v>
      </c>
      <c r="I63" s="3">
        <v>7990.41</v>
      </c>
      <c r="J63" s="3">
        <v>8.2545999999999999</v>
      </c>
      <c r="K63" s="2"/>
      <c r="U63" s="2"/>
      <c r="AE63" s="2"/>
      <c r="AO63" s="2"/>
      <c r="AY63" s="2">
        <v>46197</v>
      </c>
      <c r="AZ63" s="3" t="s">
        <v>489</v>
      </c>
      <c r="BA63" s="3" t="s">
        <v>490</v>
      </c>
      <c r="BB63" s="3" t="s">
        <v>491</v>
      </c>
      <c r="BC63" s="3">
        <v>0</v>
      </c>
      <c r="BD63" s="3">
        <v>0.6</v>
      </c>
      <c r="BE63" s="3">
        <v>0</v>
      </c>
      <c r="BF63" s="3">
        <v>753520</v>
      </c>
      <c r="BG63" s="3">
        <v>9796.19</v>
      </c>
      <c r="BH63" s="3">
        <v>1.7877000000000001</v>
      </c>
      <c r="BI63" s="2">
        <v>46197</v>
      </c>
      <c r="BJ63" s="3" t="s">
        <v>1097</v>
      </c>
      <c r="BK63" s="3" t="s">
        <v>1098</v>
      </c>
      <c r="BL63" s="3" t="s">
        <v>1099</v>
      </c>
      <c r="BM63" s="3">
        <v>0</v>
      </c>
      <c r="BN63" s="3">
        <v>0.7</v>
      </c>
      <c r="BO63" s="3">
        <v>0</v>
      </c>
      <c r="BP63" s="3">
        <v>926454</v>
      </c>
      <c r="BQ63" s="3">
        <v>10016.629999999999</v>
      </c>
      <c r="BR63" s="3">
        <v>0.2979</v>
      </c>
      <c r="BS63" s="2"/>
      <c r="CC63" s="2">
        <v>46197</v>
      </c>
      <c r="CD63" s="3" t="s">
        <v>259</v>
      </c>
      <c r="CE63" s="3" t="s">
        <v>260</v>
      </c>
      <c r="CF63" s="3" t="s">
        <v>261</v>
      </c>
      <c r="CG63" s="3">
        <v>0</v>
      </c>
      <c r="CH63" s="3">
        <v>0.32</v>
      </c>
      <c r="CI63" s="3">
        <v>0</v>
      </c>
      <c r="CJ63" s="3">
        <v>471473</v>
      </c>
      <c r="CK63" s="3">
        <v>10042.530000000001</v>
      </c>
      <c r="CL63" s="3">
        <v>2.7484000000000002</v>
      </c>
      <c r="CM63" s="2"/>
      <c r="CW63" s="2">
        <v>46197</v>
      </c>
      <c r="CX63" s="3" t="s">
        <v>1326</v>
      </c>
      <c r="CY63" s="3" t="s">
        <v>1327</v>
      </c>
      <c r="CZ63" s="3" t="s">
        <v>1328</v>
      </c>
      <c r="DA63" s="3">
        <v>0</v>
      </c>
      <c r="DB63" s="3">
        <v>0.85</v>
      </c>
      <c r="DC63" s="3">
        <v>0</v>
      </c>
      <c r="DD63" s="3">
        <v>1974851</v>
      </c>
      <c r="DE63" s="3">
        <v>9520.51</v>
      </c>
      <c r="DF63" s="3">
        <v>3.4780000000000002</v>
      </c>
    </row>
    <row r="64" spans="1:110" ht="13.5" customHeight="1" x14ac:dyDescent="0.3">
      <c r="A64" s="2">
        <v>46197</v>
      </c>
      <c r="B64" s="3" t="s">
        <v>832</v>
      </c>
      <c r="C64" s="3" t="s">
        <v>798</v>
      </c>
      <c r="D64" s="3" t="s">
        <v>833</v>
      </c>
      <c r="E64" s="3">
        <v>0</v>
      </c>
      <c r="F64" s="3">
        <v>0.36</v>
      </c>
      <c r="G64" s="3">
        <v>0</v>
      </c>
      <c r="H64" s="3">
        <v>403316</v>
      </c>
      <c r="I64" s="3">
        <v>7603.82</v>
      </c>
      <c r="J64" s="3">
        <v>17.6846</v>
      </c>
      <c r="K64" s="2"/>
      <c r="U64" s="2"/>
      <c r="AE64" s="2"/>
      <c r="AO64" s="2"/>
      <c r="AY64" s="2">
        <v>46197</v>
      </c>
      <c r="AZ64" s="3" t="s">
        <v>495</v>
      </c>
      <c r="BA64" s="3" t="s">
        <v>251</v>
      </c>
      <c r="BB64" s="3" t="s">
        <v>496</v>
      </c>
      <c r="BC64" s="3">
        <v>0</v>
      </c>
      <c r="BD64" s="3">
        <v>0.6</v>
      </c>
      <c r="BE64" s="3">
        <v>0</v>
      </c>
      <c r="BF64" s="3">
        <v>752018</v>
      </c>
      <c r="BG64" s="3">
        <v>9775.84</v>
      </c>
      <c r="BH64" s="3">
        <v>1.8133999999999999</v>
      </c>
      <c r="BI64" s="2">
        <v>46197</v>
      </c>
      <c r="BJ64" s="3" t="s">
        <v>1100</v>
      </c>
      <c r="BK64" s="3" t="s">
        <v>1101</v>
      </c>
      <c r="BL64" s="3" t="s">
        <v>1102</v>
      </c>
      <c r="BM64" s="3">
        <v>0</v>
      </c>
      <c r="BN64" s="3">
        <v>0.7</v>
      </c>
      <c r="BO64" s="3">
        <v>0</v>
      </c>
      <c r="BP64" s="3">
        <v>926430</v>
      </c>
      <c r="BQ64" s="3">
        <v>10016.549999999999</v>
      </c>
      <c r="BR64" s="3">
        <v>0.21560000000000001</v>
      </c>
      <c r="BS64" s="2"/>
      <c r="CC64" s="2">
        <v>46197</v>
      </c>
      <c r="CD64" s="3" t="s">
        <v>262</v>
      </c>
      <c r="CE64" s="3" t="s">
        <v>263</v>
      </c>
      <c r="CF64" s="3" t="s">
        <v>264</v>
      </c>
      <c r="CG64" s="3">
        <v>0</v>
      </c>
      <c r="CH64" s="3">
        <v>0.32</v>
      </c>
      <c r="CI64" s="3">
        <v>0</v>
      </c>
      <c r="CJ64" s="3">
        <v>470843</v>
      </c>
      <c r="CK64" s="3">
        <v>10028.86</v>
      </c>
      <c r="CL64" s="3">
        <v>0.98670000000000002</v>
      </c>
      <c r="CM64" s="2"/>
      <c r="CW64" s="2">
        <v>46197</v>
      </c>
      <c r="CX64" s="3" t="s">
        <v>1329</v>
      </c>
      <c r="CY64" s="3" t="s">
        <v>1330</v>
      </c>
      <c r="CZ64" s="3" t="s">
        <v>1331</v>
      </c>
      <c r="DA64" s="3">
        <v>0</v>
      </c>
      <c r="DB64" s="3">
        <v>0.85</v>
      </c>
      <c r="DC64" s="3">
        <v>0</v>
      </c>
      <c r="DD64" s="3">
        <v>1974619</v>
      </c>
      <c r="DE64" s="3">
        <v>9519.75</v>
      </c>
      <c r="DF64" s="3">
        <v>4.0190000000000001</v>
      </c>
    </row>
    <row r="65" spans="1:110" ht="13.5" customHeight="1" x14ac:dyDescent="0.3">
      <c r="A65" s="2">
        <v>46197</v>
      </c>
      <c r="B65" s="3" t="s">
        <v>834</v>
      </c>
      <c r="C65" s="3" t="s">
        <v>835</v>
      </c>
      <c r="D65" s="3" t="s">
        <v>836</v>
      </c>
      <c r="E65" s="3">
        <v>0</v>
      </c>
      <c r="F65" s="3">
        <v>0.35</v>
      </c>
      <c r="G65" s="3">
        <v>0</v>
      </c>
      <c r="H65" s="3">
        <v>388698</v>
      </c>
      <c r="I65" s="3">
        <v>10102.459999999999</v>
      </c>
      <c r="J65" s="3">
        <v>1.4843999999999999</v>
      </c>
      <c r="K65" s="2"/>
      <c r="U65" s="2"/>
      <c r="AE65" s="2"/>
      <c r="AO65" s="2"/>
      <c r="AY65" s="2">
        <v>46197</v>
      </c>
      <c r="AZ65" s="3" t="s">
        <v>492</v>
      </c>
      <c r="BA65" s="3" t="s">
        <v>493</v>
      </c>
      <c r="BB65" s="3" t="s">
        <v>494</v>
      </c>
      <c r="BC65" s="3">
        <v>0</v>
      </c>
      <c r="BD65" s="3">
        <v>0.6</v>
      </c>
      <c r="BE65" s="3">
        <v>0</v>
      </c>
      <c r="BF65" s="3">
        <v>752018</v>
      </c>
      <c r="BG65" s="3">
        <v>9777.07</v>
      </c>
      <c r="BH65" s="3">
        <v>2.3323</v>
      </c>
      <c r="BI65" s="2">
        <v>46197</v>
      </c>
      <c r="BJ65" s="3" t="s">
        <v>1103</v>
      </c>
      <c r="BK65" s="3" t="s">
        <v>1104</v>
      </c>
      <c r="BL65" s="3" t="s">
        <v>1105</v>
      </c>
      <c r="BM65" s="3">
        <v>0</v>
      </c>
      <c r="BN65" s="3">
        <v>0.7</v>
      </c>
      <c r="BO65" s="3">
        <v>0</v>
      </c>
      <c r="BP65" s="3">
        <v>926200</v>
      </c>
      <c r="BQ65" s="3">
        <v>10013.92</v>
      </c>
      <c r="BR65" s="3">
        <v>0.45760000000000001</v>
      </c>
      <c r="BS65" s="2"/>
      <c r="CC65" s="2">
        <v>46197</v>
      </c>
      <c r="CD65" s="3" t="s">
        <v>265</v>
      </c>
      <c r="CE65" s="3" t="s">
        <v>266</v>
      </c>
      <c r="CF65" s="3" t="s">
        <v>267</v>
      </c>
      <c r="CG65" s="3">
        <v>0</v>
      </c>
      <c r="CH65" s="3">
        <v>0.32</v>
      </c>
      <c r="CI65" s="3">
        <v>0</v>
      </c>
      <c r="CJ65" s="3">
        <v>470692</v>
      </c>
      <c r="CK65" s="3">
        <v>9927.59</v>
      </c>
      <c r="CL65" s="3">
        <v>0.88600000000000001</v>
      </c>
      <c r="CM65" s="2"/>
      <c r="CW65" s="2">
        <v>46197</v>
      </c>
      <c r="CX65" s="3" t="s">
        <v>1332</v>
      </c>
      <c r="CY65" s="3" t="s">
        <v>1333</v>
      </c>
      <c r="CZ65" s="3" t="s">
        <v>1334</v>
      </c>
      <c r="DA65" s="3">
        <v>0</v>
      </c>
      <c r="DB65" s="3">
        <v>0.85</v>
      </c>
      <c r="DC65" s="3">
        <v>0</v>
      </c>
      <c r="DD65" s="3">
        <v>1973804</v>
      </c>
      <c r="DE65" s="3">
        <v>9515.48</v>
      </c>
      <c r="DF65" s="3">
        <v>3.6086</v>
      </c>
    </row>
    <row r="66" spans="1:110" ht="13.5" customHeight="1" x14ac:dyDescent="0.3">
      <c r="A66" s="2">
        <v>46197</v>
      </c>
      <c r="B66" s="3" t="s">
        <v>837</v>
      </c>
      <c r="C66" s="3" t="s">
        <v>838</v>
      </c>
      <c r="D66" s="3" t="s">
        <v>839</v>
      </c>
      <c r="E66" s="3">
        <v>0</v>
      </c>
      <c r="F66" s="3">
        <v>0.33</v>
      </c>
      <c r="G66" s="3">
        <v>0</v>
      </c>
      <c r="H66" s="3">
        <v>371222</v>
      </c>
      <c r="I66" s="3">
        <v>9649.01</v>
      </c>
      <c r="J66" s="3">
        <v>3.3479000000000001</v>
      </c>
      <c r="K66" s="2"/>
      <c r="U66" s="2"/>
      <c r="AE66" s="2"/>
      <c r="AO66" s="2"/>
      <c r="AY66" s="2">
        <v>46197</v>
      </c>
      <c r="AZ66" s="3" t="s">
        <v>497</v>
      </c>
      <c r="BA66" s="3" t="s">
        <v>498</v>
      </c>
      <c r="BB66" s="3" t="s">
        <v>499</v>
      </c>
      <c r="BC66" s="3">
        <v>0</v>
      </c>
      <c r="BD66" s="3">
        <v>0.6</v>
      </c>
      <c r="BE66" s="3">
        <v>0</v>
      </c>
      <c r="BF66" s="3">
        <v>751597</v>
      </c>
      <c r="BG66" s="3">
        <v>9771.08</v>
      </c>
      <c r="BH66" s="3">
        <v>1.8481000000000001</v>
      </c>
      <c r="BI66" s="2">
        <v>46197</v>
      </c>
      <c r="BJ66" s="3" t="s">
        <v>1106</v>
      </c>
      <c r="BK66" s="3" t="s">
        <v>1107</v>
      </c>
      <c r="BL66" s="3" t="s">
        <v>1108</v>
      </c>
      <c r="BM66" s="3">
        <v>0</v>
      </c>
      <c r="BN66" s="3">
        <v>0.7</v>
      </c>
      <c r="BO66" s="3">
        <v>0</v>
      </c>
      <c r="BP66" s="3">
        <v>926039</v>
      </c>
      <c r="BQ66" s="3">
        <v>10012.06</v>
      </c>
      <c r="BR66" s="3">
        <v>0.21709999999999999</v>
      </c>
      <c r="BS66" s="2"/>
      <c r="CC66" s="2">
        <v>46197</v>
      </c>
      <c r="CD66" s="3" t="s">
        <v>268</v>
      </c>
      <c r="CE66" s="3" t="s">
        <v>269</v>
      </c>
      <c r="CF66" s="3" t="s">
        <v>270</v>
      </c>
      <c r="CG66" s="3">
        <v>0</v>
      </c>
      <c r="CH66" s="3">
        <v>0.32</v>
      </c>
      <c r="CI66" s="3">
        <v>0</v>
      </c>
      <c r="CJ66" s="3">
        <v>470535</v>
      </c>
      <c r="CK66" s="3">
        <v>10022.68</v>
      </c>
      <c r="CL66" s="3">
        <v>1.8459000000000001</v>
      </c>
      <c r="CM66" s="2"/>
      <c r="CW66" s="2">
        <v>46197</v>
      </c>
      <c r="CX66" s="3" t="s">
        <v>565</v>
      </c>
      <c r="CY66" s="3" t="s">
        <v>566</v>
      </c>
      <c r="CZ66" s="3" t="s">
        <v>567</v>
      </c>
      <c r="DA66" s="3">
        <v>0</v>
      </c>
      <c r="DB66" s="3">
        <v>0.85</v>
      </c>
      <c r="DC66" s="3">
        <v>0</v>
      </c>
      <c r="DD66" s="3">
        <v>1972756</v>
      </c>
      <c r="DE66" s="3">
        <v>9509.31</v>
      </c>
      <c r="DF66" s="3">
        <v>4.0163000000000002</v>
      </c>
    </row>
    <row r="67" spans="1:110" ht="13.5" customHeight="1" x14ac:dyDescent="0.3">
      <c r="A67" s="2">
        <v>46197</v>
      </c>
      <c r="B67" s="3" t="s">
        <v>840</v>
      </c>
      <c r="C67" s="3" t="s">
        <v>841</v>
      </c>
      <c r="D67" s="3" t="s">
        <v>842</v>
      </c>
      <c r="E67" s="3">
        <v>0</v>
      </c>
      <c r="F67" s="3">
        <v>0.32</v>
      </c>
      <c r="G67" s="3">
        <v>0</v>
      </c>
      <c r="H67" s="3">
        <v>358580</v>
      </c>
      <c r="I67" s="3">
        <v>9653.4599999999991</v>
      </c>
      <c r="J67" s="3">
        <v>2.319</v>
      </c>
      <c r="K67" s="2"/>
      <c r="U67" s="2"/>
      <c r="AE67" s="2"/>
      <c r="AO67" s="2"/>
      <c r="AY67" s="2">
        <v>46197</v>
      </c>
      <c r="AZ67" s="3" t="s">
        <v>500</v>
      </c>
      <c r="BA67" s="3" t="s">
        <v>501</v>
      </c>
      <c r="BB67" s="3" t="s">
        <v>502</v>
      </c>
      <c r="BC67" s="3">
        <v>0</v>
      </c>
      <c r="BD67" s="3">
        <v>0.6</v>
      </c>
      <c r="BE67" s="3">
        <v>0</v>
      </c>
      <c r="BF67" s="3">
        <v>748941</v>
      </c>
      <c r="BG67" s="3">
        <v>9735.5</v>
      </c>
      <c r="BH67" s="3">
        <v>1.9025000000000001</v>
      </c>
      <c r="BI67" s="2">
        <v>46197</v>
      </c>
      <c r="BJ67" s="3" t="s">
        <v>729</v>
      </c>
      <c r="BK67" s="3" t="s">
        <v>730</v>
      </c>
      <c r="BL67" s="3" t="s">
        <v>731</v>
      </c>
      <c r="BM67" s="3">
        <v>0</v>
      </c>
      <c r="BN67" s="3">
        <v>0.7</v>
      </c>
      <c r="BO67" s="3">
        <v>0</v>
      </c>
      <c r="BP67" s="3">
        <v>925767</v>
      </c>
      <c r="BQ67" s="3">
        <v>10009.370000000001</v>
      </c>
      <c r="BR67" s="3">
        <v>0.21440000000000001</v>
      </c>
      <c r="BS67" s="2"/>
      <c r="CC67" s="2">
        <v>46197</v>
      </c>
      <c r="CD67" s="3" t="s">
        <v>271</v>
      </c>
      <c r="CE67" s="3" t="s">
        <v>272</v>
      </c>
      <c r="CF67" s="3" t="s">
        <v>273</v>
      </c>
      <c r="CG67" s="3">
        <v>0</v>
      </c>
      <c r="CH67" s="3">
        <v>0.32</v>
      </c>
      <c r="CI67" s="3">
        <v>0</v>
      </c>
      <c r="CJ67" s="3">
        <v>470529</v>
      </c>
      <c r="CK67" s="3">
        <v>10022.09</v>
      </c>
      <c r="CL67" s="3">
        <v>1.8240000000000001</v>
      </c>
      <c r="CM67" s="2"/>
      <c r="CW67" s="2">
        <v>46197</v>
      </c>
      <c r="CX67" s="3" t="s">
        <v>1335</v>
      </c>
      <c r="CY67" s="3" t="s">
        <v>778</v>
      </c>
      <c r="CZ67" s="3" t="s">
        <v>1336</v>
      </c>
      <c r="DA67" s="3">
        <v>0</v>
      </c>
      <c r="DB67" s="3">
        <v>0.84</v>
      </c>
      <c r="DC67" s="3">
        <v>0</v>
      </c>
      <c r="DD67" s="3">
        <v>1956917</v>
      </c>
      <c r="DE67" s="3">
        <v>9434.2099999999991</v>
      </c>
      <c r="DF67" s="3">
        <v>3.2787000000000002</v>
      </c>
    </row>
    <row r="68" spans="1:110" ht="13.5" customHeight="1" x14ac:dyDescent="0.3">
      <c r="A68" s="2">
        <v>46197</v>
      </c>
      <c r="B68" s="3" t="s">
        <v>843</v>
      </c>
      <c r="C68" s="3" t="s">
        <v>29</v>
      </c>
      <c r="D68" s="3" t="s">
        <v>844</v>
      </c>
      <c r="E68" s="3">
        <v>0</v>
      </c>
      <c r="F68" s="3">
        <v>0.32</v>
      </c>
      <c r="G68" s="3">
        <v>0</v>
      </c>
      <c r="H68" s="3">
        <v>356412</v>
      </c>
      <c r="I68" s="3">
        <v>9898.7199999999993</v>
      </c>
      <c r="J68" s="3">
        <v>0.94179999999999997</v>
      </c>
      <c r="K68" s="2"/>
      <c r="U68" s="2"/>
      <c r="AE68" s="2"/>
      <c r="AO68" s="2"/>
      <c r="AY68" s="2">
        <v>46197</v>
      </c>
      <c r="AZ68" s="3" t="s">
        <v>503</v>
      </c>
      <c r="BA68" s="3" t="s">
        <v>504</v>
      </c>
      <c r="BB68" s="3" t="s">
        <v>505</v>
      </c>
      <c r="BC68" s="3">
        <v>0</v>
      </c>
      <c r="BD68" s="3">
        <v>0.59</v>
      </c>
      <c r="BE68" s="3">
        <v>0</v>
      </c>
      <c r="BF68" s="3">
        <v>746509</v>
      </c>
      <c r="BG68" s="3">
        <v>9704.39</v>
      </c>
      <c r="BH68" s="3">
        <v>2.1251000000000002</v>
      </c>
      <c r="BI68" s="2">
        <v>46197</v>
      </c>
      <c r="BJ68" s="3" t="s">
        <v>1109</v>
      </c>
      <c r="BK68" s="3" t="s">
        <v>1110</v>
      </c>
      <c r="BL68" s="3" t="s">
        <v>1111</v>
      </c>
      <c r="BM68" s="3">
        <v>0</v>
      </c>
      <c r="BN68" s="3">
        <v>0.7</v>
      </c>
      <c r="BO68" s="3">
        <v>0</v>
      </c>
      <c r="BP68" s="3">
        <v>925742</v>
      </c>
      <c r="BQ68" s="3">
        <v>10009.120000000001</v>
      </c>
      <c r="BR68" s="3">
        <v>0.21560000000000001</v>
      </c>
      <c r="BS68" s="2"/>
      <c r="CC68" s="2">
        <v>46197</v>
      </c>
      <c r="CD68" s="3" t="s">
        <v>274</v>
      </c>
      <c r="CE68" s="3" t="s">
        <v>275</v>
      </c>
      <c r="CF68" s="3" t="s">
        <v>276</v>
      </c>
      <c r="CG68" s="3">
        <v>0</v>
      </c>
      <c r="CH68" s="3">
        <v>0.32</v>
      </c>
      <c r="CI68" s="3">
        <v>0</v>
      </c>
      <c r="CJ68" s="3">
        <v>470349</v>
      </c>
      <c r="CK68" s="3">
        <v>10017.450000000001</v>
      </c>
      <c r="CL68" s="3">
        <v>2.597</v>
      </c>
      <c r="CM68" s="2"/>
      <c r="CW68" s="2">
        <v>46197</v>
      </c>
      <c r="CX68" s="3" t="s">
        <v>1337</v>
      </c>
      <c r="CY68" s="3" t="s">
        <v>1338</v>
      </c>
      <c r="CZ68" s="3" t="s">
        <v>1339</v>
      </c>
      <c r="DA68" s="3">
        <v>0</v>
      </c>
      <c r="DB68" s="3">
        <v>0.84</v>
      </c>
      <c r="DC68" s="3">
        <v>0</v>
      </c>
      <c r="DD68" s="3">
        <v>1949796</v>
      </c>
      <c r="DE68" s="3">
        <v>9405.59</v>
      </c>
      <c r="DF68" s="3">
        <v>5.1879</v>
      </c>
    </row>
    <row r="69" spans="1:110" ht="13.5" customHeight="1" x14ac:dyDescent="0.3">
      <c r="A69" s="2">
        <v>46197</v>
      </c>
      <c r="B69" s="3" t="s">
        <v>845</v>
      </c>
      <c r="C69" s="3" t="s">
        <v>750</v>
      </c>
      <c r="D69" s="3" t="s">
        <v>846</v>
      </c>
      <c r="E69" s="3">
        <v>0</v>
      </c>
      <c r="F69" s="3">
        <v>0.32</v>
      </c>
      <c r="G69" s="3">
        <v>0</v>
      </c>
      <c r="H69" s="3">
        <v>354107</v>
      </c>
      <c r="I69" s="3">
        <v>9884.61</v>
      </c>
      <c r="J69" s="3">
        <v>1.5472999999999999</v>
      </c>
      <c r="K69" s="2"/>
      <c r="U69" s="2"/>
      <c r="AE69" s="2"/>
      <c r="AO69" s="2"/>
      <c r="AY69" s="2">
        <v>46197</v>
      </c>
      <c r="AZ69" s="3" t="s">
        <v>506</v>
      </c>
      <c r="BA69" s="3" t="s">
        <v>507</v>
      </c>
      <c r="BB69" s="3" t="s">
        <v>508</v>
      </c>
      <c r="BC69" s="3">
        <v>0</v>
      </c>
      <c r="BD69" s="3">
        <v>0.59</v>
      </c>
      <c r="BE69" s="3">
        <v>0</v>
      </c>
      <c r="BF69" s="3">
        <v>745893</v>
      </c>
      <c r="BG69" s="3">
        <v>9696.2199999999993</v>
      </c>
      <c r="BH69" s="3">
        <v>1.8696999999999999</v>
      </c>
      <c r="BI69" s="2">
        <v>46197</v>
      </c>
      <c r="BJ69" s="3" t="s">
        <v>1112</v>
      </c>
      <c r="BK69" s="3" t="s">
        <v>1113</v>
      </c>
      <c r="BL69" s="3" t="s">
        <v>1114</v>
      </c>
      <c r="BM69" s="3">
        <v>0</v>
      </c>
      <c r="BN69" s="3">
        <v>0.7</v>
      </c>
      <c r="BO69" s="3">
        <v>0</v>
      </c>
      <c r="BP69" s="3">
        <v>925623</v>
      </c>
      <c r="BQ69" s="3">
        <v>10007.83</v>
      </c>
      <c r="BR69" s="3">
        <v>0.17749999999999999</v>
      </c>
      <c r="BS69" s="2"/>
      <c r="CC69" s="2">
        <v>46197</v>
      </c>
      <c r="CD69" s="3" t="s">
        <v>277</v>
      </c>
      <c r="CE69" s="3" t="s">
        <v>278</v>
      </c>
      <c r="CF69" s="3" t="s">
        <v>279</v>
      </c>
      <c r="CG69" s="3">
        <v>0</v>
      </c>
      <c r="CH69" s="3">
        <v>0.32</v>
      </c>
      <c r="CI69" s="3">
        <v>0</v>
      </c>
      <c r="CJ69" s="3">
        <v>470002</v>
      </c>
      <c r="CK69" s="3">
        <v>10010.969999999999</v>
      </c>
      <c r="CL69" s="3">
        <v>1.8180000000000001</v>
      </c>
      <c r="CM69" s="2"/>
      <c r="CW69" s="2">
        <v>46197</v>
      </c>
      <c r="CX69" s="3" t="s">
        <v>1340</v>
      </c>
      <c r="CY69" s="3" t="s">
        <v>1341</v>
      </c>
      <c r="CZ69" s="3" t="s">
        <v>1342</v>
      </c>
      <c r="DA69" s="3">
        <v>0</v>
      </c>
      <c r="DB69" s="3">
        <v>0.83</v>
      </c>
      <c r="DC69" s="3">
        <v>0</v>
      </c>
      <c r="DD69" s="3">
        <v>1932816</v>
      </c>
      <c r="DE69" s="3">
        <v>9259.42</v>
      </c>
      <c r="DF69" s="3">
        <v>3.5470999999999999</v>
      </c>
    </row>
    <row r="70" spans="1:110" ht="13.5" customHeight="1" x14ac:dyDescent="0.3">
      <c r="A70" s="2">
        <v>46197</v>
      </c>
      <c r="B70" s="3" t="s">
        <v>847</v>
      </c>
      <c r="C70" s="3" t="s">
        <v>98</v>
      </c>
      <c r="D70" s="3" t="s">
        <v>848</v>
      </c>
      <c r="E70" s="3">
        <v>0</v>
      </c>
      <c r="F70" s="3">
        <v>0.31</v>
      </c>
      <c r="G70" s="3">
        <v>0</v>
      </c>
      <c r="H70" s="3">
        <v>344861</v>
      </c>
      <c r="I70" s="3">
        <v>8664.19</v>
      </c>
      <c r="J70" s="3">
        <v>3.5708000000000002</v>
      </c>
      <c r="K70" s="2"/>
      <c r="U70" s="2"/>
      <c r="AE70" s="2"/>
      <c r="AO70" s="2"/>
      <c r="AY70" s="2">
        <v>46197</v>
      </c>
      <c r="AZ70" s="3" t="s">
        <v>509</v>
      </c>
      <c r="BA70" s="3" t="s">
        <v>510</v>
      </c>
      <c r="BB70" s="3" t="s">
        <v>511</v>
      </c>
      <c r="BC70" s="3">
        <v>0</v>
      </c>
      <c r="BD70" s="3">
        <v>0.59</v>
      </c>
      <c r="BE70" s="3">
        <v>0</v>
      </c>
      <c r="BF70" s="3">
        <v>745130</v>
      </c>
      <c r="BG70" s="3">
        <v>9687.84</v>
      </c>
      <c r="BH70" s="3">
        <v>2.6539000000000001</v>
      </c>
      <c r="BI70" s="2">
        <v>46197</v>
      </c>
      <c r="BJ70" s="3" t="s">
        <v>1115</v>
      </c>
      <c r="BK70" s="3" t="s">
        <v>647</v>
      </c>
      <c r="BL70" s="3" t="s">
        <v>1116</v>
      </c>
      <c r="BM70" s="3">
        <v>0</v>
      </c>
      <c r="BN70" s="3">
        <v>0.7</v>
      </c>
      <c r="BO70" s="3">
        <v>0</v>
      </c>
      <c r="BP70" s="3">
        <v>924974</v>
      </c>
      <c r="BQ70" s="3">
        <v>10000.77</v>
      </c>
      <c r="BR70" s="3">
        <v>0.12039999999999999</v>
      </c>
      <c r="BS70" s="2"/>
      <c r="CC70" s="2">
        <v>46197</v>
      </c>
      <c r="CD70" s="3" t="s">
        <v>280</v>
      </c>
      <c r="CE70" s="3" t="s">
        <v>281</v>
      </c>
      <c r="CF70" s="3" t="s">
        <v>282</v>
      </c>
      <c r="CG70" s="3">
        <v>0</v>
      </c>
      <c r="CH70" s="3">
        <v>0.32</v>
      </c>
      <c r="CI70" s="3">
        <v>0</v>
      </c>
      <c r="CJ70" s="3">
        <v>469933</v>
      </c>
      <c r="CK70" s="3">
        <v>10009.36</v>
      </c>
      <c r="CL70" s="3">
        <v>1.7904</v>
      </c>
      <c r="CM70" s="2"/>
      <c r="CW70" s="2">
        <v>46197</v>
      </c>
      <c r="CX70" s="3" t="s">
        <v>1343</v>
      </c>
      <c r="CY70" s="3" t="s">
        <v>498</v>
      </c>
      <c r="CZ70" s="3" t="s">
        <v>1344</v>
      </c>
      <c r="DA70" s="3">
        <v>0</v>
      </c>
      <c r="DB70" s="3">
        <v>0.82</v>
      </c>
      <c r="DC70" s="3">
        <v>0</v>
      </c>
      <c r="DD70" s="3">
        <v>1919956</v>
      </c>
      <c r="DE70" s="3">
        <v>9254.9500000000007</v>
      </c>
      <c r="DF70" s="3">
        <v>6.0670999999999999</v>
      </c>
    </row>
    <row r="71" spans="1:110" ht="13.5" customHeight="1" x14ac:dyDescent="0.3">
      <c r="A71" s="2">
        <v>46197</v>
      </c>
      <c r="B71" s="3" t="s">
        <v>75</v>
      </c>
      <c r="C71" s="3" t="s">
        <v>29</v>
      </c>
      <c r="D71" s="3" t="s">
        <v>76</v>
      </c>
      <c r="E71" s="3">
        <v>0</v>
      </c>
      <c r="F71" s="3">
        <v>0.28999999999999998</v>
      </c>
      <c r="G71" s="3">
        <v>0</v>
      </c>
      <c r="H71" s="3">
        <v>324946</v>
      </c>
      <c r="I71" s="3">
        <v>9590.42</v>
      </c>
      <c r="J71" s="3">
        <v>6.8437000000000001</v>
      </c>
      <c r="K71" s="2"/>
      <c r="U71" s="2"/>
      <c r="AE71" s="2"/>
      <c r="AO71" s="2"/>
      <c r="AY71" s="2">
        <v>46197</v>
      </c>
      <c r="AZ71" s="3" t="s">
        <v>512</v>
      </c>
      <c r="BA71" s="3" t="s">
        <v>513</v>
      </c>
      <c r="BB71" s="3" t="s">
        <v>514</v>
      </c>
      <c r="BC71" s="3">
        <v>0</v>
      </c>
      <c r="BD71" s="3">
        <v>0.59</v>
      </c>
      <c r="BE71" s="3">
        <v>0</v>
      </c>
      <c r="BF71" s="3">
        <v>743717</v>
      </c>
      <c r="BG71" s="3">
        <v>9668.6</v>
      </c>
      <c r="BH71" s="3">
        <v>4.0694999999999997</v>
      </c>
      <c r="BI71" s="2">
        <v>46197</v>
      </c>
      <c r="BJ71" s="3" t="s">
        <v>1117</v>
      </c>
      <c r="BK71" s="3" t="s">
        <v>1118</v>
      </c>
      <c r="BL71" s="3" t="s">
        <v>1119</v>
      </c>
      <c r="BM71" s="3">
        <v>0</v>
      </c>
      <c r="BN71" s="3">
        <v>0.7</v>
      </c>
      <c r="BO71" s="3">
        <v>0</v>
      </c>
      <c r="BP71" s="3">
        <v>924375</v>
      </c>
      <c r="BS71" s="2"/>
      <c r="CC71" s="2">
        <v>46197</v>
      </c>
      <c r="CD71" s="3" t="s">
        <v>283</v>
      </c>
      <c r="CE71" s="3" t="s">
        <v>284</v>
      </c>
      <c r="CF71" s="3" t="s">
        <v>285</v>
      </c>
      <c r="CG71" s="3">
        <v>0</v>
      </c>
      <c r="CH71" s="3">
        <v>0.32</v>
      </c>
      <c r="CI71" s="3">
        <v>0</v>
      </c>
      <c r="CJ71" s="3">
        <v>469787</v>
      </c>
      <c r="CK71" s="3">
        <v>10005.41</v>
      </c>
      <c r="CL71" s="3">
        <v>1.7034</v>
      </c>
      <c r="CM71" s="2"/>
      <c r="CW71" s="2">
        <v>46197</v>
      </c>
      <c r="CX71" s="3" t="s">
        <v>1345</v>
      </c>
      <c r="CY71" s="3" t="s">
        <v>1346</v>
      </c>
      <c r="CZ71" s="3" t="s">
        <v>1347</v>
      </c>
      <c r="DA71" s="3">
        <v>0</v>
      </c>
      <c r="DB71" s="3">
        <v>0.82</v>
      </c>
      <c r="DC71" s="3">
        <v>0</v>
      </c>
      <c r="DD71" s="3">
        <v>1916944</v>
      </c>
      <c r="DE71" s="3">
        <v>9241.8700000000008</v>
      </c>
      <c r="DF71" s="3">
        <v>4.8716999999999997</v>
      </c>
    </row>
    <row r="72" spans="1:110" ht="13.5" customHeight="1" x14ac:dyDescent="0.3">
      <c r="A72" s="2">
        <v>46197</v>
      </c>
      <c r="B72" s="3" t="s">
        <v>849</v>
      </c>
      <c r="C72" s="3" t="s">
        <v>850</v>
      </c>
      <c r="D72" s="3" t="s">
        <v>851</v>
      </c>
      <c r="E72" s="3">
        <v>0</v>
      </c>
      <c r="F72" s="3">
        <v>0.28000000000000003</v>
      </c>
      <c r="G72" s="3">
        <v>0</v>
      </c>
      <c r="H72" s="3">
        <v>306277</v>
      </c>
      <c r="I72" s="3">
        <v>10037.67</v>
      </c>
      <c r="J72" s="3">
        <v>0.68579999999999997</v>
      </c>
      <c r="K72" s="2"/>
      <c r="U72" s="2"/>
      <c r="AE72" s="2"/>
      <c r="AO72" s="2"/>
      <c r="AY72" s="2">
        <v>46197</v>
      </c>
      <c r="AZ72" s="3" t="s">
        <v>52</v>
      </c>
      <c r="BA72" s="3" t="s">
        <v>53</v>
      </c>
      <c r="BB72" s="3" t="s">
        <v>54</v>
      </c>
      <c r="BC72" s="3">
        <v>0</v>
      </c>
      <c r="BD72" s="3">
        <v>0.59</v>
      </c>
      <c r="BE72" s="3">
        <v>0</v>
      </c>
      <c r="BF72" s="3">
        <v>742630</v>
      </c>
      <c r="BG72" s="3">
        <v>9654.5499999999993</v>
      </c>
      <c r="BH72" s="3">
        <v>4.077</v>
      </c>
      <c r="BI72" s="2">
        <v>46197</v>
      </c>
      <c r="BJ72" s="3" t="s">
        <v>1120</v>
      </c>
      <c r="BK72" s="3" t="s">
        <v>315</v>
      </c>
      <c r="BL72" s="3" t="s">
        <v>1121</v>
      </c>
      <c r="BM72" s="3">
        <v>0</v>
      </c>
      <c r="BN72" s="3">
        <v>0.7</v>
      </c>
      <c r="BO72" s="3">
        <v>0</v>
      </c>
      <c r="BP72" s="3">
        <v>923900</v>
      </c>
      <c r="BQ72" s="3">
        <v>9989.15</v>
      </c>
      <c r="BR72" s="3">
        <v>0.2414</v>
      </c>
      <c r="BS72" s="2"/>
      <c r="CC72" s="2">
        <v>46197</v>
      </c>
      <c r="CD72" s="3" t="s">
        <v>286</v>
      </c>
      <c r="CE72" s="3" t="s">
        <v>287</v>
      </c>
      <c r="CF72" s="3" t="s">
        <v>288</v>
      </c>
      <c r="CG72" s="3">
        <v>0</v>
      </c>
      <c r="CH72" s="3">
        <v>0.32</v>
      </c>
      <c r="CI72" s="3">
        <v>0</v>
      </c>
      <c r="CJ72" s="3">
        <v>469784</v>
      </c>
      <c r="CK72" s="3">
        <v>10005.42</v>
      </c>
      <c r="CL72" s="3">
        <v>2.6576</v>
      </c>
      <c r="CM72" s="2"/>
      <c r="CW72" s="2">
        <v>46197</v>
      </c>
      <c r="CX72" s="3" t="s">
        <v>1348</v>
      </c>
      <c r="CY72" s="3" t="s">
        <v>1349</v>
      </c>
      <c r="CZ72" s="3" t="s">
        <v>1350</v>
      </c>
      <c r="DA72" s="3">
        <v>0</v>
      </c>
      <c r="DB72" s="3">
        <v>0.82</v>
      </c>
      <c r="DC72" s="3">
        <v>0</v>
      </c>
      <c r="DD72" s="3">
        <v>1916830</v>
      </c>
      <c r="DE72" s="3">
        <v>9241.19</v>
      </c>
      <c r="DF72" s="3">
        <v>4.0735999999999999</v>
      </c>
    </row>
    <row r="73" spans="1:110" ht="13.5" customHeight="1" x14ac:dyDescent="0.3">
      <c r="A73" s="2">
        <v>46197</v>
      </c>
      <c r="B73" s="3" t="s">
        <v>852</v>
      </c>
      <c r="C73" s="3" t="s">
        <v>457</v>
      </c>
      <c r="D73" s="3" t="s">
        <v>853</v>
      </c>
      <c r="E73" s="3">
        <v>0</v>
      </c>
      <c r="F73" s="3">
        <v>0.27</v>
      </c>
      <c r="G73" s="3">
        <v>0</v>
      </c>
      <c r="H73" s="3">
        <v>298714</v>
      </c>
      <c r="I73" s="3">
        <v>7504.67</v>
      </c>
      <c r="J73" s="3">
        <v>17.5825</v>
      </c>
      <c r="K73" s="2"/>
      <c r="U73" s="2"/>
      <c r="AE73" s="2"/>
      <c r="AO73" s="2"/>
      <c r="AY73" s="2">
        <v>46197</v>
      </c>
      <c r="AZ73" s="3" t="s">
        <v>515</v>
      </c>
      <c r="BA73" s="3" t="s">
        <v>516</v>
      </c>
      <c r="BB73" s="3" t="s">
        <v>517</v>
      </c>
      <c r="BC73" s="3">
        <v>0</v>
      </c>
      <c r="BD73" s="3">
        <v>0.59</v>
      </c>
      <c r="BE73" s="3">
        <v>0</v>
      </c>
      <c r="BF73" s="3">
        <v>738876</v>
      </c>
      <c r="BG73" s="3">
        <v>9606.15</v>
      </c>
      <c r="BH73" s="3">
        <v>2.48</v>
      </c>
      <c r="BI73" s="2">
        <v>46197</v>
      </c>
      <c r="BJ73" s="3" t="s">
        <v>1122</v>
      </c>
      <c r="BK73" s="3" t="s">
        <v>404</v>
      </c>
      <c r="BL73" s="3" t="s">
        <v>405</v>
      </c>
      <c r="BM73" s="3">
        <v>0</v>
      </c>
      <c r="BN73" s="3">
        <v>0.7</v>
      </c>
      <c r="BO73" s="3">
        <v>0</v>
      </c>
      <c r="BP73" s="3">
        <v>923790</v>
      </c>
      <c r="BS73" s="2"/>
      <c r="CC73" s="2">
        <v>46197</v>
      </c>
      <c r="CD73" s="3" t="s">
        <v>289</v>
      </c>
      <c r="CE73" s="3" t="s">
        <v>290</v>
      </c>
      <c r="CF73" s="3" t="s">
        <v>291</v>
      </c>
      <c r="CG73" s="3">
        <v>0</v>
      </c>
      <c r="CH73" s="3">
        <v>0.32</v>
      </c>
      <c r="CI73" s="3">
        <v>0</v>
      </c>
      <c r="CJ73" s="3">
        <v>469773</v>
      </c>
      <c r="CK73" s="3">
        <v>10005.5</v>
      </c>
      <c r="CL73" s="3">
        <v>1.3815999999999999</v>
      </c>
      <c r="CM73" s="2"/>
      <c r="CW73" s="2">
        <v>46197</v>
      </c>
      <c r="CX73" s="3" t="s">
        <v>1351</v>
      </c>
      <c r="CY73" s="3" t="s">
        <v>1352</v>
      </c>
      <c r="CZ73" s="3" t="s">
        <v>1353</v>
      </c>
      <c r="DA73" s="3">
        <v>0</v>
      </c>
      <c r="DB73" s="3">
        <v>0.82</v>
      </c>
      <c r="DC73" s="3">
        <v>0</v>
      </c>
      <c r="DD73" s="3">
        <v>1913810</v>
      </c>
      <c r="DE73" s="3">
        <v>9225.48</v>
      </c>
      <c r="DF73" s="3">
        <v>4.4241999999999999</v>
      </c>
    </row>
    <row r="74" spans="1:110" ht="13.5" customHeight="1" x14ac:dyDescent="0.3">
      <c r="A74" s="2">
        <v>46197</v>
      </c>
      <c r="B74" s="3" t="s">
        <v>854</v>
      </c>
      <c r="C74" s="3" t="s">
        <v>855</v>
      </c>
      <c r="D74" s="3" t="s">
        <v>856</v>
      </c>
      <c r="E74" s="3">
        <v>0</v>
      </c>
      <c r="F74" s="3">
        <v>0.25</v>
      </c>
      <c r="G74" s="3">
        <v>0</v>
      </c>
      <c r="H74" s="3">
        <v>282555</v>
      </c>
      <c r="I74" s="3">
        <v>10649.01</v>
      </c>
      <c r="J74" s="3">
        <v>1.6246</v>
      </c>
      <c r="K74" s="2"/>
      <c r="U74" s="2"/>
      <c r="AE74" s="2"/>
      <c r="AO74" s="2"/>
      <c r="AY74" s="2">
        <v>46197</v>
      </c>
      <c r="AZ74" s="3" t="s">
        <v>202</v>
      </c>
      <c r="BA74" s="3" t="s">
        <v>29</v>
      </c>
      <c r="BB74" s="3" t="s">
        <v>518</v>
      </c>
      <c r="BC74" s="3">
        <v>0</v>
      </c>
      <c r="BD74" s="3">
        <v>0.57999999999999996</v>
      </c>
      <c r="BE74" s="3">
        <v>0</v>
      </c>
      <c r="BF74" s="3">
        <v>732264</v>
      </c>
      <c r="BG74" s="3">
        <v>9472.99</v>
      </c>
      <c r="BH74" s="3">
        <v>2.8384</v>
      </c>
      <c r="BI74" s="2">
        <v>46197</v>
      </c>
      <c r="BJ74" s="3" t="s">
        <v>1123</v>
      </c>
      <c r="BK74" s="3" t="s">
        <v>717</v>
      </c>
      <c r="BL74" s="3" t="s">
        <v>1124</v>
      </c>
      <c r="BM74" s="3">
        <v>0</v>
      </c>
      <c r="BN74" s="3">
        <v>0.7</v>
      </c>
      <c r="BO74" s="3">
        <v>0</v>
      </c>
      <c r="BP74" s="3">
        <v>923667</v>
      </c>
      <c r="BQ74" s="3">
        <v>9986.65</v>
      </c>
      <c r="BR74" s="3">
        <v>0.2089</v>
      </c>
      <c r="BS74" s="2"/>
      <c r="CC74" s="2">
        <v>46197</v>
      </c>
      <c r="CD74" s="3" t="s">
        <v>292</v>
      </c>
      <c r="CE74" s="3" t="s">
        <v>243</v>
      </c>
      <c r="CF74" s="3" t="s">
        <v>293</v>
      </c>
      <c r="CG74" s="3">
        <v>0</v>
      </c>
      <c r="CH74" s="3">
        <v>0.32</v>
      </c>
      <c r="CI74" s="3">
        <v>0</v>
      </c>
      <c r="CJ74" s="3">
        <v>469630</v>
      </c>
      <c r="CK74" s="3">
        <v>10002.879999999999</v>
      </c>
      <c r="CL74" s="3">
        <v>0.58699999999999997</v>
      </c>
      <c r="CM74" s="2"/>
      <c r="CW74" s="2">
        <v>46197</v>
      </c>
      <c r="CX74" s="3" t="s">
        <v>1354</v>
      </c>
      <c r="CY74" s="3" t="s">
        <v>1355</v>
      </c>
      <c r="CZ74" s="3" t="s">
        <v>1356</v>
      </c>
      <c r="DA74" s="3">
        <v>0</v>
      </c>
      <c r="DB74" s="3">
        <v>0.82</v>
      </c>
      <c r="DC74" s="3">
        <v>0</v>
      </c>
      <c r="DD74" s="3">
        <v>1907390</v>
      </c>
      <c r="DE74" s="3">
        <v>9191.83</v>
      </c>
      <c r="DF74" s="3">
        <v>3.5743</v>
      </c>
    </row>
    <row r="75" spans="1:110" ht="13.5" customHeight="1" x14ac:dyDescent="0.3">
      <c r="A75" s="2">
        <v>46197</v>
      </c>
      <c r="B75" s="3" t="s">
        <v>857</v>
      </c>
      <c r="C75" s="3" t="s">
        <v>218</v>
      </c>
      <c r="D75" s="3" t="s">
        <v>858</v>
      </c>
      <c r="E75" s="3">
        <v>0</v>
      </c>
      <c r="F75" s="3">
        <v>0.25</v>
      </c>
      <c r="G75" s="3">
        <v>0</v>
      </c>
      <c r="H75" s="3">
        <v>277914</v>
      </c>
      <c r="I75" s="3">
        <v>10461.450000000001</v>
      </c>
      <c r="J75" s="3">
        <v>1.6063000000000001</v>
      </c>
      <c r="K75" s="2"/>
      <c r="U75" s="2"/>
      <c r="AE75" s="2"/>
      <c r="AO75" s="2"/>
      <c r="AY75" s="2">
        <v>46197</v>
      </c>
      <c r="AZ75" s="3" t="s">
        <v>519</v>
      </c>
      <c r="BA75" s="3" t="s">
        <v>520</v>
      </c>
      <c r="BB75" s="3" t="s">
        <v>521</v>
      </c>
      <c r="BC75" s="3">
        <v>0</v>
      </c>
      <c r="BD75" s="3">
        <v>0.57999999999999996</v>
      </c>
      <c r="BE75" s="3">
        <v>0</v>
      </c>
      <c r="BF75" s="3">
        <v>730349</v>
      </c>
      <c r="BG75" s="3">
        <v>9495.06</v>
      </c>
      <c r="BH75" s="3">
        <v>3.6743000000000001</v>
      </c>
      <c r="BI75" s="2">
        <v>46197</v>
      </c>
      <c r="BJ75" s="3" t="s">
        <v>1125</v>
      </c>
      <c r="BK75" s="3" t="s">
        <v>351</v>
      </c>
      <c r="BL75" s="3" t="s">
        <v>1126</v>
      </c>
      <c r="BM75" s="3">
        <v>0</v>
      </c>
      <c r="BN75" s="3">
        <v>0.7</v>
      </c>
      <c r="BO75" s="3">
        <v>0</v>
      </c>
      <c r="BP75" s="3">
        <v>923292</v>
      </c>
      <c r="BS75" s="2"/>
      <c r="CC75" s="2">
        <v>46197</v>
      </c>
      <c r="CD75" s="3" t="s">
        <v>294</v>
      </c>
      <c r="CE75" s="3" t="s">
        <v>295</v>
      </c>
      <c r="CF75" s="3" t="s">
        <v>296</v>
      </c>
      <c r="CG75" s="3">
        <v>0</v>
      </c>
      <c r="CH75" s="3">
        <v>0.32</v>
      </c>
      <c r="CI75" s="3">
        <v>0</v>
      </c>
      <c r="CJ75" s="3">
        <v>469610</v>
      </c>
      <c r="CK75" s="3">
        <v>10001.77</v>
      </c>
      <c r="CL75" s="3">
        <v>1.9067000000000001</v>
      </c>
      <c r="CM75" s="2"/>
      <c r="CW75" s="2">
        <v>46197</v>
      </c>
      <c r="CX75" s="3" t="s">
        <v>1357</v>
      </c>
      <c r="CY75" s="3" t="s">
        <v>816</v>
      </c>
      <c r="CZ75" s="3" t="s">
        <v>1358</v>
      </c>
      <c r="DA75" s="3">
        <v>0</v>
      </c>
      <c r="DB75" s="3">
        <v>0.81</v>
      </c>
      <c r="DC75" s="3">
        <v>0</v>
      </c>
      <c r="DD75" s="3">
        <v>1898527</v>
      </c>
      <c r="DE75" s="3">
        <v>9156.73</v>
      </c>
      <c r="DF75" s="3">
        <v>7.8365999999999998</v>
      </c>
    </row>
    <row r="76" spans="1:110" ht="13.5" customHeight="1" x14ac:dyDescent="0.3">
      <c r="A76" s="2">
        <v>46197</v>
      </c>
      <c r="B76" s="3" t="s">
        <v>859</v>
      </c>
      <c r="C76" s="3" t="s">
        <v>676</v>
      </c>
      <c r="D76" s="3" t="s">
        <v>860</v>
      </c>
      <c r="E76" s="3">
        <v>0</v>
      </c>
      <c r="F76" s="3">
        <v>0.25</v>
      </c>
      <c r="G76" s="3">
        <v>0</v>
      </c>
      <c r="H76" s="3">
        <v>274628</v>
      </c>
      <c r="I76" s="3">
        <v>10347.76</v>
      </c>
      <c r="J76" s="3">
        <v>5.6351000000000004</v>
      </c>
      <c r="K76" s="2"/>
      <c r="U76" s="2"/>
      <c r="AE76" s="2"/>
      <c r="AO76" s="2"/>
      <c r="AY76" s="2">
        <v>46197</v>
      </c>
      <c r="AZ76" s="3" t="s">
        <v>522</v>
      </c>
      <c r="BA76" s="3" t="s">
        <v>523</v>
      </c>
      <c r="BB76" s="3" t="s">
        <v>524</v>
      </c>
      <c r="BC76" s="3">
        <v>0</v>
      </c>
      <c r="BD76" s="3">
        <v>0.56000000000000005</v>
      </c>
      <c r="BE76" s="3">
        <v>0</v>
      </c>
      <c r="BF76" s="3">
        <v>704299</v>
      </c>
      <c r="BG76" s="3">
        <v>9161.41</v>
      </c>
      <c r="BH76" s="3">
        <v>7.3579999999999997</v>
      </c>
      <c r="BI76" s="2">
        <v>46197</v>
      </c>
      <c r="BJ76" s="3" t="s">
        <v>1127</v>
      </c>
      <c r="BK76" s="3" t="s">
        <v>1128</v>
      </c>
      <c r="BL76" s="3" t="s">
        <v>1129</v>
      </c>
      <c r="BM76" s="3">
        <v>0</v>
      </c>
      <c r="BN76" s="3">
        <v>0.7</v>
      </c>
      <c r="BO76" s="3">
        <v>0</v>
      </c>
      <c r="BP76" s="3">
        <v>923020</v>
      </c>
      <c r="BS76" s="2"/>
      <c r="CC76" s="2">
        <v>46197</v>
      </c>
      <c r="CD76" s="3" t="s">
        <v>297</v>
      </c>
      <c r="CE76" s="3" t="s">
        <v>298</v>
      </c>
      <c r="CF76" s="3" t="s">
        <v>299</v>
      </c>
      <c r="CG76" s="3">
        <v>0</v>
      </c>
      <c r="CH76" s="3">
        <v>0.32</v>
      </c>
      <c r="CI76" s="3">
        <v>0</v>
      </c>
      <c r="CJ76" s="3">
        <v>469602</v>
      </c>
      <c r="CK76" s="3">
        <v>10001.44</v>
      </c>
      <c r="CL76" s="3">
        <v>1.2836000000000001</v>
      </c>
      <c r="CM76" s="2"/>
      <c r="CW76" s="2">
        <v>46197</v>
      </c>
      <c r="CX76" s="3" t="s">
        <v>1359</v>
      </c>
      <c r="CY76" s="3" t="s">
        <v>1341</v>
      </c>
      <c r="CZ76" s="3" t="s">
        <v>1360</v>
      </c>
      <c r="DA76" s="3">
        <v>0</v>
      </c>
      <c r="DB76" s="3">
        <v>0.81</v>
      </c>
      <c r="DC76" s="3">
        <v>0</v>
      </c>
      <c r="DD76" s="3">
        <v>1892296</v>
      </c>
      <c r="DE76" s="3">
        <v>9128.74</v>
      </c>
      <c r="DF76" s="3">
        <v>4.6281999999999996</v>
      </c>
    </row>
    <row r="77" spans="1:110" ht="13.5" customHeight="1" x14ac:dyDescent="0.3">
      <c r="A77" s="2">
        <v>46197</v>
      </c>
      <c r="B77" s="3" t="s">
        <v>861</v>
      </c>
      <c r="C77" s="3" t="s">
        <v>862</v>
      </c>
      <c r="D77" s="3" t="s">
        <v>863</v>
      </c>
      <c r="E77" s="3">
        <v>0</v>
      </c>
      <c r="F77" s="3">
        <v>0.24</v>
      </c>
      <c r="G77" s="3">
        <v>0</v>
      </c>
      <c r="H77" s="3">
        <v>270179</v>
      </c>
      <c r="I77" s="3">
        <v>10182.75</v>
      </c>
      <c r="J77" s="3">
        <v>2.2250000000000001</v>
      </c>
      <c r="K77" s="2"/>
      <c r="U77" s="2"/>
      <c r="AE77" s="2"/>
      <c r="AO77" s="2"/>
      <c r="AY77" s="2">
        <v>46197</v>
      </c>
      <c r="AZ77" s="3" t="s">
        <v>117</v>
      </c>
      <c r="BA77" s="3" t="s">
        <v>56</v>
      </c>
      <c r="BB77" s="3" t="s">
        <v>118</v>
      </c>
      <c r="BC77" s="3">
        <v>0</v>
      </c>
      <c r="BD77" s="3">
        <v>0.53</v>
      </c>
      <c r="BE77" s="3">
        <v>0</v>
      </c>
      <c r="BF77" s="3">
        <v>660778</v>
      </c>
      <c r="BG77" s="3">
        <v>7405.73</v>
      </c>
      <c r="BH77" s="3">
        <v>12.543200000000001</v>
      </c>
      <c r="BI77" s="2">
        <v>46197</v>
      </c>
      <c r="BJ77" s="3" t="s">
        <v>1131</v>
      </c>
      <c r="BK77" s="3" t="s">
        <v>463</v>
      </c>
      <c r="BL77" s="3" t="s">
        <v>464</v>
      </c>
      <c r="BM77" s="3">
        <v>0</v>
      </c>
      <c r="BN77" s="3">
        <v>0.7</v>
      </c>
      <c r="BO77" s="3">
        <v>0</v>
      </c>
      <c r="BP77" s="3">
        <v>920884</v>
      </c>
      <c r="BS77" s="2"/>
      <c r="CC77" s="2">
        <v>46197</v>
      </c>
      <c r="CD77" s="3" t="s">
        <v>300</v>
      </c>
      <c r="CE77" s="3" t="s">
        <v>301</v>
      </c>
      <c r="CF77" s="3" t="s">
        <v>302</v>
      </c>
      <c r="CG77" s="3">
        <v>0</v>
      </c>
      <c r="CH77" s="3">
        <v>0.32</v>
      </c>
      <c r="CI77" s="3">
        <v>0</v>
      </c>
      <c r="CJ77" s="3">
        <v>469393</v>
      </c>
      <c r="CK77" s="3">
        <v>9998.2999999999993</v>
      </c>
      <c r="CL77" s="3">
        <v>2.6688999999999998</v>
      </c>
      <c r="CM77" s="2"/>
      <c r="CW77" s="2">
        <v>46197</v>
      </c>
      <c r="CX77" s="3" t="s">
        <v>1361</v>
      </c>
      <c r="CY77" s="3" t="s">
        <v>1362</v>
      </c>
      <c r="CZ77" s="3" t="s">
        <v>1363</v>
      </c>
      <c r="DA77" s="3">
        <v>0</v>
      </c>
      <c r="DB77" s="3">
        <v>0.81</v>
      </c>
      <c r="DC77" s="3">
        <v>0</v>
      </c>
      <c r="DD77" s="3">
        <v>1889817</v>
      </c>
      <c r="DE77" s="3">
        <v>9104.84</v>
      </c>
      <c r="DF77" s="3">
        <v>3.9216000000000002</v>
      </c>
    </row>
    <row r="78" spans="1:110" ht="13.5" customHeight="1" x14ac:dyDescent="0.3">
      <c r="A78" s="2">
        <v>46197</v>
      </c>
      <c r="B78" s="3" t="s">
        <v>864</v>
      </c>
      <c r="C78" s="3" t="s">
        <v>865</v>
      </c>
      <c r="D78" s="3" t="s">
        <v>866</v>
      </c>
      <c r="E78" s="3">
        <v>0</v>
      </c>
      <c r="F78" s="3">
        <v>0.24</v>
      </c>
      <c r="G78" s="3">
        <v>0</v>
      </c>
      <c r="H78" s="3">
        <v>269654</v>
      </c>
      <c r="I78" s="3">
        <v>10164.200000000001</v>
      </c>
      <c r="J78" s="3">
        <v>4.6142000000000003</v>
      </c>
      <c r="K78" s="2"/>
      <c r="U78" s="2"/>
      <c r="AE78" s="2"/>
      <c r="AO78" s="2"/>
      <c r="AY78" s="2">
        <v>46197</v>
      </c>
      <c r="AZ78" s="3" t="s">
        <v>525</v>
      </c>
      <c r="BA78" s="3" t="s">
        <v>526</v>
      </c>
      <c r="BB78" s="3" t="s">
        <v>527</v>
      </c>
      <c r="BC78" s="3">
        <v>0</v>
      </c>
      <c r="BD78" s="3">
        <v>0.51</v>
      </c>
      <c r="BE78" s="3">
        <v>0</v>
      </c>
      <c r="BF78" s="3">
        <v>642230</v>
      </c>
      <c r="BG78" s="3">
        <v>9803.64</v>
      </c>
      <c r="BH78" s="3">
        <v>2.2879</v>
      </c>
      <c r="BI78" s="2">
        <v>46197</v>
      </c>
      <c r="BJ78" s="3" t="s">
        <v>1130</v>
      </c>
      <c r="BK78" s="3" t="s">
        <v>463</v>
      </c>
      <c r="BL78" s="3" t="s">
        <v>464</v>
      </c>
      <c r="BM78" s="3">
        <v>0</v>
      </c>
      <c r="BN78" s="3">
        <v>0.7</v>
      </c>
      <c r="BO78" s="3">
        <v>0</v>
      </c>
      <c r="BP78" s="3">
        <v>920884</v>
      </c>
      <c r="BS78" s="2"/>
      <c r="CC78" s="2">
        <v>46197</v>
      </c>
      <c r="CD78" s="3" t="s">
        <v>303</v>
      </c>
      <c r="CE78" s="3" t="s">
        <v>304</v>
      </c>
      <c r="CF78" s="3" t="s">
        <v>305</v>
      </c>
      <c r="CG78" s="3">
        <v>0</v>
      </c>
      <c r="CH78" s="3">
        <v>0.32</v>
      </c>
      <c r="CI78" s="3">
        <v>0</v>
      </c>
      <c r="CJ78" s="3">
        <v>469339</v>
      </c>
      <c r="CK78" s="3">
        <v>9994.57</v>
      </c>
      <c r="CL78" s="3">
        <v>2.7814000000000001</v>
      </c>
      <c r="CM78" s="2"/>
      <c r="CW78" s="2">
        <v>46197</v>
      </c>
      <c r="CX78" s="3" t="s">
        <v>1364</v>
      </c>
      <c r="CY78" s="3" t="s">
        <v>1355</v>
      </c>
      <c r="CZ78" s="3" t="s">
        <v>1365</v>
      </c>
      <c r="DA78" s="3">
        <v>0</v>
      </c>
      <c r="DB78" s="3">
        <v>0.81</v>
      </c>
      <c r="DC78" s="3">
        <v>0</v>
      </c>
      <c r="DD78" s="3">
        <v>1888087</v>
      </c>
      <c r="DE78" s="3">
        <v>9098.69</v>
      </c>
      <c r="DF78" s="3">
        <v>3.9702000000000002</v>
      </c>
    </row>
    <row r="79" spans="1:110" ht="13.5" customHeight="1" x14ac:dyDescent="0.3">
      <c r="A79" s="2">
        <v>46197</v>
      </c>
      <c r="B79" s="3" t="s">
        <v>867</v>
      </c>
      <c r="C79" s="3" t="s">
        <v>868</v>
      </c>
      <c r="D79" s="3" t="s">
        <v>869</v>
      </c>
      <c r="E79" s="3">
        <v>0</v>
      </c>
      <c r="F79" s="3">
        <v>0.24</v>
      </c>
      <c r="G79" s="3">
        <v>0</v>
      </c>
      <c r="H79" s="3">
        <v>269239</v>
      </c>
      <c r="I79" s="3">
        <v>10147.42</v>
      </c>
      <c r="J79" s="3">
        <v>2.0455000000000001</v>
      </c>
      <c r="K79" s="2"/>
      <c r="U79" s="2"/>
      <c r="AE79" s="2"/>
      <c r="AO79" s="2"/>
      <c r="AY79" s="2">
        <v>46197</v>
      </c>
      <c r="AZ79" s="3" t="s">
        <v>528</v>
      </c>
      <c r="BA79" s="3" t="s">
        <v>529</v>
      </c>
      <c r="BB79" s="3" t="s">
        <v>530</v>
      </c>
      <c r="BC79" s="3">
        <v>0</v>
      </c>
      <c r="BD79" s="3">
        <v>0.51</v>
      </c>
      <c r="BE79" s="3">
        <v>0</v>
      </c>
      <c r="BF79" s="3">
        <v>640281</v>
      </c>
      <c r="BG79" s="3">
        <v>9774.14</v>
      </c>
      <c r="BH79" s="3">
        <v>1.9452</v>
      </c>
      <c r="BI79" s="2">
        <v>46197</v>
      </c>
      <c r="BJ79" s="3" t="s">
        <v>1132</v>
      </c>
      <c r="BK79" s="3" t="s">
        <v>463</v>
      </c>
      <c r="BL79" s="3" t="s">
        <v>464</v>
      </c>
      <c r="BM79" s="3">
        <v>0</v>
      </c>
      <c r="BN79" s="3">
        <v>0.7</v>
      </c>
      <c r="BO79" s="3">
        <v>0</v>
      </c>
      <c r="BP79" s="3">
        <v>920884</v>
      </c>
      <c r="BS79" s="2"/>
      <c r="CC79" s="2">
        <v>46197</v>
      </c>
      <c r="CD79" s="3" t="s">
        <v>306</v>
      </c>
      <c r="CE79" s="3" t="s">
        <v>307</v>
      </c>
      <c r="CF79" s="3" t="s">
        <v>308</v>
      </c>
      <c r="CG79" s="3">
        <v>0</v>
      </c>
      <c r="CH79" s="3">
        <v>0.32</v>
      </c>
      <c r="CI79" s="3">
        <v>0</v>
      </c>
      <c r="CJ79" s="3">
        <v>469315</v>
      </c>
      <c r="CK79" s="3">
        <v>9995.64</v>
      </c>
      <c r="CL79" s="3">
        <v>1.8011999999999999</v>
      </c>
      <c r="CM79" s="2"/>
      <c r="CW79" s="2">
        <v>46197</v>
      </c>
      <c r="CX79" s="3" t="s">
        <v>1366</v>
      </c>
      <c r="CY79" s="3" t="s">
        <v>275</v>
      </c>
      <c r="CZ79" s="3" t="s">
        <v>1367</v>
      </c>
      <c r="DA79" s="3">
        <v>0</v>
      </c>
      <c r="DB79" s="3">
        <v>0.8</v>
      </c>
      <c r="DC79" s="3">
        <v>0</v>
      </c>
      <c r="DD79" s="3">
        <v>1866276</v>
      </c>
      <c r="DE79" s="3">
        <v>8999.25</v>
      </c>
      <c r="DF79" s="3">
        <v>7.3314000000000004</v>
      </c>
    </row>
    <row r="80" spans="1:110" ht="13.5" customHeight="1" x14ac:dyDescent="0.3">
      <c r="A80" s="2">
        <v>46197</v>
      </c>
      <c r="B80" s="3" t="s">
        <v>870</v>
      </c>
      <c r="C80" s="3" t="s">
        <v>756</v>
      </c>
      <c r="D80" s="3" t="s">
        <v>871</v>
      </c>
      <c r="E80" s="3">
        <v>0</v>
      </c>
      <c r="F80" s="3">
        <v>0.24</v>
      </c>
      <c r="G80" s="3">
        <v>0</v>
      </c>
      <c r="H80" s="3">
        <v>268847</v>
      </c>
      <c r="I80" s="3">
        <v>10131.280000000001</v>
      </c>
      <c r="J80" s="3">
        <v>2.0451999999999999</v>
      </c>
      <c r="K80" s="2"/>
      <c r="U80" s="2"/>
      <c r="AE80" s="2"/>
      <c r="AO80" s="2"/>
      <c r="AY80" s="2">
        <v>46197</v>
      </c>
      <c r="AZ80" s="3" t="s">
        <v>86</v>
      </c>
      <c r="BA80" s="3" t="s">
        <v>29</v>
      </c>
      <c r="BB80" s="3" t="s">
        <v>87</v>
      </c>
      <c r="BC80" s="3">
        <v>0</v>
      </c>
      <c r="BD80" s="3">
        <v>0.51</v>
      </c>
      <c r="BE80" s="3">
        <v>0</v>
      </c>
      <c r="BF80" s="3">
        <v>638782</v>
      </c>
      <c r="BG80" s="3">
        <v>7549.83</v>
      </c>
      <c r="BH80" s="3">
        <v>17.713899999999999</v>
      </c>
      <c r="BI80" s="2">
        <v>46197</v>
      </c>
      <c r="BJ80" s="3" t="s">
        <v>1133</v>
      </c>
      <c r="BK80" s="3" t="s">
        <v>1134</v>
      </c>
      <c r="BL80" s="3" t="s">
        <v>1135</v>
      </c>
      <c r="BM80" s="3">
        <v>0</v>
      </c>
      <c r="BN80" s="3">
        <v>0.69</v>
      </c>
      <c r="BO80" s="3">
        <v>0</v>
      </c>
      <c r="BP80" s="3">
        <v>910417</v>
      </c>
      <c r="BS80" s="2"/>
      <c r="CC80" s="2">
        <v>46197</v>
      </c>
      <c r="CD80" s="3" t="s">
        <v>309</v>
      </c>
      <c r="CE80" s="3" t="s">
        <v>213</v>
      </c>
      <c r="CF80" s="3" t="s">
        <v>310</v>
      </c>
      <c r="CG80" s="3">
        <v>0</v>
      </c>
      <c r="CH80" s="3">
        <v>0.32</v>
      </c>
      <c r="CI80" s="3">
        <v>0</v>
      </c>
      <c r="CJ80" s="3">
        <v>469298</v>
      </c>
      <c r="CM80" s="2"/>
      <c r="CW80" s="2">
        <v>46197</v>
      </c>
      <c r="CX80" s="3" t="s">
        <v>1368</v>
      </c>
      <c r="CY80" s="3" t="s">
        <v>1288</v>
      </c>
      <c r="CZ80" s="3" t="s">
        <v>1369</v>
      </c>
      <c r="DA80" s="3">
        <v>0</v>
      </c>
      <c r="DB80" s="3">
        <v>0.8</v>
      </c>
      <c r="DC80" s="3">
        <v>0</v>
      </c>
      <c r="DD80" s="3">
        <v>1857948</v>
      </c>
      <c r="DE80" s="3">
        <v>8956.89</v>
      </c>
      <c r="DF80" s="3">
        <v>3.9462999999999999</v>
      </c>
    </row>
    <row r="81" spans="1:110" ht="13.5" customHeight="1" x14ac:dyDescent="0.3">
      <c r="A81" s="2">
        <v>46197</v>
      </c>
      <c r="B81" s="3" t="s">
        <v>872</v>
      </c>
      <c r="C81" s="3" t="s">
        <v>873</v>
      </c>
      <c r="D81" s="3" t="s">
        <v>874</v>
      </c>
      <c r="E81" s="3">
        <v>0</v>
      </c>
      <c r="F81" s="3">
        <v>0.24</v>
      </c>
      <c r="G81" s="3">
        <v>0</v>
      </c>
      <c r="H81" s="3">
        <v>268764</v>
      </c>
      <c r="I81" s="3">
        <v>10127.43</v>
      </c>
      <c r="J81" s="3">
        <v>1.9015</v>
      </c>
      <c r="K81" s="2"/>
      <c r="U81" s="2"/>
      <c r="AE81" s="2"/>
      <c r="AO81" s="2"/>
      <c r="AY81" s="2">
        <v>46197</v>
      </c>
      <c r="AZ81" s="3" t="s">
        <v>77</v>
      </c>
      <c r="BA81" s="3" t="s">
        <v>29</v>
      </c>
      <c r="BB81" s="3" t="s">
        <v>78</v>
      </c>
      <c r="BC81" s="3">
        <v>0</v>
      </c>
      <c r="BD81" s="3">
        <v>0.5</v>
      </c>
      <c r="BE81" s="3">
        <v>0</v>
      </c>
      <c r="BF81" s="3">
        <v>630531</v>
      </c>
      <c r="BG81" s="3">
        <v>8197.18</v>
      </c>
      <c r="BH81" s="3">
        <v>16.517900000000001</v>
      </c>
      <c r="BI81" s="2">
        <v>46197</v>
      </c>
      <c r="BJ81" s="3" t="s">
        <v>1136</v>
      </c>
      <c r="BK81" s="3" t="s">
        <v>1137</v>
      </c>
      <c r="BL81" s="3" t="s">
        <v>1138</v>
      </c>
      <c r="BM81" s="3">
        <v>0</v>
      </c>
      <c r="BN81" s="3">
        <v>0.56999999999999995</v>
      </c>
      <c r="BO81" s="3">
        <v>0</v>
      </c>
      <c r="BP81" s="3">
        <v>750250</v>
      </c>
      <c r="BQ81" s="3">
        <v>10038</v>
      </c>
      <c r="BR81" s="3">
        <v>0.17349999999999999</v>
      </c>
      <c r="BS81" s="2"/>
      <c r="CC81" s="2">
        <v>46197</v>
      </c>
      <c r="CD81" s="3" t="s">
        <v>311</v>
      </c>
      <c r="CE81" s="3" t="s">
        <v>312</v>
      </c>
      <c r="CF81" s="3" t="s">
        <v>313</v>
      </c>
      <c r="CG81" s="3">
        <v>0</v>
      </c>
      <c r="CH81" s="3">
        <v>0.32</v>
      </c>
      <c r="CI81" s="3">
        <v>0</v>
      </c>
      <c r="CJ81" s="3">
        <v>469259</v>
      </c>
      <c r="CK81" s="3">
        <v>9995.7000000000007</v>
      </c>
      <c r="CL81" s="3">
        <v>2.7719999999999998</v>
      </c>
      <c r="CM81" s="2"/>
      <c r="CW81" s="2">
        <v>46197</v>
      </c>
      <c r="CX81" s="3" t="s">
        <v>1370</v>
      </c>
      <c r="CY81" s="3" t="s">
        <v>1288</v>
      </c>
      <c r="CZ81" s="3" t="s">
        <v>1371</v>
      </c>
      <c r="DA81" s="3">
        <v>0</v>
      </c>
      <c r="DB81" s="3">
        <v>0.77</v>
      </c>
      <c r="DC81" s="3">
        <v>0</v>
      </c>
      <c r="DD81" s="3">
        <v>1802111</v>
      </c>
      <c r="DE81" s="3">
        <v>8686.81</v>
      </c>
      <c r="DF81" s="3">
        <v>4.4973999999999998</v>
      </c>
    </row>
    <row r="82" spans="1:110" ht="13.5" customHeight="1" x14ac:dyDescent="0.3">
      <c r="A82" s="2">
        <v>46197</v>
      </c>
      <c r="B82" s="3" t="s">
        <v>875</v>
      </c>
      <c r="C82" s="3" t="s">
        <v>876</v>
      </c>
      <c r="D82" s="3" t="s">
        <v>877</v>
      </c>
      <c r="E82" s="3">
        <v>0</v>
      </c>
      <c r="F82" s="3">
        <v>0.24</v>
      </c>
      <c r="G82" s="3">
        <v>0</v>
      </c>
      <c r="H82" s="3">
        <v>268630</v>
      </c>
      <c r="I82" s="3">
        <v>10123.790000000001</v>
      </c>
      <c r="J82" s="3">
        <v>1.0319</v>
      </c>
      <c r="K82" s="2"/>
      <c r="U82" s="2"/>
      <c r="AE82" s="2"/>
      <c r="AO82" s="2"/>
      <c r="AY82" s="2">
        <v>46197</v>
      </c>
      <c r="AZ82" s="3" t="s">
        <v>531</v>
      </c>
      <c r="BA82" s="3" t="s">
        <v>532</v>
      </c>
      <c r="BB82" s="3" t="s">
        <v>533</v>
      </c>
      <c r="BC82" s="3">
        <v>0</v>
      </c>
      <c r="BD82" s="3">
        <v>0.5</v>
      </c>
      <c r="BE82" s="3">
        <v>0</v>
      </c>
      <c r="BF82" s="3">
        <v>624195</v>
      </c>
      <c r="BG82" s="3">
        <v>9874.5</v>
      </c>
      <c r="BH82" s="3">
        <v>2.3641000000000001</v>
      </c>
      <c r="BI82" s="2">
        <v>46197</v>
      </c>
      <c r="BJ82" s="3" t="s">
        <v>1139</v>
      </c>
      <c r="BK82" s="3" t="s">
        <v>1140</v>
      </c>
      <c r="BL82" s="3" t="s">
        <v>1141</v>
      </c>
      <c r="BM82" s="3">
        <v>0</v>
      </c>
      <c r="BN82" s="3">
        <v>0.51</v>
      </c>
      <c r="BO82" s="3">
        <v>0</v>
      </c>
      <c r="BP82" s="3">
        <v>668575</v>
      </c>
      <c r="BQ82" s="3">
        <v>10150.26</v>
      </c>
      <c r="BR82" s="3">
        <v>0.26939999999999997</v>
      </c>
      <c r="BS82" s="2"/>
      <c r="CC82" s="2">
        <v>46197</v>
      </c>
      <c r="CD82" s="3" t="s">
        <v>314</v>
      </c>
      <c r="CE82" s="3" t="s">
        <v>315</v>
      </c>
      <c r="CF82" s="3" t="s">
        <v>316</v>
      </c>
      <c r="CG82" s="3">
        <v>0</v>
      </c>
      <c r="CH82" s="3">
        <v>0.32</v>
      </c>
      <c r="CI82" s="3">
        <v>0</v>
      </c>
      <c r="CJ82" s="3">
        <v>469109</v>
      </c>
      <c r="CK82" s="3">
        <v>9991.69</v>
      </c>
      <c r="CL82" s="3">
        <v>1.0121</v>
      </c>
      <c r="CM82" s="2"/>
      <c r="CW82" s="2">
        <v>46197</v>
      </c>
      <c r="CX82" s="3" t="s">
        <v>1372</v>
      </c>
      <c r="CY82" s="3" t="s">
        <v>1373</v>
      </c>
      <c r="CZ82" s="3" t="s">
        <v>1374</v>
      </c>
      <c r="DA82" s="3">
        <v>0</v>
      </c>
      <c r="DB82" s="3">
        <v>0.73</v>
      </c>
      <c r="DC82" s="3">
        <v>0</v>
      </c>
      <c r="DD82" s="3">
        <v>1699031</v>
      </c>
      <c r="DE82" s="3">
        <v>8193.6299999999992</v>
      </c>
      <c r="DF82" s="3">
        <v>9.8986999999999998</v>
      </c>
    </row>
    <row r="83" spans="1:110" ht="13.5" customHeight="1" x14ac:dyDescent="0.3">
      <c r="A83" s="2">
        <v>46197</v>
      </c>
      <c r="B83" s="3" t="s">
        <v>878</v>
      </c>
      <c r="C83" s="3" t="s">
        <v>879</v>
      </c>
      <c r="D83" s="3" t="s">
        <v>880</v>
      </c>
      <c r="E83" s="3">
        <v>0</v>
      </c>
      <c r="F83" s="3">
        <v>0.24</v>
      </c>
      <c r="G83" s="3">
        <v>0</v>
      </c>
      <c r="H83" s="3">
        <v>268406</v>
      </c>
      <c r="I83" s="3">
        <v>10115.719999999999</v>
      </c>
      <c r="J83" s="3">
        <v>0.37090000000000001</v>
      </c>
      <c r="K83" s="2"/>
      <c r="U83" s="2"/>
      <c r="AE83" s="2"/>
      <c r="AO83" s="2"/>
      <c r="AY83" s="2">
        <v>46197</v>
      </c>
      <c r="AZ83" s="3" t="s">
        <v>534</v>
      </c>
      <c r="BA83" s="3" t="s">
        <v>535</v>
      </c>
      <c r="BB83" s="3" t="s">
        <v>536</v>
      </c>
      <c r="BC83" s="3">
        <v>0</v>
      </c>
      <c r="BD83" s="3">
        <v>0.49</v>
      </c>
      <c r="BE83" s="3">
        <v>0</v>
      </c>
      <c r="BF83" s="3">
        <v>611547</v>
      </c>
      <c r="BG83" s="3">
        <v>9937.7900000000009</v>
      </c>
      <c r="BH83" s="3">
        <v>1.3421000000000001</v>
      </c>
      <c r="BI83" s="2">
        <v>46197</v>
      </c>
      <c r="BJ83" s="3" t="s">
        <v>1142</v>
      </c>
      <c r="BK83" s="3" t="s">
        <v>363</v>
      </c>
      <c r="BL83" s="3" t="s">
        <v>1143</v>
      </c>
      <c r="BM83" s="3">
        <v>0</v>
      </c>
      <c r="BN83" s="3">
        <v>0.5</v>
      </c>
      <c r="BO83" s="3">
        <v>0</v>
      </c>
      <c r="BP83" s="3">
        <v>663607</v>
      </c>
      <c r="BQ83" s="3">
        <v>10075.120000000001</v>
      </c>
      <c r="BR83" s="3">
        <v>0.1203</v>
      </c>
      <c r="BS83" s="2"/>
      <c r="CC83" s="2">
        <v>46197</v>
      </c>
      <c r="CD83" s="3" t="s">
        <v>317</v>
      </c>
      <c r="CE83" s="3" t="s">
        <v>318</v>
      </c>
      <c r="CF83" s="3" t="s">
        <v>319</v>
      </c>
      <c r="CG83" s="3">
        <v>0</v>
      </c>
      <c r="CH83" s="3">
        <v>0.32</v>
      </c>
      <c r="CI83" s="3">
        <v>0</v>
      </c>
      <c r="CJ83" s="3">
        <v>469108</v>
      </c>
      <c r="CK83" s="3">
        <v>9991.23</v>
      </c>
      <c r="CL83" s="3">
        <v>2.69</v>
      </c>
      <c r="CM83" s="2"/>
      <c r="CW83" s="2">
        <v>46197</v>
      </c>
      <c r="CX83" s="3" t="s">
        <v>560</v>
      </c>
      <c r="CY83" s="3" t="s">
        <v>50</v>
      </c>
      <c r="CZ83" s="3" t="s">
        <v>1375</v>
      </c>
      <c r="DA83" s="3">
        <v>0</v>
      </c>
      <c r="DB83" s="3">
        <v>0.62</v>
      </c>
      <c r="DC83" s="3">
        <v>0</v>
      </c>
      <c r="DD83" s="3">
        <v>1443200</v>
      </c>
      <c r="DE83" s="3">
        <v>9939.5300000000007</v>
      </c>
      <c r="DF83" s="3">
        <v>2.7844000000000002</v>
      </c>
    </row>
    <row r="84" spans="1:110" ht="13.5" customHeight="1" x14ac:dyDescent="0.3">
      <c r="A84" s="2">
        <v>46197</v>
      </c>
      <c r="B84" s="3" t="s">
        <v>881</v>
      </c>
      <c r="C84" s="3" t="s">
        <v>882</v>
      </c>
      <c r="D84" s="3" t="s">
        <v>883</v>
      </c>
      <c r="E84" s="3">
        <v>0</v>
      </c>
      <c r="F84" s="3">
        <v>0.24</v>
      </c>
      <c r="G84" s="3">
        <v>0</v>
      </c>
      <c r="H84" s="3">
        <v>267987</v>
      </c>
      <c r="I84" s="3">
        <v>10099.709999999999</v>
      </c>
      <c r="J84" s="3">
        <v>0.38190000000000002</v>
      </c>
      <c r="K84" s="2"/>
      <c r="U84" s="2"/>
      <c r="AE84" s="2"/>
      <c r="AO84" s="2"/>
      <c r="AY84" s="2">
        <v>46197</v>
      </c>
      <c r="AZ84" s="3" t="s">
        <v>537</v>
      </c>
      <c r="BA84" s="3" t="s">
        <v>538</v>
      </c>
      <c r="BB84" s="3" t="s">
        <v>539</v>
      </c>
      <c r="BC84" s="3">
        <v>0</v>
      </c>
      <c r="BD84" s="3">
        <v>0.44</v>
      </c>
      <c r="BE84" s="3">
        <v>0</v>
      </c>
      <c r="BF84" s="3">
        <v>548235</v>
      </c>
      <c r="BG84" s="3">
        <v>10181.84</v>
      </c>
      <c r="BH84" s="3">
        <v>1.9145000000000001</v>
      </c>
      <c r="BI84" s="2">
        <v>46197</v>
      </c>
      <c r="BJ84" s="3" t="s">
        <v>1144</v>
      </c>
      <c r="BK84" s="3" t="s">
        <v>1076</v>
      </c>
      <c r="BL84" s="3" t="s">
        <v>1145</v>
      </c>
      <c r="BM84" s="3">
        <v>0</v>
      </c>
      <c r="BN84" s="3">
        <v>0.5</v>
      </c>
      <c r="BO84" s="3">
        <v>0</v>
      </c>
      <c r="BP84" s="3">
        <v>660645</v>
      </c>
      <c r="BQ84" s="3">
        <v>10030.25</v>
      </c>
      <c r="BR84" s="3">
        <v>7.17E-2</v>
      </c>
      <c r="BS84" s="2"/>
      <c r="CC84" s="2">
        <v>46197</v>
      </c>
      <c r="CD84" s="3" t="s">
        <v>320</v>
      </c>
      <c r="CE84" s="3" t="s">
        <v>321</v>
      </c>
      <c r="CF84" s="3" t="s">
        <v>322</v>
      </c>
      <c r="CG84" s="3">
        <v>0</v>
      </c>
      <c r="CH84" s="3">
        <v>0.32</v>
      </c>
      <c r="CI84" s="3">
        <v>0</v>
      </c>
      <c r="CJ84" s="3">
        <v>468882</v>
      </c>
      <c r="CK84" s="3">
        <v>9986.57</v>
      </c>
      <c r="CL84" s="3">
        <v>2.4218999999999999</v>
      </c>
      <c r="CM84" s="2"/>
      <c r="CW84" s="2">
        <v>46197</v>
      </c>
      <c r="CX84" s="3" t="s">
        <v>1376</v>
      </c>
      <c r="CY84" s="3" t="s">
        <v>1377</v>
      </c>
      <c r="CZ84" s="3" t="s">
        <v>1378</v>
      </c>
      <c r="DA84" s="3">
        <v>0</v>
      </c>
      <c r="DB84" s="3">
        <v>0.53</v>
      </c>
      <c r="DC84" s="3">
        <v>0</v>
      </c>
      <c r="DD84" s="3">
        <v>1246672</v>
      </c>
      <c r="DE84" s="3">
        <v>10017.700000000001</v>
      </c>
      <c r="DF84" s="3">
        <v>0.77210000000000001</v>
      </c>
    </row>
    <row r="85" spans="1:110" ht="13.5" customHeight="1" x14ac:dyDescent="0.3">
      <c r="A85" s="2">
        <v>46197</v>
      </c>
      <c r="B85" s="3" t="s">
        <v>884</v>
      </c>
      <c r="C85" s="3" t="s">
        <v>457</v>
      </c>
      <c r="D85" s="3" t="s">
        <v>885</v>
      </c>
      <c r="E85" s="3">
        <v>0</v>
      </c>
      <c r="F85" s="3">
        <v>0.24</v>
      </c>
      <c r="G85" s="3">
        <v>0</v>
      </c>
      <c r="H85" s="3">
        <v>267943</v>
      </c>
      <c r="I85" s="3">
        <v>10098.299999999999</v>
      </c>
      <c r="J85" s="3">
        <v>2.53E-2</v>
      </c>
      <c r="K85" s="2"/>
      <c r="U85" s="2"/>
      <c r="AE85" s="2"/>
      <c r="AO85" s="2"/>
      <c r="AY85" s="2">
        <v>46197</v>
      </c>
      <c r="AZ85" s="3" t="s">
        <v>540</v>
      </c>
      <c r="BA85" s="3" t="s">
        <v>541</v>
      </c>
      <c r="BB85" s="3" t="s">
        <v>542</v>
      </c>
      <c r="BC85" s="3">
        <v>0</v>
      </c>
      <c r="BD85" s="3">
        <v>0.43</v>
      </c>
      <c r="BE85" s="3">
        <v>0</v>
      </c>
      <c r="BF85" s="3">
        <v>547104</v>
      </c>
      <c r="BG85" s="3">
        <v>10161.33</v>
      </c>
      <c r="BH85" s="3">
        <v>1.4581999999999999</v>
      </c>
      <c r="BI85" s="2">
        <v>46197</v>
      </c>
      <c r="BJ85" s="3" t="s">
        <v>1146</v>
      </c>
      <c r="BK85" s="3" t="s">
        <v>955</v>
      </c>
      <c r="BL85" s="3" t="s">
        <v>1147</v>
      </c>
      <c r="BM85" s="3">
        <v>0</v>
      </c>
      <c r="BN85" s="3">
        <v>0.5</v>
      </c>
      <c r="BO85" s="3">
        <v>0</v>
      </c>
      <c r="BP85" s="3">
        <v>651926</v>
      </c>
      <c r="BS85" s="2"/>
      <c r="CC85" s="2">
        <v>46197</v>
      </c>
      <c r="CD85" s="3" t="s">
        <v>323</v>
      </c>
      <c r="CE85" s="3" t="s">
        <v>324</v>
      </c>
      <c r="CF85" s="3" t="s">
        <v>325</v>
      </c>
      <c r="CG85" s="3">
        <v>0</v>
      </c>
      <c r="CH85" s="3">
        <v>0.32</v>
      </c>
      <c r="CI85" s="3">
        <v>0</v>
      </c>
      <c r="CJ85" s="3">
        <v>468795</v>
      </c>
      <c r="CK85" s="3">
        <v>9984.19</v>
      </c>
      <c r="CL85" s="3">
        <v>1.2653000000000001</v>
      </c>
      <c r="CM85" s="2"/>
      <c r="CW85" s="2">
        <v>46197</v>
      </c>
      <c r="CX85" s="3" t="s">
        <v>1379</v>
      </c>
      <c r="CY85" s="3" t="s">
        <v>182</v>
      </c>
      <c r="CZ85" s="3" t="s">
        <v>1380</v>
      </c>
      <c r="DA85" s="3">
        <v>0</v>
      </c>
      <c r="DB85" s="3">
        <v>0.45</v>
      </c>
      <c r="DC85" s="3">
        <v>0</v>
      </c>
      <c r="DD85" s="3">
        <v>1047716</v>
      </c>
      <c r="DE85" s="3">
        <v>10102.26</v>
      </c>
      <c r="DF85" s="3">
        <v>0.85260000000000002</v>
      </c>
    </row>
    <row r="86" spans="1:110" ht="13.5" customHeight="1" x14ac:dyDescent="0.3">
      <c r="A86" s="2">
        <v>46197</v>
      </c>
      <c r="B86" s="3" t="s">
        <v>886</v>
      </c>
      <c r="C86" s="3" t="s">
        <v>882</v>
      </c>
      <c r="D86" s="3" t="s">
        <v>887</v>
      </c>
      <c r="E86" s="3">
        <v>0</v>
      </c>
      <c r="F86" s="3">
        <v>0.24</v>
      </c>
      <c r="G86" s="3">
        <v>0</v>
      </c>
      <c r="H86" s="3">
        <v>267803</v>
      </c>
      <c r="I86" s="3">
        <v>10092.91</v>
      </c>
      <c r="J86" s="3">
        <v>0.54830000000000001</v>
      </c>
      <c r="K86" s="2"/>
      <c r="U86" s="2"/>
      <c r="AE86" s="2"/>
      <c r="AO86" s="2"/>
      <c r="AY86" s="2">
        <v>46197</v>
      </c>
      <c r="AZ86" s="3" t="s">
        <v>543</v>
      </c>
      <c r="BA86" s="3" t="s">
        <v>544</v>
      </c>
      <c r="BB86" s="3" t="s">
        <v>545</v>
      </c>
      <c r="BC86" s="3">
        <v>0</v>
      </c>
      <c r="BD86" s="3">
        <v>0.43</v>
      </c>
      <c r="BE86" s="3">
        <v>0</v>
      </c>
      <c r="BF86" s="3">
        <v>540263</v>
      </c>
      <c r="BG86" s="3">
        <v>10034.33</v>
      </c>
      <c r="BH86" s="3">
        <v>1.5087999999999999</v>
      </c>
      <c r="BI86" s="2">
        <v>46197</v>
      </c>
      <c r="BJ86" s="3" t="s">
        <v>1148</v>
      </c>
      <c r="BK86" s="3" t="s">
        <v>379</v>
      </c>
      <c r="BL86" s="3" t="s">
        <v>1149</v>
      </c>
      <c r="BM86" s="3">
        <v>0</v>
      </c>
      <c r="BN86" s="3">
        <v>0.37</v>
      </c>
      <c r="BO86" s="3">
        <v>0</v>
      </c>
      <c r="BP86" s="3">
        <v>487298</v>
      </c>
      <c r="BQ86" s="3">
        <v>10127.07</v>
      </c>
      <c r="BR86" s="3">
        <v>0.54869999999999997</v>
      </c>
      <c r="BS86" s="2"/>
      <c r="CC86" s="2">
        <v>46197</v>
      </c>
      <c r="CD86" s="3" t="s">
        <v>326</v>
      </c>
      <c r="CE86" s="3" t="s">
        <v>327</v>
      </c>
      <c r="CF86" s="3" t="s">
        <v>328</v>
      </c>
      <c r="CG86" s="3">
        <v>0</v>
      </c>
      <c r="CH86" s="3">
        <v>0.32</v>
      </c>
      <c r="CI86" s="3">
        <v>0</v>
      </c>
      <c r="CJ86" s="3">
        <v>468607</v>
      </c>
      <c r="CK86" s="3">
        <v>9980.2099999999991</v>
      </c>
      <c r="CL86" s="3">
        <v>1.8329</v>
      </c>
      <c r="CM86" s="2"/>
      <c r="CW86" s="2">
        <v>46197</v>
      </c>
      <c r="CX86" s="3" t="s">
        <v>1381</v>
      </c>
      <c r="CY86" s="3" t="s">
        <v>709</v>
      </c>
      <c r="CZ86" s="3" t="s">
        <v>1382</v>
      </c>
      <c r="DA86" s="3">
        <v>0</v>
      </c>
      <c r="DB86" s="3">
        <v>0.44</v>
      </c>
      <c r="DC86" s="3">
        <v>0</v>
      </c>
      <c r="DD86" s="3">
        <v>1035576</v>
      </c>
    </row>
    <row r="87" spans="1:110" ht="13.5" customHeight="1" x14ac:dyDescent="0.3">
      <c r="A87" s="2">
        <v>46197</v>
      </c>
      <c r="B87" s="3" t="s">
        <v>401</v>
      </c>
      <c r="C87" s="3" t="s">
        <v>56</v>
      </c>
      <c r="D87" s="3" t="s">
        <v>402</v>
      </c>
      <c r="E87" s="3">
        <v>0</v>
      </c>
      <c r="F87" s="3">
        <v>0.24</v>
      </c>
      <c r="G87" s="3">
        <v>0</v>
      </c>
      <c r="H87" s="3">
        <v>267647</v>
      </c>
      <c r="I87" s="3">
        <v>10087.11</v>
      </c>
      <c r="J87" s="3">
        <v>8.0543999999999993</v>
      </c>
      <c r="K87" s="2"/>
      <c r="U87" s="2"/>
      <c r="AE87" s="2"/>
      <c r="AO87" s="2"/>
      <c r="AY87" s="2">
        <v>46197</v>
      </c>
      <c r="AZ87" s="3" t="s">
        <v>546</v>
      </c>
      <c r="BA87" s="3" t="s">
        <v>547</v>
      </c>
      <c r="BB87" s="3" t="s">
        <v>548</v>
      </c>
      <c r="BC87" s="3">
        <v>0</v>
      </c>
      <c r="BD87" s="3">
        <v>0.42</v>
      </c>
      <c r="BE87" s="3">
        <v>0</v>
      </c>
      <c r="BF87" s="3">
        <v>531975</v>
      </c>
      <c r="BG87" s="3">
        <v>9222.9</v>
      </c>
      <c r="BH87" s="3">
        <v>4.8642000000000003</v>
      </c>
      <c r="BI87" s="2">
        <v>46197</v>
      </c>
      <c r="BJ87" s="3" t="s">
        <v>1150</v>
      </c>
      <c r="BK87" s="3" t="s">
        <v>1151</v>
      </c>
      <c r="BL87" s="3" t="s">
        <v>1152</v>
      </c>
      <c r="BM87" s="3">
        <v>0</v>
      </c>
      <c r="BN87" s="3">
        <v>0.37</v>
      </c>
      <c r="BO87" s="3">
        <v>0</v>
      </c>
      <c r="BP87" s="3">
        <v>485443</v>
      </c>
      <c r="BQ87" s="3">
        <v>10088.959999999999</v>
      </c>
      <c r="BR87" s="3">
        <v>1.9900000000000001E-2</v>
      </c>
      <c r="BS87" s="2"/>
      <c r="CC87" s="2">
        <v>46197</v>
      </c>
      <c r="CD87" s="3" t="s">
        <v>329</v>
      </c>
      <c r="CE87" s="3" t="s">
        <v>330</v>
      </c>
      <c r="CF87" s="3" t="s">
        <v>331</v>
      </c>
      <c r="CG87" s="3">
        <v>0</v>
      </c>
      <c r="CH87" s="3">
        <v>0.32</v>
      </c>
      <c r="CI87" s="3">
        <v>0</v>
      </c>
      <c r="CJ87" s="3">
        <v>468416</v>
      </c>
      <c r="CK87" s="3">
        <v>9976.6200000000008</v>
      </c>
      <c r="CL87" s="3">
        <v>0.96030000000000004</v>
      </c>
      <c r="CM87" s="2"/>
      <c r="CW87" s="2">
        <v>46197</v>
      </c>
      <c r="CX87" s="3" t="s">
        <v>1383</v>
      </c>
      <c r="CY87" s="3" t="s">
        <v>248</v>
      </c>
      <c r="CZ87" s="3" t="s">
        <v>1384</v>
      </c>
      <c r="DA87" s="3">
        <v>0</v>
      </c>
      <c r="DB87" s="3">
        <v>0.44</v>
      </c>
      <c r="DC87" s="3">
        <v>0</v>
      </c>
      <c r="DD87" s="3">
        <v>1034674</v>
      </c>
      <c r="DE87" s="3">
        <v>9976.6299999999992</v>
      </c>
      <c r="DF87" s="3">
        <v>0.86670000000000003</v>
      </c>
    </row>
    <row r="88" spans="1:110" ht="13.5" customHeight="1" x14ac:dyDescent="0.3">
      <c r="A88" s="2">
        <v>46197</v>
      </c>
      <c r="B88" s="3" t="s">
        <v>888</v>
      </c>
      <c r="C88" s="3" t="s">
        <v>92</v>
      </c>
      <c r="D88" s="3" t="s">
        <v>889</v>
      </c>
      <c r="E88" s="3">
        <v>0</v>
      </c>
      <c r="F88" s="3">
        <v>0.24</v>
      </c>
      <c r="G88" s="3">
        <v>0</v>
      </c>
      <c r="H88" s="3">
        <v>267604</v>
      </c>
      <c r="I88" s="3">
        <v>10085.620000000001</v>
      </c>
      <c r="J88" s="3">
        <v>2.2606000000000002</v>
      </c>
      <c r="K88" s="2"/>
      <c r="U88" s="2"/>
      <c r="AE88" s="2"/>
      <c r="AO88" s="2"/>
      <c r="AY88" s="2">
        <v>46197</v>
      </c>
      <c r="AZ88" s="3" t="s">
        <v>549</v>
      </c>
      <c r="BA88" s="3" t="s">
        <v>550</v>
      </c>
      <c r="BB88" s="3" t="s">
        <v>551</v>
      </c>
      <c r="BC88" s="3">
        <v>0</v>
      </c>
      <c r="BD88" s="3">
        <v>0.4</v>
      </c>
      <c r="BE88" s="3">
        <v>0</v>
      </c>
      <c r="BF88" s="3">
        <v>505303</v>
      </c>
      <c r="BG88" s="3">
        <v>9388.25</v>
      </c>
      <c r="BH88" s="3">
        <v>7.9080000000000004</v>
      </c>
      <c r="BI88" s="2">
        <v>46197</v>
      </c>
      <c r="BJ88" s="3" t="s">
        <v>1153</v>
      </c>
      <c r="BK88" s="3" t="s">
        <v>1154</v>
      </c>
      <c r="BL88" s="3" t="s">
        <v>1155</v>
      </c>
      <c r="BM88" s="3">
        <v>0</v>
      </c>
      <c r="BN88" s="3">
        <v>0.37</v>
      </c>
      <c r="BO88" s="3">
        <v>0</v>
      </c>
      <c r="BP88" s="3">
        <v>484412</v>
      </c>
      <c r="BQ88" s="3">
        <v>10067.41</v>
      </c>
      <c r="BR88" s="3">
        <v>0.17660000000000001</v>
      </c>
      <c r="BS88" s="2"/>
      <c r="CC88" s="2">
        <v>46197</v>
      </c>
      <c r="CD88" s="3" t="s">
        <v>332</v>
      </c>
      <c r="CE88" s="3" t="s">
        <v>333</v>
      </c>
      <c r="CF88" s="3" t="s">
        <v>334</v>
      </c>
      <c r="CG88" s="3">
        <v>0</v>
      </c>
      <c r="CH88" s="3">
        <v>0.32</v>
      </c>
      <c r="CI88" s="3">
        <v>0</v>
      </c>
      <c r="CJ88" s="3">
        <v>468198</v>
      </c>
      <c r="CK88" s="3">
        <v>9972.0499999999993</v>
      </c>
      <c r="CL88" s="3">
        <v>4.4485999999999999</v>
      </c>
      <c r="CM88" s="2"/>
      <c r="CW88" s="2">
        <v>46197</v>
      </c>
      <c r="CX88" s="3" t="s">
        <v>1385</v>
      </c>
      <c r="CY88" s="3" t="s">
        <v>709</v>
      </c>
      <c r="CZ88" s="3" t="s">
        <v>1386</v>
      </c>
      <c r="DA88" s="3">
        <v>0</v>
      </c>
      <c r="DB88" s="3">
        <v>0.44</v>
      </c>
      <c r="DC88" s="3">
        <v>0</v>
      </c>
      <c r="DD88" s="3">
        <v>1021848</v>
      </c>
    </row>
    <row r="89" spans="1:110" ht="13.5" customHeight="1" x14ac:dyDescent="0.3">
      <c r="A89" s="2">
        <v>46197</v>
      </c>
      <c r="B89" s="3" t="s">
        <v>890</v>
      </c>
      <c r="C89" s="3" t="s">
        <v>891</v>
      </c>
      <c r="D89" s="3" t="s">
        <v>892</v>
      </c>
      <c r="E89" s="3">
        <v>0</v>
      </c>
      <c r="F89" s="3">
        <v>0.24</v>
      </c>
      <c r="G89" s="3">
        <v>0</v>
      </c>
      <c r="H89" s="3">
        <v>267599</v>
      </c>
      <c r="I89" s="3">
        <v>10085.15</v>
      </c>
      <c r="J89" s="3">
        <v>0.57269999999999999</v>
      </c>
      <c r="K89" s="2"/>
      <c r="U89" s="2"/>
      <c r="AE89" s="2"/>
      <c r="AO89" s="2"/>
      <c r="AY89" s="2">
        <v>46197</v>
      </c>
      <c r="AZ89" s="3" t="s">
        <v>552</v>
      </c>
      <c r="BA89" s="3" t="s">
        <v>553</v>
      </c>
      <c r="BB89" s="3" t="s">
        <v>554</v>
      </c>
      <c r="BC89" s="3">
        <v>0</v>
      </c>
      <c r="BD89" s="3">
        <v>0.39</v>
      </c>
      <c r="BE89" s="3">
        <v>0</v>
      </c>
      <c r="BF89" s="3">
        <v>495468</v>
      </c>
      <c r="BG89" s="3">
        <v>9196.35</v>
      </c>
      <c r="BH89" s="3">
        <v>3.4885000000000002</v>
      </c>
      <c r="BI89" s="2">
        <v>46197</v>
      </c>
      <c r="BJ89" s="3" t="s">
        <v>1156</v>
      </c>
      <c r="BK89" s="3" t="s">
        <v>343</v>
      </c>
      <c r="BL89" s="3" t="s">
        <v>1157</v>
      </c>
      <c r="BM89" s="3">
        <v>0</v>
      </c>
      <c r="BN89" s="3">
        <v>0.37</v>
      </c>
      <c r="BO89" s="3">
        <v>0</v>
      </c>
      <c r="BP89" s="3">
        <v>481598</v>
      </c>
      <c r="BQ89" s="3">
        <v>10009.02</v>
      </c>
      <c r="BR89" s="3">
        <v>0.21560000000000001</v>
      </c>
      <c r="BS89" s="2"/>
      <c r="CC89" s="2">
        <v>46197</v>
      </c>
      <c r="CD89" s="3" t="s">
        <v>335</v>
      </c>
      <c r="CE89" s="3" t="s">
        <v>312</v>
      </c>
      <c r="CF89" s="3" t="s">
        <v>336</v>
      </c>
      <c r="CG89" s="3">
        <v>0</v>
      </c>
      <c r="CH89" s="3">
        <v>0.32</v>
      </c>
      <c r="CI89" s="3">
        <v>0</v>
      </c>
      <c r="CJ89" s="3">
        <v>467843</v>
      </c>
      <c r="CK89" s="3">
        <v>9964.8799999999992</v>
      </c>
      <c r="CL89" s="3">
        <v>2.3332999999999999</v>
      </c>
      <c r="CM89" s="2"/>
      <c r="CW89" s="2">
        <v>46197</v>
      </c>
      <c r="CX89" s="3" t="s">
        <v>1387</v>
      </c>
      <c r="CY89" s="3" t="s">
        <v>709</v>
      </c>
      <c r="CZ89" s="3" t="s">
        <v>1388</v>
      </c>
      <c r="DA89" s="3">
        <v>0</v>
      </c>
      <c r="DB89" s="3">
        <v>0.44</v>
      </c>
      <c r="DC89" s="3">
        <v>0</v>
      </c>
      <c r="DD89" s="3">
        <v>1021848</v>
      </c>
    </row>
    <row r="90" spans="1:110" ht="13.5" customHeight="1" x14ac:dyDescent="0.3">
      <c r="A90" s="2">
        <v>46197</v>
      </c>
      <c r="B90" s="3" t="s">
        <v>893</v>
      </c>
      <c r="C90" s="3" t="s">
        <v>894</v>
      </c>
      <c r="D90" s="3" t="s">
        <v>895</v>
      </c>
      <c r="E90" s="3">
        <v>0</v>
      </c>
      <c r="F90" s="3">
        <v>0.24</v>
      </c>
      <c r="G90" s="3">
        <v>0</v>
      </c>
      <c r="H90" s="3">
        <v>267595</v>
      </c>
      <c r="I90" s="3">
        <v>10086.969999999999</v>
      </c>
      <c r="J90" s="3">
        <v>4.9573</v>
      </c>
      <c r="K90" s="2"/>
      <c r="U90" s="2"/>
      <c r="AE90" s="2"/>
      <c r="AO90" s="2"/>
      <c r="AY90" s="2">
        <v>46197</v>
      </c>
      <c r="AZ90" s="3" t="s">
        <v>555</v>
      </c>
      <c r="BA90" s="3" t="s">
        <v>73</v>
      </c>
      <c r="BB90" s="3" t="s">
        <v>556</v>
      </c>
      <c r="BC90" s="3">
        <v>0</v>
      </c>
      <c r="BD90" s="3">
        <v>0.39</v>
      </c>
      <c r="BE90" s="3">
        <v>0</v>
      </c>
      <c r="BF90" s="3">
        <v>485393</v>
      </c>
      <c r="BG90" s="3">
        <v>9800.43</v>
      </c>
      <c r="BH90" s="3">
        <v>2.5937999999999999</v>
      </c>
      <c r="BI90" s="2">
        <v>46197</v>
      </c>
      <c r="BJ90" s="3" t="s">
        <v>1158</v>
      </c>
      <c r="BK90" s="3" t="s">
        <v>572</v>
      </c>
      <c r="BL90" s="3" t="s">
        <v>573</v>
      </c>
      <c r="BM90" s="3">
        <v>0</v>
      </c>
      <c r="BN90" s="3">
        <v>0.35</v>
      </c>
      <c r="BO90" s="3">
        <v>0</v>
      </c>
      <c r="BP90" s="3">
        <v>462264</v>
      </c>
      <c r="BS90" s="2"/>
      <c r="CC90" s="2">
        <v>46197</v>
      </c>
      <c r="CD90" s="3" t="s">
        <v>337</v>
      </c>
      <c r="CE90" s="3" t="s">
        <v>176</v>
      </c>
      <c r="CF90" s="3" t="s">
        <v>338</v>
      </c>
      <c r="CG90" s="3">
        <v>0</v>
      </c>
      <c r="CH90" s="3">
        <v>0.32</v>
      </c>
      <c r="CI90" s="3">
        <v>0</v>
      </c>
      <c r="CJ90" s="3">
        <v>467831</v>
      </c>
      <c r="CK90" s="3">
        <v>9964.14</v>
      </c>
      <c r="CL90" s="3">
        <v>1.3202</v>
      </c>
      <c r="CM90" s="2"/>
      <c r="CW90" s="2">
        <v>46197</v>
      </c>
      <c r="CX90" s="3" t="s">
        <v>7</v>
      </c>
      <c r="CY90" s="3" t="s">
        <v>7</v>
      </c>
      <c r="CZ90" s="3" t="s">
        <v>46</v>
      </c>
      <c r="DB90" s="3">
        <v>20.99</v>
      </c>
      <c r="DD90" s="3">
        <v>-48951979</v>
      </c>
    </row>
    <row r="91" spans="1:110" ht="13.5" customHeight="1" x14ac:dyDescent="0.3">
      <c r="A91" s="2">
        <v>46197</v>
      </c>
      <c r="B91" s="3" t="s">
        <v>896</v>
      </c>
      <c r="C91" s="3" t="s">
        <v>547</v>
      </c>
      <c r="D91" s="3" t="s">
        <v>897</v>
      </c>
      <c r="E91" s="3">
        <v>0</v>
      </c>
      <c r="F91" s="3">
        <v>0.24</v>
      </c>
      <c r="G91" s="3">
        <v>0</v>
      </c>
      <c r="H91" s="3">
        <v>267578</v>
      </c>
      <c r="I91" s="3">
        <v>10084.549999999999</v>
      </c>
      <c r="J91" s="3">
        <v>4.1599999999999998E-2</v>
      </c>
      <c r="K91" s="2"/>
      <c r="U91" s="2"/>
      <c r="AE91" s="2"/>
      <c r="AO91" s="2"/>
      <c r="AY91" s="2">
        <v>46197</v>
      </c>
      <c r="AZ91" s="3" t="s">
        <v>557</v>
      </c>
      <c r="BA91" s="3" t="s">
        <v>558</v>
      </c>
      <c r="BB91" s="3" t="s">
        <v>559</v>
      </c>
      <c r="BC91" s="3">
        <v>0</v>
      </c>
      <c r="BD91" s="3">
        <v>0.38</v>
      </c>
      <c r="BE91" s="3">
        <v>0</v>
      </c>
      <c r="BF91" s="3">
        <v>479165</v>
      </c>
      <c r="BG91" s="3">
        <v>10054.89</v>
      </c>
      <c r="BH91" s="3">
        <v>0.51549999999999996</v>
      </c>
      <c r="BI91" s="2">
        <v>46197</v>
      </c>
      <c r="BJ91" s="3" t="s">
        <v>1159</v>
      </c>
      <c r="BK91" s="3" t="s">
        <v>572</v>
      </c>
      <c r="BL91" s="3" t="s">
        <v>573</v>
      </c>
      <c r="BM91" s="3">
        <v>0</v>
      </c>
      <c r="BN91" s="3">
        <v>0.35</v>
      </c>
      <c r="BO91" s="3">
        <v>0</v>
      </c>
      <c r="BP91" s="3">
        <v>462264</v>
      </c>
      <c r="BS91" s="2"/>
      <c r="CC91" s="2">
        <v>46197</v>
      </c>
      <c r="CD91" s="3" t="s">
        <v>339</v>
      </c>
      <c r="CE91" s="3" t="s">
        <v>340</v>
      </c>
      <c r="CF91" s="3" t="s">
        <v>341</v>
      </c>
      <c r="CG91" s="3">
        <v>0</v>
      </c>
      <c r="CH91" s="3">
        <v>0.32</v>
      </c>
      <c r="CI91" s="3">
        <v>0</v>
      </c>
      <c r="CJ91" s="3">
        <v>467745</v>
      </c>
      <c r="CK91" s="3">
        <v>9962.1200000000008</v>
      </c>
      <c r="CL91" s="3">
        <v>1.623</v>
      </c>
      <c r="CM91" s="2"/>
      <c r="CW91" s="2"/>
    </row>
    <row r="92" spans="1:110" ht="13.5" customHeight="1" x14ac:dyDescent="0.3">
      <c r="A92" s="2">
        <v>46197</v>
      </c>
      <c r="B92" s="3" t="s">
        <v>898</v>
      </c>
      <c r="C92" s="3" t="s">
        <v>899</v>
      </c>
      <c r="D92" s="3" t="s">
        <v>900</v>
      </c>
      <c r="E92" s="3">
        <v>0</v>
      </c>
      <c r="F92" s="3">
        <v>0.24</v>
      </c>
      <c r="G92" s="3">
        <v>0</v>
      </c>
      <c r="H92" s="3">
        <v>267577</v>
      </c>
      <c r="I92" s="3">
        <v>10084.08</v>
      </c>
      <c r="J92" s="3">
        <v>1.571</v>
      </c>
      <c r="K92" s="2"/>
      <c r="U92" s="2"/>
      <c r="AE92" s="2"/>
      <c r="AO92" s="2"/>
      <c r="AY92" s="2">
        <v>46197</v>
      </c>
      <c r="AZ92" s="3" t="s">
        <v>560</v>
      </c>
      <c r="BA92" s="3" t="s">
        <v>50</v>
      </c>
      <c r="BB92" s="3" t="s">
        <v>561</v>
      </c>
      <c r="BC92" s="3">
        <v>0</v>
      </c>
      <c r="BD92" s="3">
        <v>0.36</v>
      </c>
      <c r="BE92" s="3">
        <v>0</v>
      </c>
      <c r="BF92" s="3">
        <v>458712</v>
      </c>
      <c r="BG92" s="3">
        <v>9939.5300000000007</v>
      </c>
      <c r="BH92" s="3">
        <v>2.7844000000000002</v>
      </c>
      <c r="BI92" s="2">
        <v>46197</v>
      </c>
      <c r="BJ92" s="3" t="s">
        <v>1160</v>
      </c>
      <c r="BK92" s="3" t="s">
        <v>572</v>
      </c>
      <c r="BL92" s="3" t="s">
        <v>573</v>
      </c>
      <c r="BM92" s="3">
        <v>0</v>
      </c>
      <c r="BN92" s="3">
        <v>0.35</v>
      </c>
      <c r="BO92" s="3">
        <v>0</v>
      </c>
      <c r="BP92" s="3">
        <v>462264</v>
      </c>
      <c r="BS92" s="2"/>
      <c r="CC92" s="2">
        <v>46197</v>
      </c>
      <c r="CD92" s="3" t="s">
        <v>342</v>
      </c>
      <c r="CE92" s="3" t="s">
        <v>343</v>
      </c>
      <c r="CF92" s="3" t="s">
        <v>344</v>
      </c>
      <c r="CG92" s="3">
        <v>0</v>
      </c>
      <c r="CH92" s="3">
        <v>0.32</v>
      </c>
      <c r="CI92" s="3">
        <v>0</v>
      </c>
      <c r="CJ92" s="3">
        <v>467739</v>
      </c>
      <c r="CK92" s="3">
        <v>9961.8799999999992</v>
      </c>
      <c r="CL92" s="3">
        <v>1.18</v>
      </c>
      <c r="CM92" s="2"/>
      <c r="CW92" s="2"/>
    </row>
    <row r="93" spans="1:110" ht="13.5" customHeight="1" x14ac:dyDescent="0.3">
      <c r="A93" s="2">
        <v>46197</v>
      </c>
      <c r="B93" s="3" t="s">
        <v>901</v>
      </c>
      <c r="C93" s="3" t="s">
        <v>902</v>
      </c>
      <c r="D93" s="3" t="s">
        <v>903</v>
      </c>
      <c r="E93" s="3">
        <v>0</v>
      </c>
      <c r="F93" s="3">
        <v>0.24</v>
      </c>
      <c r="G93" s="3">
        <v>0</v>
      </c>
      <c r="H93" s="3">
        <v>267447</v>
      </c>
      <c r="I93" s="3">
        <v>10079.74</v>
      </c>
      <c r="J93" s="3">
        <v>0.80979999999999996</v>
      </c>
      <c r="K93" s="2"/>
      <c r="U93" s="2"/>
      <c r="AE93" s="2"/>
      <c r="AO93" s="2"/>
      <c r="AY93" s="2">
        <v>46197</v>
      </c>
      <c r="AZ93" s="3" t="s">
        <v>562</v>
      </c>
      <c r="BA93" s="3" t="s">
        <v>563</v>
      </c>
      <c r="BB93" s="3" t="s">
        <v>564</v>
      </c>
      <c r="BC93" s="3">
        <v>0</v>
      </c>
      <c r="BD93" s="3">
        <v>0.36</v>
      </c>
      <c r="BE93" s="3">
        <v>0</v>
      </c>
      <c r="BF93" s="3">
        <v>453846</v>
      </c>
      <c r="BG93" s="3">
        <v>8428.86</v>
      </c>
      <c r="BH93" s="3">
        <v>16.948699999999999</v>
      </c>
      <c r="BI93" s="2">
        <v>46197</v>
      </c>
      <c r="BJ93" s="3" t="s">
        <v>1164</v>
      </c>
      <c r="BK93" s="3" t="s">
        <v>1162</v>
      </c>
      <c r="BL93" s="3" t="s">
        <v>1163</v>
      </c>
      <c r="BM93" s="3">
        <v>0</v>
      </c>
      <c r="BN93" s="3">
        <v>0.35</v>
      </c>
      <c r="BO93" s="3">
        <v>0</v>
      </c>
      <c r="BP93" s="3">
        <v>462236</v>
      </c>
      <c r="BS93" s="2"/>
      <c r="CC93" s="2">
        <v>46197</v>
      </c>
      <c r="CD93" s="3" t="s">
        <v>345</v>
      </c>
      <c r="CE93" s="3" t="s">
        <v>346</v>
      </c>
      <c r="CF93" s="3" t="s">
        <v>347</v>
      </c>
      <c r="CG93" s="3">
        <v>0</v>
      </c>
      <c r="CH93" s="3">
        <v>0.32</v>
      </c>
      <c r="CI93" s="3">
        <v>0</v>
      </c>
      <c r="CJ93" s="3">
        <v>467390</v>
      </c>
      <c r="CK93" s="3">
        <v>9955.2199999999993</v>
      </c>
      <c r="CL93" s="3">
        <v>0.83679999999999999</v>
      </c>
      <c r="CM93" s="2"/>
      <c r="CW93" s="2"/>
    </row>
    <row r="94" spans="1:110" ht="13.5" customHeight="1" x14ac:dyDescent="0.3">
      <c r="A94" s="2">
        <v>46197</v>
      </c>
      <c r="B94" s="3" t="s">
        <v>904</v>
      </c>
      <c r="C94" s="3" t="s">
        <v>905</v>
      </c>
      <c r="D94" s="3" t="s">
        <v>906</v>
      </c>
      <c r="E94" s="3">
        <v>0</v>
      </c>
      <c r="F94" s="3">
        <v>0.24</v>
      </c>
      <c r="G94" s="3">
        <v>0</v>
      </c>
      <c r="H94" s="3">
        <v>267342</v>
      </c>
      <c r="I94" s="3">
        <v>10074.74</v>
      </c>
      <c r="J94" s="3">
        <v>1.5909</v>
      </c>
      <c r="K94" s="2"/>
      <c r="U94" s="2"/>
      <c r="AE94" s="2"/>
      <c r="AO94" s="2"/>
      <c r="AY94" s="2">
        <v>46197</v>
      </c>
      <c r="AZ94" s="3" t="s">
        <v>565</v>
      </c>
      <c r="BA94" s="3" t="s">
        <v>566</v>
      </c>
      <c r="BB94" s="3" t="s">
        <v>567</v>
      </c>
      <c r="BC94" s="3">
        <v>0</v>
      </c>
      <c r="BD94" s="3">
        <v>0.35</v>
      </c>
      <c r="BE94" s="3">
        <v>0</v>
      </c>
      <c r="BF94" s="3">
        <v>438919</v>
      </c>
      <c r="BG94" s="3">
        <v>9509.31</v>
      </c>
      <c r="BH94" s="3">
        <v>4.0163000000000002</v>
      </c>
      <c r="BI94" s="2">
        <v>46197</v>
      </c>
      <c r="BJ94" s="3" t="s">
        <v>1161</v>
      </c>
      <c r="BK94" s="3" t="s">
        <v>1162</v>
      </c>
      <c r="BL94" s="3" t="s">
        <v>1163</v>
      </c>
      <c r="BM94" s="3">
        <v>0</v>
      </c>
      <c r="BN94" s="3">
        <v>0.35</v>
      </c>
      <c r="BO94" s="3">
        <v>0</v>
      </c>
      <c r="BP94" s="3">
        <v>462236</v>
      </c>
      <c r="BS94" s="2"/>
      <c r="CC94" s="2">
        <v>46197</v>
      </c>
      <c r="CD94" s="3" t="s">
        <v>348</v>
      </c>
      <c r="CE94" s="3" t="s">
        <v>263</v>
      </c>
      <c r="CF94" s="3" t="s">
        <v>349</v>
      </c>
      <c r="CG94" s="3">
        <v>0</v>
      </c>
      <c r="CH94" s="3">
        <v>0.32</v>
      </c>
      <c r="CI94" s="3">
        <v>0</v>
      </c>
      <c r="CJ94" s="3">
        <v>467357</v>
      </c>
      <c r="CK94" s="3">
        <v>9954.5499999999993</v>
      </c>
      <c r="CL94" s="3">
        <v>0.97850000000000004</v>
      </c>
      <c r="CM94" s="2"/>
      <c r="CW94" s="2"/>
    </row>
    <row r="95" spans="1:110" ht="13.5" customHeight="1" x14ac:dyDescent="0.3">
      <c r="A95" s="2">
        <v>46197</v>
      </c>
      <c r="B95" s="3" t="s">
        <v>907</v>
      </c>
      <c r="C95" s="3" t="s">
        <v>558</v>
      </c>
      <c r="D95" s="3" t="s">
        <v>908</v>
      </c>
      <c r="E95" s="3">
        <v>0</v>
      </c>
      <c r="F95" s="3">
        <v>0.24</v>
      </c>
      <c r="G95" s="3">
        <v>0</v>
      </c>
      <c r="H95" s="3">
        <v>267065</v>
      </c>
      <c r="I95" s="3">
        <v>10065.24</v>
      </c>
      <c r="J95" s="3">
        <v>0.26989999999999997</v>
      </c>
      <c r="K95" s="2"/>
      <c r="U95" s="2"/>
      <c r="AE95" s="2"/>
      <c r="AO95" s="2"/>
      <c r="AY95" s="2">
        <v>46197</v>
      </c>
      <c r="AZ95" s="3" t="s">
        <v>133</v>
      </c>
      <c r="BA95" s="3" t="s">
        <v>50</v>
      </c>
      <c r="BB95" s="3" t="s">
        <v>134</v>
      </c>
      <c r="BC95" s="3">
        <v>0</v>
      </c>
      <c r="BD95" s="3">
        <v>0.32</v>
      </c>
      <c r="BE95" s="3">
        <v>0</v>
      </c>
      <c r="BF95" s="3">
        <v>404019</v>
      </c>
      <c r="BG95" s="3">
        <v>9792.18</v>
      </c>
      <c r="BH95" s="3">
        <v>2.3527</v>
      </c>
      <c r="BI95" s="2">
        <v>46197</v>
      </c>
      <c r="BJ95" s="3" t="s">
        <v>1169</v>
      </c>
      <c r="BK95" s="3" t="s">
        <v>1166</v>
      </c>
      <c r="BL95" s="3" t="s">
        <v>1167</v>
      </c>
      <c r="BM95" s="3">
        <v>0</v>
      </c>
      <c r="BN95" s="3">
        <v>0.35</v>
      </c>
      <c r="BO95" s="3">
        <v>0</v>
      </c>
      <c r="BP95" s="3">
        <v>462171</v>
      </c>
      <c r="BS95" s="2"/>
      <c r="CC95" s="2">
        <v>46197</v>
      </c>
      <c r="CD95" s="3" t="s">
        <v>350</v>
      </c>
      <c r="CE95" s="3" t="s">
        <v>351</v>
      </c>
      <c r="CF95" s="3" t="s">
        <v>352</v>
      </c>
      <c r="CG95" s="3">
        <v>0</v>
      </c>
      <c r="CH95" s="3">
        <v>0.32</v>
      </c>
      <c r="CI95" s="3">
        <v>0</v>
      </c>
      <c r="CJ95" s="3">
        <v>467114</v>
      </c>
      <c r="CM95" s="2"/>
      <c r="CW95" s="2"/>
    </row>
    <row r="96" spans="1:110" ht="13.5" customHeight="1" x14ac:dyDescent="0.3">
      <c r="A96" s="2">
        <v>46197</v>
      </c>
      <c r="B96" s="3" t="s">
        <v>909</v>
      </c>
      <c r="C96" s="3" t="s">
        <v>910</v>
      </c>
      <c r="D96" s="3" t="s">
        <v>911</v>
      </c>
      <c r="E96" s="3">
        <v>0</v>
      </c>
      <c r="F96" s="3">
        <v>0.24</v>
      </c>
      <c r="G96" s="3">
        <v>0</v>
      </c>
      <c r="H96" s="3">
        <v>267005</v>
      </c>
      <c r="I96" s="3">
        <v>10062.86</v>
      </c>
      <c r="J96" s="3">
        <v>0.86209999999999998</v>
      </c>
      <c r="K96" s="2"/>
      <c r="U96" s="2"/>
      <c r="AE96" s="2"/>
      <c r="AO96" s="2"/>
      <c r="AY96" s="2">
        <v>46197</v>
      </c>
      <c r="AZ96" s="3" t="s">
        <v>568</v>
      </c>
      <c r="BA96" s="3" t="s">
        <v>569</v>
      </c>
      <c r="BB96" s="3" t="s">
        <v>570</v>
      </c>
      <c r="BC96" s="3">
        <v>0</v>
      </c>
      <c r="BD96" s="3">
        <v>0.31</v>
      </c>
      <c r="BE96" s="3">
        <v>0</v>
      </c>
      <c r="BF96" s="3">
        <v>387248</v>
      </c>
      <c r="BG96" s="3">
        <v>10069.200000000001</v>
      </c>
      <c r="BH96" s="3">
        <v>3.8614999999999999</v>
      </c>
      <c r="BI96" s="2">
        <v>46197</v>
      </c>
      <c r="BJ96" s="3" t="s">
        <v>1168</v>
      </c>
      <c r="BK96" s="3" t="s">
        <v>1166</v>
      </c>
      <c r="BL96" s="3" t="s">
        <v>1167</v>
      </c>
      <c r="BM96" s="3">
        <v>0</v>
      </c>
      <c r="BN96" s="3">
        <v>0.35</v>
      </c>
      <c r="BO96" s="3">
        <v>0</v>
      </c>
      <c r="BP96" s="3">
        <v>462171</v>
      </c>
      <c r="BS96" s="2"/>
      <c r="CC96" s="2">
        <v>46197</v>
      </c>
      <c r="CD96" s="3" t="s">
        <v>353</v>
      </c>
      <c r="CE96" s="3" t="s">
        <v>354</v>
      </c>
      <c r="CF96" s="3" t="s">
        <v>355</v>
      </c>
      <c r="CG96" s="3">
        <v>0</v>
      </c>
      <c r="CH96" s="3">
        <v>0.32</v>
      </c>
      <c r="CI96" s="3">
        <v>0</v>
      </c>
      <c r="CJ96" s="3">
        <v>466953</v>
      </c>
      <c r="CK96" s="3">
        <v>9945.18</v>
      </c>
      <c r="CL96" s="3">
        <v>1.1828000000000001</v>
      </c>
      <c r="CM96" s="2"/>
      <c r="CW96" s="2"/>
    </row>
    <row r="97" spans="1:101" ht="13.5" customHeight="1" x14ac:dyDescent="0.3">
      <c r="A97" s="2">
        <v>46197</v>
      </c>
      <c r="B97" s="3" t="s">
        <v>912</v>
      </c>
      <c r="C97" s="3" t="s">
        <v>913</v>
      </c>
      <c r="D97" s="3" t="s">
        <v>914</v>
      </c>
      <c r="E97" s="3">
        <v>0</v>
      </c>
      <c r="F97" s="3">
        <v>0.24</v>
      </c>
      <c r="G97" s="3">
        <v>0</v>
      </c>
      <c r="H97" s="3">
        <v>266761</v>
      </c>
      <c r="I97" s="3">
        <v>10053.51</v>
      </c>
      <c r="J97" s="3">
        <v>4.9748000000000001</v>
      </c>
      <c r="K97" s="2"/>
      <c r="U97" s="2"/>
      <c r="AE97" s="2"/>
      <c r="AO97" s="2"/>
      <c r="AY97" s="2">
        <v>46197</v>
      </c>
      <c r="AZ97" s="3" t="s">
        <v>571</v>
      </c>
      <c r="BA97" s="3" t="s">
        <v>572</v>
      </c>
      <c r="BB97" s="3" t="s">
        <v>573</v>
      </c>
      <c r="BC97" s="3">
        <v>0</v>
      </c>
      <c r="BD97" s="3">
        <v>0.31</v>
      </c>
      <c r="BE97" s="3">
        <v>0</v>
      </c>
      <c r="BF97" s="3">
        <v>384432</v>
      </c>
      <c r="BI97" s="2">
        <v>46197</v>
      </c>
      <c r="BJ97" s="3" t="s">
        <v>1170</v>
      </c>
      <c r="BK97" s="3" t="s">
        <v>1166</v>
      </c>
      <c r="BL97" s="3" t="s">
        <v>1167</v>
      </c>
      <c r="BM97" s="3">
        <v>0</v>
      </c>
      <c r="BN97" s="3">
        <v>0.35</v>
      </c>
      <c r="BO97" s="3">
        <v>0</v>
      </c>
      <c r="BP97" s="3">
        <v>462171</v>
      </c>
      <c r="BS97" s="2"/>
      <c r="CC97" s="2">
        <v>46197</v>
      </c>
      <c r="CD97" s="3" t="s">
        <v>356</v>
      </c>
      <c r="CE97" s="3" t="s">
        <v>357</v>
      </c>
      <c r="CF97" s="3" t="s">
        <v>358</v>
      </c>
      <c r="CG97" s="3">
        <v>0</v>
      </c>
      <c r="CH97" s="3">
        <v>0.32</v>
      </c>
      <c r="CI97" s="3">
        <v>0</v>
      </c>
      <c r="CJ97" s="3">
        <v>466864</v>
      </c>
      <c r="CK97" s="3">
        <v>9943.85</v>
      </c>
      <c r="CL97" s="3">
        <v>0.99360000000000004</v>
      </c>
      <c r="CM97" s="2"/>
      <c r="CW97" s="2"/>
    </row>
    <row r="98" spans="1:101" ht="13.5" customHeight="1" x14ac:dyDescent="0.3">
      <c r="A98" s="2">
        <v>46197</v>
      </c>
      <c r="B98" s="3" t="s">
        <v>915</v>
      </c>
      <c r="C98" s="3" t="s">
        <v>916</v>
      </c>
      <c r="D98" s="3" t="s">
        <v>917</v>
      </c>
      <c r="E98" s="3">
        <v>0</v>
      </c>
      <c r="F98" s="3">
        <v>0.24</v>
      </c>
      <c r="G98" s="3">
        <v>0</v>
      </c>
      <c r="H98" s="3">
        <v>266758</v>
      </c>
      <c r="I98" s="3">
        <v>10053.459999999999</v>
      </c>
      <c r="J98" s="3">
        <v>0.64529999999999998</v>
      </c>
      <c r="K98" s="2"/>
      <c r="U98" s="2"/>
      <c r="AE98" s="2"/>
      <c r="AO98" s="2"/>
      <c r="AY98" s="2">
        <v>46197</v>
      </c>
      <c r="AZ98" s="3" t="s">
        <v>576</v>
      </c>
      <c r="BA98" s="3" t="s">
        <v>572</v>
      </c>
      <c r="BB98" s="3" t="s">
        <v>573</v>
      </c>
      <c r="BC98" s="3">
        <v>0</v>
      </c>
      <c r="BD98" s="3">
        <v>0.31</v>
      </c>
      <c r="BE98" s="3">
        <v>0</v>
      </c>
      <c r="BF98" s="3">
        <v>384432</v>
      </c>
      <c r="BI98" s="2">
        <v>46197</v>
      </c>
      <c r="BJ98" s="3" t="s">
        <v>1165</v>
      </c>
      <c r="BK98" s="3" t="s">
        <v>1166</v>
      </c>
      <c r="BL98" s="3" t="s">
        <v>1167</v>
      </c>
      <c r="BM98" s="3">
        <v>0</v>
      </c>
      <c r="BN98" s="3">
        <v>0.35</v>
      </c>
      <c r="BO98" s="3">
        <v>0</v>
      </c>
      <c r="BP98" s="3">
        <v>462171</v>
      </c>
      <c r="BS98" s="2"/>
      <c r="CC98" s="2">
        <v>46197</v>
      </c>
      <c r="CD98" s="3" t="s">
        <v>359</v>
      </c>
      <c r="CE98" s="3" t="s">
        <v>360</v>
      </c>
      <c r="CF98" s="3" t="s">
        <v>361</v>
      </c>
      <c r="CG98" s="3">
        <v>0</v>
      </c>
      <c r="CH98" s="3">
        <v>0.32</v>
      </c>
      <c r="CI98" s="3">
        <v>0</v>
      </c>
      <c r="CJ98" s="3">
        <v>466451</v>
      </c>
      <c r="CK98" s="3">
        <v>9934.61</v>
      </c>
      <c r="CL98" s="3">
        <v>1.159</v>
      </c>
      <c r="CM98" s="2"/>
      <c r="CW98" s="2"/>
    </row>
    <row r="99" spans="1:101" ht="13.5" customHeight="1" x14ac:dyDescent="0.3">
      <c r="A99" s="2">
        <v>46197</v>
      </c>
      <c r="B99" s="3" t="s">
        <v>918</v>
      </c>
      <c r="C99" s="3" t="s">
        <v>919</v>
      </c>
      <c r="D99" s="3" t="s">
        <v>920</v>
      </c>
      <c r="E99" s="3">
        <v>0</v>
      </c>
      <c r="F99" s="3">
        <v>0.24</v>
      </c>
      <c r="G99" s="3">
        <v>0</v>
      </c>
      <c r="H99" s="3">
        <v>266549</v>
      </c>
      <c r="I99" s="3">
        <v>10045.59</v>
      </c>
      <c r="J99" s="3">
        <v>5.0137999999999998</v>
      </c>
      <c r="K99" s="2"/>
      <c r="U99" s="2"/>
      <c r="AE99" s="2"/>
      <c r="AO99" s="2"/>
      <c r="AY99" s="2">
        <v>46197</v>
      </c>
      <c r="AZ99" s="3" t="s">
        <v>575</v>
      </c>
      <c r="BA99" s="3" t="s">
        <v>572</v>
      </c>
      <c r="BB99" s="3" t="s">
        <v>573</v>
      </c>
      <c r="BC99" s="3">
        <v>0</v>
      </c>
      <c r="BD99" s="3">
        <v>0.31</v>
      </c>
      <c r="BE99" s="3">
        <v>0</v>
      </c>
      <c r="BF99" s="3">
        <v>384432</v>
      </c>
      <c r="BI99" s="2">
        <v>46197</v>
      </c>
      <c r="BJ99" s="3" t="s">
        <v>1178</v>
      </c>
      <c r="BK99" s="3" t="s">
        <v>1172</v>
      </c>
      <c r="BL99" s="3" t="s">
        <v>1173</v>
      </c>
      <c r="BM99" s="3">
        <v>0</v>
      </c>
      <c r="BN99" s="3">
        <v>0.35</v>
      </c>
      <c r="BO99" s="3">
        <v>0</v>
      </c>
      <c r="BP99" s="3">
        <v>461225</v>
      </c>
      <c r="BS99" s="2"/>
      <c r="CC99" s="2">
        <v>46197</v>
      </c>
      <c r="CD99" s="3" t="s">
        <v>362</v>
      </c>
      <c r="CE99" s="3" t="s">
        <v>363</v>
      </c>
      <c r="CF99" s="3" t="s">
        <v>364</v>
      </c>
      <c r="CG99" s="3">
        <v>0</v>
      </c>
      <c r="CH99" s="3">
        <v>0.32</v>
      </c>
      <c r="CI99" s="3">
        <v>0</v>
      </c>
      <c r="CJ99" s="3">
        <v>466296</v>
      </c>
      <c r="CK99" s="3">
        <v>9931.73</v>
      </c>
      <c r="CL99" s="3">
        <v>0.95579999999999998</v>
      </c>
      <c r="CM99" s="2"/>
      <c r="CW99" s="2"/>
    </row>
    <row r="100" spans="1:101" ht="13.5" customHeight="1" x14ac:dyDescent="0.3">
      <c r="A100" s="2">
        <v>46197</v>
      </c>
      <c r="B100" s="3" t="s">
        <v>921</v>
      </c>
      <c r="C100" s="3" t="s">
        <v>922</v>
      </c>
      <c r="D100" s="3" t="s">
        <v>923</v>
      </c>
      <c r="E100" s="3">
        <v>0</v>
      </c>
      <c r="F100" s="3">
        <v>0.24</v>
      </c>
      <c r="G100" s="3">
        <v>0</v>
      </c>
      <c r="H100" s="3">
        <v>266546</v>
      </c>
      <c r="I100" s="3">
        <v>10044.629999999999</v>
      </c>
      <c r="J100" s="3">
        <v>1.6662999999999999</v>
      </c>
      <c r="K100" s="2"/>
      <c r="U100" s="2"/>
      <c r="AE100" s="2"/>
      <c r="AO100" s="2"/>
      <c r="AY100" s="2">
        <v>46197</v>
      </c>
      <c r="AZ100" s="3" t="s">
        <v>574</v>
      </c>
      <c r="BA100" s="3" t="s">
        <v>572</v>
      </c>
      <c r="BB100" s="3" t="s">
        <v>573</v>
      </c>
      <c r="BC100" s="3">
        <v>0</v>
      </c>
      <c r="BD100" s="3">
        <v>0.31</v>
      </c>
      <c r="BE100" s="3">
        <v>0</v>
      </c>
      <c r="BF100" s="3">
        <v>384432</v>
      </c>
      <c r="BI100" s="2">
        <v>46197</v>
      </c>
      <c r="BJ100" s="3" t="s">
        <v>1174</v>
      </c>
      <c r="BK100" s="3" t="s">
        <v>1172</v>
      </c>
      <c r="BL100" s="3" t="s">
        <v>1173</v>
      </c>
      <c r="BM100" s="3">
        <v>0</v>
      </c>
      <c r="BN100" s="3">
        <v>0.35</v>
      </c>
      <c r="BO100" s="3">
        <v>0</v>
      </c>
      <c r="BP100" s="3">
        <v>461225</v>
      </c>
      <c r="BS100" s="2"/>
      <c r="CC100" s="2">
        <v>46197</v>
      </c>
      <c r="CD100" s="3" t="s">
        <v>365</v>
      </c>
      <c r="CE100" s="3" t="s">
        <v>200</v>
      </c>
      <c r="CF100" s="3" t="s">
        <v>366</v>
      </c>
      <c r="CG100" s="3">
        <v>0</v>
      </c>
      <c r="CH100" s="3">
        <v>0.32</v>
      </c>
      <c r="CI100" s="3">
        <v>0</v>
      </c>
      <c r="CJ100" s="3">
        <v>466096</v>
      </c>
      <c r="CK100" s="3">
        <v>9926.33</v>
      </c>
      <c r="CL100" s="3">
        <v>4.3529</v>
      </c>
      <c r="CM100" s="2"/>
      <c r="CW100" s="2"/>
    </row>
    <row r="101" spans="1:101" ht="13.5" customHeight="1" x14ac:dyDescent="0.3">
      <c r="A101" s="2">
        <v>46197</v>
      </c>
      <c r="B101" s="3" t="s">
        <v>924</v>
      </c>
      <c r="C101" s="3" t="s">
        <v>925</v>
      </c>
      <c r="D101" s="3" t="s">
        <v>926</v>
      </c>
      <c r="E101" s="3">
        <v>0</v>
      </c>
      <c r="F101" s="3">
        <v>0.24</v>
      </c>
      <c r="G101" s="3">
        <v>0</v>
      </c>
      <c r="H101" s="3">
        <v>266336</v>
      </c>
      <c r="I101" s="3">
        <v>10037.24</v>
      </c>
      <c r="J101" s="3">
        <v>1.2079</v>
      </c>
      <c r="K101" s="2"/>
      <c r="U101" s="2"/>
      <c r="AE101" s="2"/>
      <c r="AO101" s="2"/>
      <c r="AY101" s="2">
        <v>46197</v>
      </c>
      <c r="AZ101" s="3" t="s">
        <v>577</v>
      </c>
      <c r="BA101" s="3" t="s">
        <v>578</v>
      </c>
      <c r="BB101" s="3" t="s">
        <v>579</v>
      </c>
      <c r="BC101" s="3">
        <v>0</v>
      </c>
      <c r="BD101" s="3">
        <v>0.31</v>
      </c>
      <c r="BE101" s="3">
        <v>0</v>
      </c>
      <c r="BF101" s="3">
        <v>384081</v>
      </c>
      <c r="BG101" s="3">
        <v>9986.43</v>
      </c>
      <c r="BH101" s="3">
        <v>1.2043999999999999</v>
      </c>
      <c r="BI101" s="2">
        <v>46197</v>
      </c>
      <c r="BJ101" s="3" t="s">
        <v>1171</v>
      </c>
      <c r="BK101" s="3" t="s">
        <v>1172</v>
      </c>
      <c r="BL101" s="3" t="s">
        <v>1173</v>
      </c>
      <c r="BM101" s="3">
        <v>0</v>
      </c>
      <c r="BN101" s="3">
        <v>0.35</v>
      </c>
      <c r="BO101" s="3">
        <v>0</v>
      </c>
      <c r="BP101" s="3">
        <v>461225</v>
      </c>
      <c r="BS101" s="2"/>
      <c r="CC101" s="2">
        <v>46197</v>
      </c>
      <c r="CD101" s="3" t="s">
        <v>367</v>
      </c>
      <c r="CE101" s="3" t="s">
        <v>368</v>
      </c>
      <c r="CF101" s="3" t="s">
        <v>369</v>
      </c>
      <c r="CG101" s="3">
        <v>0</v>
      </c>
      <c r="CH101" s="3">
        <v>0.32</v>
      </c>
      <c r="CI101" s="3">
        <v>0</v>
      </c>
      <c r="CJ101" s="3">
        <v>465987</v>
      </c>
      <c r="CM101" s="2"/>
      <c r="CW101" s="2"/>
    </row>
    <row r="102" spans="1:101" ht="13.5" customHeight="1" x14ac:dyDescent="0.3">
      <c r="A102" s="2">
        <v>46197</v>
      </c>
      <c r="B102" s="3" t="s">
        <v>927</v>
      </c>
      <c r="C102" s="3" t="s">
        <v>928</v>
      </c>
      <c r="D102" s="3" t="s">
        <v>929</v>
      </c>
      <c r="E102" s="3">
        <v>0</v>
      </c>
      <c r="F102" s="3">
        <v>0.24</v>
      </c>
      <c r="G102" s="3">
        <v>0</v>
      </c>
      <c r="H102" s="3">
        <v>266146</v>
      </c>
      <c r="I102" s="3">
        <v>10029.709999999999</v>
      </c>
      <c r="J102" s="3">
        <v>1.2448999999999999</v>
      </c>
      <c r="K102" s="2"/>
      <c r="U102" s="2"/>
      <c r="AE102" s="2"/>
      <c r="AO102" s="2"/>
      <c r="AY102" s="2">
        <v>46197</v>
      </c>
      <c r="AZ102" s="3" t="s">
        <v>580</v>
      </c>
      <c r="BA102" s="3" t="s">
        <v>298</v>
      </c>
      <c r="BB102" s="3" t="s">
        <v>581</v>
      </c>
      <c r="BC102" s="3">
        <v>0</v>
      </c>
      <c r="BD102" s="3">
        <v>0.31</v>
      </c>
      <c r="BE102" s="3">
        <v>0</v>
      </c>
      <c r="BF102" s="3">
        <v>383882</v>
      </c>
      <c r="BG102" s="3">
        <v>9981.6299999999992</v>
      </c>
      <c r="BH102" s="3">
        <v>1.0126999999999999</v>
      </c>
      <c r="BI102" s="2">
        <v>46197</v>
      </c>
      <c r="BJ102" s="3" t="s">
        <v>1175</v>
      </c>
      <c r="BK102" s="3" t="s">
        <v>1172</v>
      </c>
      <c r="BL102" s="3" t="s">
        <v>1173</v>
      </c>
      <c r="BM102" s="3">
        <v>0</v>
      </c>
      <c r="BN102" s="3">
        <v>0.35</v>
      </c>
      <c r="BO102" s="3">
        <v>0</v>
      </c>
      <c r="BP102" s="3">
        <v>461225</v>
      </c>
      <c r="BS102" s="2"/>
      <c r="CC102" s="2">
        <v>46197</v>
      </c>
      <c r="CD102" s="3" t="s">
        <v>370</v>
      </c>
      <c r="CE102" s="3" t="s">
        <v>371</v>
      </c>
      <c r="CF102" s="3" t="s">
        <v>372</v>
      </c>
      <c r="CG102" s="3">
        <v>0</v>
      </c>
      <c r="CH102" s="3">
        <v>0.32</v>
      </c>
      <c r="CI102" s="3">
        <v>0</v>
      </c>
      <c r="CJ102" s="3">
        <v>465697</v>
      </c>
      <c r="CK102" s="3">
        <v>9920.15</v>
      </c>
      <c r="CL102" s="3">
        <v>5.7958999999999996</v>
      </c>
      <c r="CM102" s="2"/>
      <c r="CW102" s="2"/>
    </row>
    <row r="103" spans="1:101" ht="13.5" customHeight="1" x14ac:dyDescent="0.3">
      <c r="A103" s="2">
        <v>46197</v>
      </c>
      <c r="B103" s="3" t="s">
        <v>930</v>
      </c>
      <c r="C103" s="3" t="s">
        <v>931</v>
      </c>
      <c r="D103" s="3" t="s">
        <v>932</v>
      </c>
      <c r="E103" s="3">
        <v>0</v>
      </c>
      <c r="F103" s="3">
        <v>0.24</v>
      </c>
      <c r="G103" s="3">
        <v>0</v>
      </c>
      <c r="H103" s="3">
        <v>266114</v>
      </c>
      <c r="I103" s="3">
        <v>10029.35</v>
      </c>
      <c r="J103" s="3">
        <v>1.0107999999999999</v>
      </c>
      <c r="K103" s="2"/>
      <c r="U103" s="2"/>
      <c r="AE103" s="2"/>
      <c r="AO103" s="2"/>
      <c r="AY103" s="2">
        <v>46197</v>
      </c>
      <c r="AZ103" s="3" t="s">
        <v>582</v>
      </c>
      <c r="BA103" s="3" t="s">
        <v>583</v>
      </c>
      <c r="BB103" s="3" t="s">
        <v>584</v>
      </c>
      <c r="BC103" s="3">
        <v>0</v>
      </c>
      <c r="BD103" s="3">
        <v>0.3</v>
      </c>
      <c r="BE103" s="3">
        <v>0</v>
      </c>
      <c r="BF103" s="3">
        <v>383071</v>
      </c>
      <c r="BG103" s="3">
        <v>9960.7800000000007</v>
      </c>
      <c r="BH103" s="3">
        <v>1.1420999999999999</v>
      </c>
      <c r="BI103" s="2">
        <v>46197</v>
      </c>
      <c r="BJ103" s="3" t="s">
        <v>1177</v>
      </c>
      <c r="BK103" s="3" t="s">
        <v>1172</v>
      </c>
      <c r="BL103" s="3" t="s">
        <v>1173</v>
      </c>
      <c r="BM103" s="3">
        <v>0</v>
      </c>
      <c r="BN103" s="3">
        <v>0.35</v>
      </c>
      <c r="BO103" s="3">
        <v>0</v>
      </c>
      <c r="BP103" s="3">
        <v>461225</v>
      </c>
      <c r="BS103" s="2"/>
      <c r="CC103" s="2">
        <v>46197</v>
      </c>
      <c r="CD103" s="3" t="s">
        <v>373</v>
      </c>
      <c r="CE103" s="3" t="s">
        <v>374</v>
      </c>
      <c r="CF103" s="3" t="s">
        <v>375</v>
      </c>
      <c r="CG103" s="3">
        <v>0</v>
      </c>
      <c r="CH103" s="3">
        <v>0.32</v>
      </c>
      <c r="CI103" s="3">
        <v>0</v>
      </c>
      <c r="CJ103" s="3">
        <v>465655</v>
      </c>
      <c r="CK103" s="3">
        <v>9917.41</v>
      </c>
      <c r="CL103" s="3">
        <v>1.1832</v>
      </c>
      <c r="CM103" s="2"/>
      <c r="CW103" s="2"/>
    </row>
    <row r="104" spans="1:101" ht="13.5" customHeight="1" x14ac:dyDescent="0.3">
      <c r="A104" s="2">
        <v>46197</v>
      </c>
      <c r="B104" s="3" t="s">
        <v>933</v>
      </c>
      <c r="C104" s="3" t="s">
        <v>934</v>
      </c>
      <c r="D104" s="3" t="s">
        <v>935</v>
      </c>
      <c r="E104" s="3">
        <v>0</v>
      </c>
      <c r="F104" s="3">
        <v>0.24</v>
      </c>
      <c r="G104" s="3">
        <v>0</v>
      </c>
      <c r="H104" s="3">
        <v>266057</v>
      </c>
      <c r="I104" s="3">
        <v>10027.370000000001</v>
      </c>
      <c r="J104" s="3">
        <v>0.81440000000000001</v>
      </c>
      <c r="K104" s="2"/>
      <c r="U104" s="2"/>
      <c r="AE104" s="2"/>
      <c r="AO104" s="2"/>
      <c r="AY104" s="2">
        <v>46197</v>
      </c>
      <c r="AZ104" s="3" t="s">
        <v>585</v>
      </c>
      <c r="BA104" s="3" t="s">
        <v>321</v>
      </c>
      <c r="BB104" s="3" t="s">
        <v>586</v>
      </c>
      <c r="BC104" s="3">
        <v>0</v>
      </c>
      <c r="BD104" s="3">
        <v>0.3</v>
      </c>
      <c r="BE104" s="3">
        <v>0</v>
      </c>
      <c r="BF104" s="3">
        <v>382907</v>
      </c>
      <c r="BG104" s="3">
        <v>9956.7800000000007</v>
      </c>
      <c r="BH104" s="3">
        <v>1.5135000000000001</v>
      </c>
      <c r="BI104" s="2">
        <v>46197</v>
      </c>
      <c r="BJ104" s="3" t="s">
        <v>1176</v>
      </c>
      <c r="BK104" s="3" t="s">
        <v>1172</v>
      </c>
      <c r="BL104" s="3" t="s">
        <v>1173</v>
      </c>
      <c r="BM104" s="3">
        <v>0</v>
      </c>
      <c r="BN104" s="3">
        <v>0.35</v>
      </c>
      <c r="BO104" s="3">
        <v>0</v>
      </c>
      <c r="BP104" s="3">
        <v>461225</v>
      </c>
      <c r="BS104" s="2"/>
      <c r="CC104" s="2">
        <v>46197</v>
      </c>
      <c r="CD104" s="3" t="s">
        <v>376</v>
      </c>
      <c r="CE104" s="3" t="s">
        <v>213</v>
      </c>
      <c r="CF104" s="3" t="s">
        <v>377</v>
      </c>
      <c r="CG104" s="3">
        <v>0</v>
      </c>
      <c r="CH104" s="3">
        <v>0.32</v>
      </c>
      <c r="CI104" s="3">
        <v>0</v>
      </c>
      <c r="CJ104" s="3">
        <v>465550</v>
      </c>
      <c r="CM104" s="2"/>
      <c r="CW104" s="2"/>
    </row>
    <row r="105" spans="1:101" ht="13.5" customHeight="1" x14ac:dyDescent="0.3">
      <c r="A105" s="2">
        <v>46197</v>
      </c>
      <c r="B105" s="3" t="s">
        <v>936</v>
      </c>
      <c r="C105" s="3" t="s">
        <v>395</v>
      </c>
      <c r="D105" s="3" t="s">
        <v>937</v>
      </c>
      <c r="E105" s="3">
        <v>0</v>
      </c>
      <c r="F105" s="3">
        <v>0.24</v>
      </c>
      <c r="G105" s="3">
        <v>0</v>
      </c>
      <c r="H105" s="3">
        <v>266033</v>
      </c>
      <c r="I105" s="3">
        <v>10026.31</v>
      </c>
      <c r="J105" s="3">
        <v>0.57040000000000002</v>
      </c>
      <c r="K105" s="2"/>
      <c r="U105" s="2"/>
      <c r="AE105" s="2"/>
      <c r="AO105" s="2"/>
      <c r="AY105" s="2">
        <v>46197</v>
      </c>
      <c r="AZ105" s="3" t="s">
        <v>590</v>
      </c>
      <c r="BA105" s="3" t="s">
        <v>588</v>
      </c>
      <c r="BB105" s="3" t="s">
        <v>589</v>
      </c>
      <c r="BC105" s="3">
        <v>0</v>
      </c>
      <c r="BD105" s="3">
        <v>0.3</v>
      </c>
      <c r="BE105" s="3">
        <v>0</v>
      </c>
      <c r="BF105" s="3">
        <v>382890</v>
      </c>
      <c r="BI105" s="2">
        <v>46197</v>
      </c>
      <c r="BJ105" s="3" t="s">
        <v>1183</v>
      </c>
      <c r="BK105" s="3" t="s">
        <v>1180</v>
      </c>
      <c r="BL105" s="3" t="s">
        <v>1181</v>
      </c>
      <c r="BM105" s="3">
        <v>0</v>
      </c>
      <c r="BN105" s="3">
        <v>0.35</v>
      </c>
      <c r="BO105" s="3">
        <v>0</v>
      </c>
      <c r="BP105" s="3">
        <v>460731</v>
      </c>
      <c r="BS105" s="2"/>
      <c r="CC105" s="2">
        <v>46197</v>
      </c>
      <c r="CD105" s="3" t="s">
        <v>378</v>
      </c>
      <c r="CE105" s="3" t="s">
        <v>379</v>
      </c>
      <c r="CF105" s="3" t="s">
        <v>380</v>
      </c>
      <c r="CG105" s="3">
        <v>0</v>
      </c>
      <c r="CH105" s="3">
        <v>0.32</v>
      </c>
      <c r="CI105" s="3">
        <v>0</v>
      </c>
      <c r="CJ105" s="3">
        <v>465296</v>
      </c>
      <c r="CK105" s="3">
        <v>9910.2000000000007</v>
      </c>
      <c r="CL105" s="3">
        <v>2.4788999999999999</v>
      </c>
      <c r="CM105" s="2"/>
      <c r="CW105" s="2"/>
    </row>
    <row r="106" spans="1:101" ht="13.5" customHeight="1" x14ac:dyDescent="0.3">
      <c r="A106" s="2">
        <v>46197</v>
      </c>
      <c r="B106" s="3" t="s">
        <v>938</v>
      </c>
      <c r="C106" s="3" t="s">
        <v>931</v>
      </c>
      <c r="D106" s="3" t="s">
        <v>939</v>
      </c>
      <c r="E106" s="3">
        <v>0</v>
      </c>
      <c r="F106" s="3">
        <v>0.24</v>
      </c>
      <c r="G106" s="3">
        <v>0</v>
      </c>
      <c r="H106" s="3">
        <v>266017</v>
      </c>
      <c r="I106" s="3">
        <v>10024.799999999999</v>
      </c>
      <c r="J106" s="3">
        <v>1.8572</v>
      </c>
      <c r="K106" s="2"/>
      <c r="U106" s="2"/>
      <c r="AE106" s="2"/>
      <c r="AO106" s="2"/>
      <c r="AY106" s="2">
        <v>46197</v>
      </c>
      <c r="AZ106" s="3" t="s">
        <v>591</v>
      </c>
      <c r="BA106" s="3" t="s">
        <v>588</v>
      </c>
      <c r="BB106" s="3" t="s">
        <v>589</v>
      </c>
      <c r="BC106" s="3">
        <v>0</v>
      </c>
      <c r="BD106" s="3">
        <v>0.3</v>
      </c>
      <c r="BE106" s="3">
        <v>0</v>
      </c>
      <c r="BF106" s="3">
        <v>382890</v>
      </c>
      <c r="BI106" s="2">
        <v>46197</v>
      </c>
      <c r="BJ106" s="3" t="s">
        <v>1179</v>
      </c>
      <c r="BK106" s="3" t="s">
        <v>1180</v>
      </c>
      <c r="BL106" s="3" t="s">
        <v>1181</v>
      </c>
      <c r="BM106" s="3">
        <v>0</v>
      </c>
      <c r="BN106" s="3">
        <v>0.35</v>
      </c>
      <c r="BO106" s="3">
        <v>0</v>
      </c>
      <c r="BP106" s="3">
        <v>460731</v>
      </c>
      <c r="BS106" s="2"/>
      <c r="CC106" s="2">
        <v>46197</v>
      </c>
      <c r="CD106" s="3" t="s">
        <v>381</v>
      </c>
      <c r="CE106" s="3" t="s">
        <v>382</v>
      </c>
      <c r="CF106" s="3" t="s">
        <v>383</v>
      </c>
      <c r="CG106" s="3">
        <v>0</v>
      </c>
      <c r="CH106" s="3">
        <v>0.32</v>
      </c>
      <c r="CI106" s="3">
        <v>0</v>
      </c>
      <c r="CJ106" s="3">
        <v>465281</v>
      </c>
      <c r="CK106" s="3">
        <v>9910.2999999999993</v>
      </c>
      <c r="CL106" s="3">
        <v>1.6476</v>
      </c>
      <c r="CM106" s="2"/>
      <c r="CW106" s="2"/>
    </row>
    <row r="107" spans="1:101" ht="13.5" customHeight="1" x14ac:dyDescent="0.3">
      <c r="A107" s="2">
        <v>46197</v>
      </c>
      <c r="B107" s="3" t="s">
        <v>940</v>
      </c>
      <c r="C107" s="3" t="s">
        <v>321</v>
      </c>
      <c r="D107" s="3" t="s">
        <v>941</v>
      </c>
      <c r="E107" s="3">
        <v>0</v>
      </c>
      <c r="F107" s="3">
        <v>0.24</v>
      </c>
      <c r="G107" s="3">
        <v>0</v>
      </c>
      <c r="H107" s="3">
        <v>266016</v>
      </c>
      <c r="I107" s="3">
        <v>10025.290000000001</v>
      </c>
      <c r="J107" s="3">
        <v>6.0842000000000001</v>
      </c>
      <c r="K107" s="2"/>
      <c r="U107" s="2"/>
      <c r="AE107" s="2"/>
      <c r="AO107" s="2"/>
      <c r="AY107" s="2">
        <v>46197</v>
      </c>
      <c r="AZ107" s="3" t="s">
        <v>587</v>
      </c>
      <c r="BA107" s="3" t="s">
        <v>588</v>
      </c>
      <c r="BB107" s="3" t="s">
        <v>589</v>
      </c>
      <c r="BC107" s="3">
        <v>0</v>
      </c>
      <c r="BD107" s="3">
        <v>0.3</v>
      </c>
      <c r="BE107" s="3">
        <v>0</v>
      </c>
      <c r="BF107" s="3">
        <v>382890</v>
      </c>
      <c r="BI107" s="2">
        <v>46197</v>
      </c>
      <c r="BJ107" s="3" t="s">
        <v>1182</v>
      </c>
      <c r="BK107" s="3" t="s">
        <v>1180</v>
      </c>
      <c r="BL107" s="3" t="s">
        <v>1181</v>
      </c>
      <c r="BM107" s="3">
        <v>0</v>
      </c>
      <c r="BN107" s="3">
        <v>0.35</v>
      </c>
      <c r="BO107" s="3">
        <v>0</v>
      </c>
      <c r="BP107" s="3">
        <v>460731</v>
      </c>
      <c r="BS107" s="2"/>
      <c r="CC107" s="2">
        <v>46197</v>
      </c>
      <c r="CD107" s="3" t="s">
        <v>384</v>
      </c>
      <c r="CE107" s="3" t="s">
        <v>385</v>
      </c>
      <c r="CF107" s="3" t="s">
        <v>386</v>
      </c>
      <c r="CG107" s="3">
        <v>0</v>
      </c>
      <c r="CH107" s="3">
        <v>0.32</v>
      </c>
      <c r="CI107" s="3">
        <v>0</v>
      </c>
      <c r="CJ107" s="3">
        <v>465277</v>
      </c>
      <c r="CM107" s="2"/>
      <c r="CW107" s="2"/>
    </row>
    <row r="108" spans="1:101" ht="13.5" customHeight="1" x14ac:dyDescent="0.3">
      <c r="A108" s="2">
        <v>46197</v>
      </c>
      <c r="B108" s="3" t="s">
        <v>942</v>
      </c>
      <c r="C108" s="3" t="s">
        <v>943</v>
      </c>
      <c r="D108" s="3" t="s">
        <v>944</v>
      </c>
      <c r="E108" s="3">
        <v>0</v>
      </c>
      <c r="F108" s="3">
        <v>0.24</v>
      </c>
      <c r="G108" s="3">
        <v>0</v>
      </c>
      <c r="H108" s="3">
        <v>266000</v>
      </c>
      <c r="I108" s="3">
        <v>10025.56</v>
      </c>
      <c r="J108" s="3">
        <v>2.4058999999999999</v>
      </c>
      <c r="K108" s="2"/>
      <c r="U108" s="2"/>
      <c r="AE108" s="2"/>
      <c r="AO108" s="2"/>
      <c r="AY108" s="2">
        <v>46197</v>
      </c>
      <c r="AZ108" s="3" t="s">
        <v>592</v>
      </c>
      <c r="BA108" s="3" t="s">
        <v>588</v>
      </c>
      <c r="BB108" s="3" t="s">
        <v>589</v>
      </c>
      <c r="BC108" s="3">
        <v>0</v>
      </c>
      <c r="BD108" s="3">
        <v>0.3</v>
      </c>
      <c r="BE108" s="3">
        <v>0</v>
      </c>
      <c r="BF108" s="3">
        <v>382890</v>
      </c>
      <c r="BI108" s="2">
        <v>46197</v>
      </c>
      <c r="BJ108" s="3" t="s">
        <v>2276</v>
      </c>
      <c r="BK108" s="3" t="s">
        <v>1185</v>
      </c>
      <c r="BL108" s="3" t="s">
        <v>1186</v>
      </c>
      <c r="BM108" s="3">
        <v>0</v>
      </c>
      <c r="BN108" s="3">
        <v>0.35</v>
      </c>
      <c r="BO108" s="3">
        <v>0</v>
      </c>
      <c r="BP108" s="3">
        <v>460143</v>
      </c>
      <c r="BS108" s="2"/>
      <c r="CC108" s="2">
        <v>46197</v>
      </c>
      <c r="CD108" s="3" t="s">
        <v>387</v>
      </c>
      <c r="CE108" s="3" t="s">
        <v>388</v>
      </c>
      <c r="CF108" s="3" t="s">
        <v>389</v>
      </c>
      <c r="CG108" s="3">
        <v>0</v>
      </c>
      <c r="CH108" s="3">
        <v>0.32</v>
      </c>
      <c r="CI108" s="3">
        <v>0</v>
      </c>
      <c r="CJ108" s="3">
        <v>465209</v>
      </c>
      <c r="CK108" s="3">
        <v>9908.01</v>
      </c>
      <c r="CL108" s="3">
        <v>1.2507999999999999</v>
      </c>
      <c r="CM108" s="2"/>
      <c r="CW108" s="2"/>
    </row>
    <row r="109" spans="1:101" ht="13.5" customHeight="1" x14ac:dyDescent="0.3">
      <c r="A109" s="2">
        <v>46197</v>
      </c>
      <c r="B109" s="3" t="s">
        <v>1724</v>
      </c>
      <c r="C109" s="3" t="s">
        <v>1725</v>
      </c>
      <c r="D109" s="3" t="s">
        <v>1726</v>
      </c>
      <c r="E109" s="3">
        <v>0</v>
      </c>
      <c r="F109" s="3">
        <v>0.24</v>
      </c>
      <c r="G109" s="3">
        <v>0</v>
      </c>
      <c r="H109" s="3">
        <v>265986</v>
      </c>
      <c r="I109" s="3">
        <v>10023.52</v>
      </c>
      <c r="J109" s="3">
        <v>1.7027000000000001</v>
      </c>
      <c r="K109" s="2"/>
      <c r="U109" s="2"/>
      <c r="AE109" s="2"/>
      <c r="AO109" s="2"/>
      <c r="AY109" s="2">
        <v>46197</v>
      </c>
      <c r="AZ109" s="3" t="s">
        <v>1409</v>
      </c>
      <c r="BA109" s="3" t="s">
        <v>1410</v>
      </c>
      <c r="BB109" s="3" t="s">
        <v>589</v>
      </c>
      <c r="BC109" s="3">
        <v>0</v>
      </c>
      <c r="BD109" s="3">
        <v>0.3</v>
      </c>
      <c r="BE109" s="3">
        <v>0</v>
      </c>
      <c r="BF109" s="3">
        <v>381834</v>
      </c>
      <c r="BI109" s="2">
        <v>46197</v>
      </c>
      <c r="BJ109" s="3" t="s">
        <v>1184</v>
      </c>
      <c r="BK109" s="3" t="s">
        <v>1185</v>
      </c>
      <c r="BL109" s="3" t="s">
        <v>1186</v>
      </c>
      <c r="BM109" s="3">
        <v>0</v>
      </c>
      <c r="BN109" s="3">
        <v>0.35</v>
      </c>
      <c r="BO109" s="3">
        <v>0</v>
      </c>
      <c r="BP109" s="3">
        <v>460143</v>
      </c>
      <c r="BS109" s="2"/>
      <c r="CC109" s="2">
        <v>46197</v>
      </c>
      <c r="CD109" s="3" t="s">
        <v>2348</v>
      </c>
      <c r="CE109" s="3" t="s">
        <v>1767</v>
      </c>
      <c r="CF109" s="3" t="s">
        <v>2349</v>
      </c>
      <c r="CG109" s="3">
        <v>0</v>
      </c>
      <c r="CH109" s="3">
        <v>0.32</v>
      </c>
      <c r="CI109" s="3">
        <v>0</v>
      </c>
      <c r="CJ109" s="3">
        <v>465052</v>
      </c>
      <c r="CK109" s="3">
        <v>9904.7999999999993</v>
      </c>
      <c r="CL109" s="3">
        <v>1.2022999999999999</v>
      </c>
      <c r="CM109" s="2"/>
      <c r="CW109" s="2"/>
    </row>
    <row r="110" spans="1:101" ht="13.5" customHeight="1" x14ac:dyDescent="0.3">
      <c r="A110" s="2">
        <v>46197</v>
      </c>
      <c r="B110" s="3" t="s">
        <v>1727</v>
      </c>
      <c r="C110" s="3" t="s">
        <v>1728</v>
      </c>
      <c r="D110" s="3" t="s">
        <v>1729</v>
      </c>
      <c r="E110" s="3">
        <v>0</v>
      </c>
      <c r="F110" s="3">
        <v>0.24</v>
      </c>
      <c r="G110" s="3">
        <v>0</v>
      </c>
      <c r="H110" s="3">
        <v>265975</v>
      </c>
      <c r="I110" s="3">
        <v>10024.31</v>
      </c>
      <c r="J110" s="3">
        <v>0.81</v>
      </c>
      <c r="K110" s="2"/>
      <c r="U110" s="2"/>
      <c r="AE110" s="2"/>
      <c r="AO110" s="2"/>
      <c r="AY110" s="2">
        <v>46197</v>
      </c>
      <c r="AZ110" s="3" t="s">
        <v>1411</v>
      </c>
      <c r="BA110" s="3" t="s">
        <v>1410</v>
      </c>
      <c r="BB110" s="3" t="s">
        <v>589</v>
      </c>
      <c r="BC110" s="3">
        <v>0</v>
      </c>
      <c r="BD110" s="3">
        <v>0.3</v>
      </c>
      <c r="BE110" s="3">
        <v>0</v>
      </c>
      <c r="BF110" s="3">
        <v>381834</v>
      </c>
      <c r="BI110" s="2">
        <v>46197</v>
      </c>
      <c r="BJ110" s="3" t="s">
        <v>2277</v>
      </c>
      <c r="BK110" s="3" t="s">
        <v>709</v>
      </c>
      <c r="BL110" s="3" t="s">
        <v>710</v>
      </c>
      <c r="BM110" s="3">
        <v>0</v>
      </c>
      <c r="BN110" s="3">
        <v>0.35</v>
      </c>
      <c r="BO110" s="3">
        <v>0</v>
      </c>
      <c r="BP110" s="3">
        <v>460140</v>
      </c>
      <c r="BS110" s="2"/>
      <c r="CC110" s="2">
        <v>46197</v>
      </c>
      <c r="CD110" s="3" t="s">
        <v>2350</v>
      </c>
      <c r="CE110" s="3" t="s">
        <v>1231</v>
      </c>
      <c r="CF110" s="3" t="s">
        <v>2351</v>
      </c>
      <c r="CG110" s="3">
        <v>0</v>
      </c>
      <c r="CH110" s="3">
        <v>0.32</v>
      </c>
      <c r="CI110" s="3">
        <v>0</v>
      </c>
      <c r="CJ110" s="3">
        <v>464759</v>
      </c>
      <c r="CM110" s="2"/>
      <c r="CW110" s="2"/>
    </row>
    <row r="111" spans="1:101" ht="13.5" customHeight="1" x14ac:dyDescent="0.3">
      <c r="A111" s="2">
        <v>46197</v>
      </c>
      <c r="B111" s="3" t="s">
        <v>1730</v>
      </c>
      <c r="C111" s="3" t="s">
        <v>1731</v>
      </c>
      <c r="D111" s="3" t="s">
        <v>1732</v>
      </c>
      <c r="E111" s="3">
        <v>0</v>
      </c>
      <c r="F111" s="3">
        <v>0.24</v>
      </c>
      <c r="G111" s="3">
        <v>0</v>
      </c>
      <c r="H111" s="3">
        <v>265914</v>
      </c>
      <c r="I111" s="3">
        <v>10022.44</v>
      </c>
      <c r="J111" s="3">
        <v>2.5619000000000001</v>
      </c>
      <c r="K111" s="2"/>
      <c r="U111" s="2"/>
      <c r="AE111" s="2"/>
      <c r="AO111" s="2"/>
      <c r="AY111" s="2">
        <v>46197</v>
      </c>
      <c r="AZ111" s="3" t="s">
        <v>1412</v>
      </c>
      <c r="BA111" s="3" t="s">
        <v>1410</v>
      </c>
      <c r="BB111" s="3" t="s">
        <v>589</v>
      </c>
      <c r="BC111" s="3">
        <v>0</v>
      </c>
      <c r="BD111" s="3">
        <v>0.3</v>
      </c>
      <c r="BE111" s="3">
        <v>0</v>
      </c>
      <c r="BF111" s="3">
        <v>381797</v>
      </c>
      <c r="BI111" s="2">
        <v>46197</v>
      </c>
      <c r="BJ111" s="3" t="s">
        <v>2278</v>
      </c>
      <c r="BK111" s="3" t="s">
        <v>709</v>
      </c>
      <c r="BL111" s="3" t="s">
        <v>710</v>
      </c>
      <c r="BM111" s="3">
        <v>0</v>
      </c>
      <c r="BN111" s="3">
        <v>0.35</v>
      </c>
      <c r="BO111" s="3">
        <v>0</v>
      </c>
      <c r="BP111" s="3">
        <v>460140</v>
      </c>
      <c r="BS111" s="2"/>
      <c r="CC111" s="2">
        <v>46197</v>
      </c>
      <c r="CD111" s="3" t="s">
        <v>2352</v>
      </c>
      <c r="CE111" s="3" t="s">
        <v>2353</v>
      </c>
      <c r="CF111" s="3" t="s">
        <v>2354</v>
      </c>
      <c r="CG111" s="3">
        <v>0</v>
      </c>
      <c r="CH111" s="3">
        <v>0.32</v>
      </c>
      <c r="CI111" s="3">
        <v>0</v>
      </c>
      <c r="CJ111" s="3">
        <v>464680</v>
      </c>
      <c r="CK111" s="3">
        <v>9896.91</v>
      </c>
      <c r="CL111" s="3">
        <v>1.1447000000000001</v>
      </c>
      <c r="CM111" s="2"/>
      <c r="CW111" s="2"/>
    </row>
    <row r="112" spans="1:101" ht="13.5" customHeight="1" x14ac:dyDescent="0.3">
      <c r="A112" s="2">
        <v>46197</v>
      </c>
      <c r="B112" s="3" t="s">
        <v>1733</v>
      </c>
      <c r="C112" s="3" t="s">
        <v>1734</v>
      </c>
      <c r="D112" s="3" t="s">
        <v>1735</v>
      </c>
      <c r="E112" s="3">
        <v>0</v>
      </c>
      <c r="F112" s="3">
        <v>0.24</v>
      </c>
      <c r="G112" s="3">
        <v>0</v>
      </c>
      <c r="H112" s="3">
        <v>265882</v>
      </c>
      <c r="I112" s="3">
        <v>10017.81</v>
      </c>
      <c r="J112" s="3">
        <v>5.0594000000000001</v>
      </c>
      <c r="K112" s="2"/>
      <c r="U112" s="2"/>
      <c r="AE112" s="2"/>
      <c r="AO112" s="2"/>
      <c r="AY112" s="2">
        <v>46197</v>
      </c>
      <c r="AZ112" s="3" t="s">
        <v>1413</v>
      </c>
      <c r="BA112" s="3" t="s">
        <v>1410</v>
      </c>
      <c r="BB112" s="3" t="s">
        <v>589</v>
      </c>
      <c r="BC112" s="3">
        <v>0</v>
      </c>
      <c r="BD112" s="3">
        <v>0.3</v>
      </c>
      <c r="BE112" s="3">
        <v>0</v>
      </c>
      <c r="BF112" s="3">
        <v>381797</v>
      </c>
      <c r="BI112" s="2">
        <v>46197</v>
      </c>
      <c r="BJ112" s="3" t="s">
        <v>2279</v>
      </c>
      <c r="BK112" s="3" t="s">
        <v>709</v>
      </c>
      <c r="BL112" s="3" t="s">
        <v>710</v>
      </c>
      <c r="BM112" s="3">
        <v>0</v>
      </c>
      <c r="BN112" s="3">
        <v>0.35</v>
      </c>
      <c r="BO112" s="3">
        <v>0</v>
      </c>
      <c r="BP112" s="3">
        <v>460140</v>
      </c>
      <c r="BS112" s="2"/>
      <c r="CC112" s="2">
        <v>46197</v>
      </c>
      <c r="CD112" s="3" t="s">
        <v>2355</v>
      </c>
      <c r="CE112" s="3" t="s">
        <v>666</v>
      </c>
      <c r="CF112" s="3" t="s">
        <v>2356</v>
      </c>
      <c r="CG112" s="3">
        <v>0</v>
      </c>
      <c r="CH112" s="3">
        <v>0.32</v>
      </c>
      <c r="CI112" s="3">
        <v>0</v>
      </c>
      <c r="CJ112" s="3">
        <v>464469</v>
      </c>
      <c r="CK112" s="3">
        <v>9892.67</v>
      </c>
      <c r="CL112" s="3">
        <v>2.4821</v>
      </c>
      <c r="CM112" s="2"/>
      <c r="CW112" s="2"/>
    </row>
    <row r="113" spans="1:101" ht="13.5" customHeight="1" x14ac:dyDescent="0.3">
      <c r="A113" s="2">
        <v>46197</v>
      </c>
      <c r="B113" s="3" t="s">
        <v>1736</v>
      </c>
      <c r="C113" s="3" t="s">
        <v>1737</v>
      </c>
      <c r="D113" s="3" t="s">
        <v>1738</v>
      </c>
      <c r="E113" s="3">
        <v>0</v>
      </c>
      <c r="F113" s="3">
        <v>0.24</v>
      </c>
      <c r="G113" s="3">
        <v>0</v>
      </c>
      <c r="H113" s="3">
        <v>265562</v>
      </c>
      <c r="I113" s="3">
        <v>10008.18</v>
      </c>
      <c r="J113" s="3">
        <v>1.048</v>
      </c>
      <c r="K113" s="2"/>
      <c r="U113" s="2"/>
      <c r="AE113" s="2"/>
      <c r="AO113" s="2"/>
      <c r="AY113" s="2">
        <v>46197</v>
      </c>
      <c r="AZ113" s="3" t="s">
        <v>1414</v>
      </c>
      <c r="BA113" s="3" t="s">
        <v>1415</v>
      </c>
      <c r="BB113" s="3" t="s">
        <v>1416</v>
      </c>
      <c r="BC113" s="3">
        <v>0</v>
      </c>
      <c r="BD113" s="3">
        <v>0.3</v>
      </c>
      <c r="BE113" s="3">
        <v>0</v>
      </c>
      <c r="BF113" s="3">
        <v>381659</v>
      </c>
      <c r="BI113" s="2">
        <v>46197</v>
      </c>
      <c r="BJ113" s="3" t="s">
        <v>2280</v>
      </c>
      <c r="BK113" s="3" t="s">
        <v>709</v>
      </c>
      <c r="BL113" s="3" t="s">
        <v>710</v>
      </c>
      <c r="BM113" s="3">
        <v>0</v>
      </c>
      <c r="BN113" s="3">
        <v>0.35</v>
      </c>
      <c r="BO113" s="3">
        <v>0</v>
      </c>
      <c r="BP113" s="3">
        <v>460140</v>
      </c>
      <c r="BS113" s="2"/>
      <c r="CC113" s="2">
        <v>46197</v>
      </c>
      <c r="CD113" s="3" t="s">
        <v>2357</v>
      </c>
      <c r="CE113" s="3" t="s">
        <v>1061</v>
      </c>
      <c r="CF113" s="3" t="s">
        <v>2358</v>
      </c>
      <c r="CG113" s="3">
        <v>0</v>
      </c>
      <c r="CH113" s="3">
        <v>0.32</v>
      </c>
      <c r="CI113" s="3">
        <v>0</v>
      </c>
      <c r="CJ113" s="3">
        <v>464410</v>
      </c>
      <c r="CK113" s="3">
        <v>9892.24</v>
      </c>
      <c r="CL113" s="3">
        <v>2.5491999999999999</v>
      </c>
      <c r="CM113" s="2"/>
      <c r="CW113" s="2"/>
    </row>
    <row r="114" spans="1:101" ht="13.5" customHeight="1" x14ac:dyDescent="0.3">
      <c r="A114" s="2">
        <v>46197</v>
      </c>
      <c r="B114" s="3" t="s">
        <v>1739</v>
      </c>
      <c r="C114" s="3" t="s">
        <v>1740</v>
      </c>
      <c r="D114" s="3" t="s">
        <v>1741</v>
      </c>
      <c r="E114" s="3">
        <v>0</v>
      </c>
      <c r="F114" s="3">
        <v>0.24</v>
      </c>
      <c r="G114" s="3">
        <v>0</v>
      </c>
      <c r="H114" s="3">
        <v>265501</v>
      </c>
      <c r="I114" s="3">
        <v>10004.700000000001</v>
      </c>
      <c r="J114" s="3">
        <v>1.2475000000000001</v>
      </c>
      <c r="K114" s="2"/>
      <c r="U114" s="2"/>
      <c r="AE114" s="2"/>
      <c r="AO114" s="2"/>
      <c r="AY114" s="2">
        <v>46197</v>
      </c>
      <c r="AZ114" s="3" t="s">
        <v>1417</v>
      </c>
      <c r="BA114" s="3" t="s">
        <v>1415</v>
      </c>
      <c r="BB114" s="3" t="s">
        <v>1416</v>
      </c>
      <c r="BC114" s="3">
        <v>0</v>
      </c>
      <c r="BD114" s="3">
        <v>0.3</v>
      </c>
      <c r="BE114" s="3">
        <v>0</v>
      </c>
      <c r="BF114" s="3">
        <v>381659</v>
      </c>
      <c r="BI114" s="2">
        <v>46197</v>
      </c>
      <c r="BJ114" s="3" t="s">
        <v>2281</v>
      </c>
      <c r="BK114" s="3" t="s">
        <v>709</v>
      </c>
      <c r="BL114" s="3" t="s">
        <v>710</v>
      </c>
      <c r="BM114" s="3">
        <v>0</v>
      </c>
      <c r="BN114" s="3">
        <v>0.35</v>
      </c>
      <c r="BO114" s="3">
        <v>0</v>
      </c>
      <c r="BP114" s="3">
        <v>460140</v>
      </c>
      <c r="BS114" s="2"/>
      <c r="CC114" s="2">
        <v>46197</v>
      </c>
      <c r="CD114" s="3" t="s">
        <v>2359</v>
      </c>
      <c r="CE114" s="3" t="s">
        <v>789</v>
      </c>
      <c r="CF114" s="3" t="s">
        <v>2360</v>
      </c>
      <c r="CG114" s="3">
        <v>0</v>
      </c>
      <c r="CH114" s="3">
        <v>0.32</v>
      </c>
      <c r="CI114" s="3">
        <v>0</v>
      </c>
      <c r="CJ114" s="3">
        <v>464345</v>
      </c>
      <c r="CK114" s="3">
        <v>9890.0300000000007</v>
      </c>
      <c r="CL114" s="3">
        <v>2.4823</v>
      </c>
      <c r="CM114" s="2"/>
      <c r="CW114" s="2"/>
    </row>
    <row r="115" spans="1:101" ht="13.5" customHeight="1" x14ac:dyDescent="0.3">
      <c r="A115" s="2">
        <v>46197</v>
      </c>
      <c r="B115" s="3" t="s">
        <v>1742</v>
      </c>
      <c r="C115" s="3" t="s">
        <v>1743</v>
      </c>
      <c r="D115" s="3" t="s">
        <v>1744</v>
      </c>
      <c r="E115" s="3">
        <v>0</v>
      </c>
      <c r="F115" s="3">
        <v>0.24</v>
      </c>
      <c r="G115" s="3">
        <v>0</v>
      </c>
      <c r="H115" s="3">
        <v>265414</v>
      </c>
      <c r="I115" s="3">
        <v>10002.94</v>
      </c>
      <c r="J115" s="3">
        <v>1.0381</v>
      </c>
      <c r="K115" s="2"/>
      <c r="U115" s="2"/>
      <c r="AE115" s="2"/>
      <c r="AO115" s="2"/>
      <c r="AY115" s="2">
        <v>46197</v>
      </c>
      <c r="AZ115" s="3" t="s">
        <v>1418</v>
      </c>
      <c r="BA115" s="3" t="s">
        <v>588</v>
      </c>
      <c r="BB115" s="3" t="s">
        <v>589</v>
      </c>
      <c r="BC115" s="3">
        <v>0</v>
      </c>
      <c r="BD115" s="3">
        <v>0.3</v>
      </c>
      <c r="BE115" s="3">
        <v>0</v>
      </c>
      <c r="BF115" s="3">
        <v>381649</v>
      </c>
      <c r="BI115" s="2">
        <v>46197</v>
      </c>
      <c r="BJ115" s="3" t="s">
        <v>2282</v>
      </c>
      <c r="BK115" s="3" t="s">
        <v>1185</v>
      </c>
      <c r="BL115" s="3" t="s">
        <v>1186</v>
      </c>
      <c r="BM115" s="3">
        <v>0</v>
      </c>
      <c r="BN115" s="3">
        <v>0.35</v>
      </c>
      <c r="BO115" s="3">
        <v>0</v>
      </c>
      <c r="BP115" s="3">
        <v>459466</v>
      </c>
      <c r="BS115" s="2"/>
      <c r="CC115" s="2">
        <v>46197</v>
      </c>
      <c r="CD115" s="3" t="s">
        <v>2361</v>
      </c>
      <c r="CE115" s="3" t="s">
        <v>2160</v>
      </c>
      <c r="CF115" s="3" t="s">
        <v>2362</v>
      </c>
      <c r="CG115" s="3">
        <v>0</v>
      </c>
      <c r="CH115" s="3">
        <v>0.32</v>
      </c>
      <c r="CI115" s="3">
        <v>0</v>
      </c>
      <c r="CJ115" s="3">
        <v>464052</v>
      </c>
      <c r="CK115" s="3">
        <v>9884.58</v>
      </c>
      <c r="CL115" s="3">
        <v>2.4626000000000001</v>
      </c>
      <c r="CM115" s="2"/>
      <c r="CW115" s="2"/>
    </row>
    <row r="116" spans="1:101" ht="13.5" customHeight="1" x14ac:dyDescent="0.3">
      <c r="A116" s="2">
        <v>46197</v>
      </c>
      <c r="B116" s="3" t="s">
        <v>1745</v>
      </c>
      <c r="C116" s="3" t="s">
        <v>1746</v>
      </c>
      <c r="D116" s="3" t="s">
        <v>1747</v>
      </c>
      <c r="E116" s="3">
        <v>0</v>
      </c>
      <c r="F116" s="3">
        <v>0.24</v>
      </c>
      <c r="G116" s="3">
        <v>0</v>
      </c>
      <c r="H116" s="3">
        <v>265349</v>
      </c>
      <c r="I116" s="3">
        <v>10000.709999999999</v>
      </c>
      <c r="J116" s="3">
        <v>0.39829999999999999</v>
      </c>
      <c r="K116" s="2"/>
      <c r="U116" s="2"/>
      <c r="AE116" s="2"/>
      <c r="AO116" s="2"/>
      <c r="AY116" s="2">
        <v>46197</v>
      </c>
      <c r="AZ116" s="3" t="s">
        <v>1419</v>
      </c>
      <c r="BA116" s="3" t="s">
        <v>588</v>
      </c>
      <c r="BB116" s="3" t="s">
        <v>589</v>
      </c>
      <c r="BC116" s="3">
        <v>0</v>
      </c>
      <c r="BD116" s="3">
        <v>0.3</v>
      </c>
      <c r="BE116" s="3">
        <v>0</v>
      </c>
      <c r="BF116" s="3">
        <v>381649</v>
      </c>
      <c r="BI116" s="2">
        <v>46197</v>
      </c>
      <c r="BJ116" s="3" t="s">
        <v>2283</v>
      </c>
      <c r="BK116" s="3" t="s">
        <v>1185</v>
      </c>
      <c r="BL116" s="3" t="s">
        <v>1186</v>
      </c>
      <c r="BM116" s="3">
        <v>0</v>
      </c>
      <c r="BN116" s="3">
        <v>0.35</v>
      </c>
      <c r="BO116" s="3">
        <v>0</v>
      </c>
      <c r="BP116" s="3">
        <v>459466</v>
      </c>
      <c r="BS116" s="2"/>
      <c r="CC116" s="2">
        <v>46197</v>
      </c>
      <c r="CD116" s="3" t="s">
        <v>2363</v>
      </c>
      <c r="CE116" s="3" t="s">
        <v>351</v>
      </c>
      <c r="CF116" s="3" t="s">
        <v>2364</v>
      </c>
      <c r="CG116" s="3">
        <v>0</v>
      </c>
      <c r="CH116" s="3">
        <v>0.32</v>
      </c>
      <c r="CI116" s="3">
        <v>0</v>
      </c>
      <c r="CJ116" s="3">
        <v>463974</v>
      </c>
      <c r="CM116" s="2"/>
      <c r="CW116" s="2"/>
    </row>
    <row r="117" spans="1:101" ht="13.5" customHeight="1" x14ac:dyDescent="0.3">
      <c r="A117" s="2">
        <v>46197</v>
      </c>
      <c r="B117" s="3" t="s">
        <v>1748</v>
      </c>
      <c r="C117" s="3" t="s">
        <v>1749</v>
      </c>
      <c r="D117" s="3" t="s">
        <v>1750</v>
      </c>
      <c r="E117" s="3">
        <v>0</v>
      </c>
      <c r="F117" s="3">
        <v>0.24</v>
      </c>
      <c r="G117" s="3">
        <v>0</v>
      </c>
      <c r="H117" s="3">
        <v>265312</v>
      </c>
      <c r="I117" s="3">
        <v>9998.26</v>
      </c>
      <c r="J117" s="3">
        <v>1.5702</v>
      </c>
      <c r="K117" s="2"/>
      <c r="U117" s="2"/>
      <c r="AE117" s="2"/>
      <c r="AO117" s="2"/>
      <c r="AY117" s="2">
        <v>46197</v>
      </c>
      <c r="AZ117" s="3" t="s">
        <v>1420</v>
      </c>
      <c r="BA117" s="3" t="s">
        <v>1415</v>
      </c>
      <c r="BB117" s="3" t="s">
        <v>1416</v>
      </c>
      <c r="BC117" s="3">
        <v>0</v>
      </c>
      <c r="BD117" s="3">
        <v>0.3</v>
      </c>
      <c r="BE117" s="3">
        <v>0</v>
      </c>
      <c r="BF117" s="3">
        <v>379954</v>
      </c>
      <c r="BI117" s="2">
        <v>46197</v>
      </c>
      <c r="BJ117" s="3" t="s">
        <v>2284</v>
      </c>
      <c r="BK117" s="3" t="s">
        <v>1185</v>
      </c>
      <c r="BL117" s="3" t="s">
        <v>1186</v>
      </c>
      <c r="BM117" s="3">
        <v>0</v>
      </c>
      <c r="BN117" s="3">
        <v>0.35</v>
      </c>
      <c r="BO117" s="3">
        <v>0</v>
      </c>
      <c r="BP117" s="3">
        <v>459466</v>
      </c>
      <c r="BS117" s="2"/>
      <c r="CC117" s="2">
        <v>46197</v>
      </c>
      <c r="CD117" s="3" t="s">
        <v>2365</v>
      </c>
      <c r="CE117" s="3" t="s">
        <v>213</v>
      </c>
      <c r="CF117" s="3" t="s">
        <v>2366</v>
      </c>
      <c r="CG117" s="3">
        <v>0</v>
      </c>
      <c r="CH117" s="3">
        <v>0.32</v>
      </c>
      <c r="CI117" s="3">
        <v>0</v>
      </c>
      <c r="CJ117" s="3">
        <v>463942</v>
      </c>
      <c r="CM117" s="2"/>
      <c r="CW117" s="2"/>
    </row>
    <row r="118" spans="1:101" ht="13.5" customHeight="1" x14ac:dyDescent="0.3">
      <c r="A118" s="2">
        <v>46197</v>
      </c>
      <c r="B118" s="3" t="s">
        <v>1751</v>
      </c>
      <c r="C118" s="3" t="s">
        <v>1752</v>
      </c>
      <c r="D118" s="3" t="s">
        <v>1753</v>
      </c>
      <c r="E118" s="3">
        <v>0</v>
      </c>
      <c r="F118" s="3">
        <v>0.24</v>
      </c>
      <c r="G118" s="3">
        <v>0</v>
      </c>
      <c r="H118" s="3">
        <v>265284</v>
      </c>
      <c r="I118" s="3">
        <v>9998.15</v>
      </c>
      <c r="J118" s="3">
        <v>0.64349999999999996</v>
      </c>
      <c r="K118" s="2"/>
      <c r="U118" s="2"/>
      <c r="AE118" s="2"/>
      <c r="AO118" s="2"/>
      <c r="AY118" s="2">
        <v>46197</v>
      </c>
      <c r="AZ118" s="3" t="s">
        <v>1421</v>
      </c>
      <c r="BA118" s="3" t="s">
        <v>1415</v>
      </c>
      <c r="BB118" s="3" t="s">
        <v>1416</v>
      </c>
      <c r="BC118" s="3">
        <v>0</v>
      </c>
      <c r="BD118" s="3">
        <v>0.3</v>
      </c>
      <c r="BE118" s="3">
        <v>0</v>
      </c>
      <c r="BF118" s="3">
        <v>379954</v>
      </c>
      <c r="BI118" s="2">
        <v>46197</v>
      </c>
      <c r="BJ118" s="3" t="s">
        <v>2285</v>
      </c>
      <c r="BK118" s="3" t="s">
        <v>1185</v>
      </c>
      <c r="BL118" s="3" t="s">
        <v>1186</v>
      </c>
      <c r="BM118" s="3">
        <v>0</v>
      </c>
      <c r="BN118" s="3">
        <v>0.35</v>
      </c>
      <c r="BO118" s="3">
        <v>0</v>
      </c>
      <c r="BP118" s="3">
        <v>459466</v>
      </c>
      <c r="BS118" s="2"/>
      <c r="CC118" s="2">
        <v>46197</v>
      </c>
      <c r="CD118" s="3" t="s">
        <v>2367</v>
      </c>
      <c r="CE118" s="3" t="s">
        <v>1622</v>
      </c>
      <c r="CF118" s="3" t="s">
        <v>2368</v>
      </c>
      <c r="CG118" s="3">
        <v>0</v>
      </c>
      <c r="CH118" s="3">
        <v>0.32</v>
      </c>
      <c r="CI118" s="3">
        <v>0</v>
      </c>
      <c r="CJ118" s="3">
        <v>463865</v>
      </c>
      <c r="CK118" s="3">
        <v>9879.9599999999991</v>
      </c>
      <c r="CL118" s="3">
        <v>2.3149000000000002</v>
      </c>
      <c r="CM118" s="2"/>
      <c r="CW118" s="2"/>
    </row>
    <row r="119" spans="1:101" ht="13.5" customHeight="1" x14ac:dyDescent="0.3">
      <c r="A119" s="2">
        <v>46197</v>
      </c>
      <c r="B119" s="3" t="s">
        <v>1754</v>
      </c>
      <c r="C119" s="3" t="s">
        <v>1755</v>
      </c>
      <c r="D119" s="3" t="s">
        <v>1756</v>
      </c>
      <c r="E119" s="3">
        <v>0</v>
      </c>
      <c r="F119" s="3">
        <v>0.24</v>
      </c>
      <c r="G119" s="3">
        <v>0</v>
      </c>
      <c r="H119" s="3">
        <v>265232</v>
      </c>
      <c r="I119" s="3">
        <v>9995.8799999999992</v>
      </c>
      <c r="J119" s="3">
        <v>1.2242999999999999</v>
      </c>
      <c r="K119" s="2"/>
      <c r="U119" s="2"/>
      <c r="AE119" s="2"/>
      <c r="AO119" s="2"/>
      <c r="AY119" s="2">
        <v>46197</v>
      </c>
      <c r="AZ119" s="3" t="s">
        <v>1422</v>
      </c>
      <c r="BA119" s="3" t="s">
        <v>1415</v>
      </c>
      <c r="BB119" s="3" t="s">
        <v>1416</v>
      </c>
      <c r="BC119" s="3">
        <v>0</v>
      </c>
      <c r="BD119" s="3">
        <v>0.3</v>
      </c>
      <c r="BE119" s="3">
        <v>0</v>
      </c>
      <c r="BF119" s="3">
        <v>379954</v>
      </c>
      <c r="BI119" s="2">
        <v>46197</v>
      </c>
      <c r="BJ119" s="3" t="s">
        <v>2286</v>
      </c>
      <c r="BK119" s="3" t="s">
        <v>709</v>
      </c>
      <c r="BL119" s="3" t="s">
        <v>710</v>
      </c>
      <c r="BM119" s="3">
        <v>0</v>
      </c>
      <c r="BN119" s="3">
        <v>0.35</v>
      </c>
      <c r="BO119" s="3">
        <v>0</v>
      </c>
      <c r="BP119" s="3">
        <v>458915</v>
      </c>
      <c r="BS119" s="2"/>
      <c r="CC119" s="2">
        <v>46197</v>
      </c>
      <c r="CD119" s="3" t="s">
        <v>2369</v>
      </c>
      <c r="CE119" s="3" t="s">
        <v>315</v>
      </c>
      <c r="CF119" s="3" t="s">
        <v>2370</v>
      </c>
      <c r="CG119" s="3">
        <v>0</v>
      </c>
      <c r="CH119" s="3">
        <v>0.32</v>
      </c>
      <c r="CI119" s="3">
        <v>0</v>
      </c>
      <c r="CJ119" s="3">
        <v>463719</v>
      </c>
      <c r="CK119" s="3">
        <v>9876.2999999999993</v>
      </c>
      <c r="CL119" s="3">
        <v>1.2501</v>
      </c>
      <c r="CM119" s="2"/>
      <c r="CW119" s="2"/>
    </row>
    <row r="120" spans="1:101" ht="13.5" customHeight="1" x14ac:dyDescent="0.3">
      <c r="A120" s="2">
        <v>46197</v>
      </c>
      <c r="B120" s="3" t="s">
        <v>1757</v>
      </c>
      <c r="C120" s="3" t="s">
        <v>1082</v>
      </c>
      <c r="D120" s="3" t="s">
        <v>1758</v>
      </c>
      <c r="E120" s="3">
        <v>0</v>
      </c>
      <c r="F120" s="3">
        <v>0.24</v>
      </c>
      <c r="G120" s="3">
        <v>0</v>
      </c>
      <c r="H120" s="3">
        <v>265204</v>
      </c>
      <c r="I120" s="3">
        <v>9994.8700000000008</v>
      </c>
      <c r="J120" s="3">
        <v>0.47360000000000002</v>
      </c>
      <c r="K120" s="2"/>
      <c r="U120" s="2"/>
      <c r="AE120" s="2"/>
      <c r="AO120" s="2"/>
      <c r="AY120" s="2">
        <v>46197</v>
      </c>
      <c r="AZ120" s="3" t="s">
        <v>1389</v>
      </c>
      <c r="BA120" s="3" t="s">
        <v>1210</v>
      </c>
      <c r="BB120" s="3" t="s">
        <v>1390</v>
      </c>
      <c r="BC120" s="3">
        <v>0</v>
      </c>
      <c r="BD120" s="3">
        <v>0.3</v>
      </c>
      <c r="BE120" s="3">
        <v>0</v>
      </c>
      <c r="BF120" s="3">
        <v>379780</v>
      </c>
      <c r="BG120" s="3">
        <v>9458.32</v>
      </c>
      <c r="BH120" s="3">
        <v>3.8957999999999999</v>
      </c>
      <c r="BI120" s="2">
        <v>46197</v>
      </c>
      <c r="BJ120" s="3" t="s">
        <v>2287</v>
      </c>
      <c r="BK120" s="3" t="s">
        <v>709</v>
      </c>
      <c r="BL120" s="3" t="s">
        <v>710</v>
      </c>
      <c r="BM120" s="3">
        <v>0</v>
      </c>
      <c r="BN120" s="3">
        <v>0.35</v>
      </c>
      <c r="BO120" s="3">
        <v>0</v>
      </c>
      <c r="BP120" s="3">
        <v>458915</v>
      </c>
      <c r="BS120" s="2"/>
      <c r="CC120" s="2">
        <v>46197</v>
      </c>
      <c r="CD120" s="3" t="s">
        <v>2087</v>
      </c>
      <c r="CE120" s="3" t="s">
        <v>1563</v>
      </c>
      <c r="CF120" s="3" t="s">
        <v>2088</v>
      </c>
      <c r="CG120" s="3">
        <v>0</v>
      </c>
      <c r="CH120" s="3">
        <v>0.32</v>
      </c>
      <c r="CI120" s="3">
        <v>0</v>
      </c>
      <c r="CJ120" s="3">
        <v>463714</v>
      </c>
      <c r="CK120" s="3">
        <v>9876.91</v>
      </c>
      <c r="CL120" s="3">
        <v>2.4371</v>
      </c>
      <c r="CM120" s="2"/>
      <c r="CW120" s="2"/>
    </row>
    <row r="121" spans="1:101" ht="13.5" customHeight="1" x14ac:dyDescent="0.3">
      <c r="A121" s="2">
        <v>46197</v>
      </c>
      <c r="B121" s="3" t="s">
        <v>1759</v>
      </c>
      <c r="C121" s="3" t="s">
        <v>1760</v>
      </c>
      <c r="D121" s="3" t="s">
        <v>1761</v>
      </c>
      <c r="E121" s="3">
        <v>0</v>
      </c>
      <c r="F121" s="3">
        <v>0.24</v>
      </c>
      <c r="G121" s="3">
        <v>0</v>
      </c>
      <c r="H121" s="3">
        <v>265053</v>
      </c>
      <c r="I121" s="3">
        <v>9988.58</v>
      </c>
      <c r="J121" s="3">
        <v>1.7395</v>
      </c>
      <c r="K121" s="2"/>
      <c r="U121" s="2"/>
      <c r="AE121" s="2"/>
      <c r="AO121" s="2"/>
      <c r="AY121" s="2">
        <v>46197</v>
      </c>
      <c r="AZ121" s="3" t="s">
        <v>1423</v>
      </c>
      <c r="BA121" s="3" t="s">
        <v>351</v>
      </c>
      <c r="BB121" s="3" t="s">
        <v>1126</v>
      </c>
      <c r="BC121" s="3">
        <v>0</v>
      </c>
      <c r="BD121" s="3">
        <v>0.3</v>
      </c>
      <c r="BE121" s="3">
        <v>0</v>
      </c>
      <c r="BF121" s="3">
        <v>379662</v>
      </c>
      <c r="BI121" s="2">
        <v>46197</v>
      </c>
      <c r="BJ121" s="3" t="s">
        <v>2288</v>
      </c>
      <c r="BK121" s="3" t="s">
        <v>1185</v>
      </c>
      <c r="BL121" s="3" t="s">
        <v>1186</v>
      </c>
      <c r="BM121" s="3">
        <v>0</v>
      </c>
      <c r="BN121" s="3">
        <v>0.35</v>
      </c>
      <c r="BO121" s="3">
        <v>0</v>
      </c>
      <c r="BP121" s="3">
        <v>458356</v>
      </c>
      <c r="BS121" s="2"/>
      <c r="CC121" s="2">
        <v>46197</v>
      </c>
      <c r="CD121" s="3" t="s">
        <v>2371</v>
      </c>
      <c r="CE121" s="3" t="s">
        <v>263</v>
      </c>
      <c r="CF121" s="3" t="s">
        <v>2372</v>
      </c>
      <c r="CG121" s="3">
        <v>0</v>
      </c>
      <c r="CH121" s="3">
        <v>0.32</v>
      </c>
      <c r="CI121" s="3">
        <v>0</v>
      </c>
      <c r="CJ121" s="3">
        <v>463660</v>
      </c>
      <c r="CK121" s="3">
        <v>9877.07</v>
      </c>
      <c r="CL121" s="3">
        <v>2.359</v>
      </c>
      <c r="CM121" s="2"/>
      <c r="CW121" s="2"/>
    </row>
    <row r="122" spans="1:101" ht="13.5" customHeight="1" x14ac:dyDescent="0.3">
      <c r="A122" s="2">
        <v>46197</v>
      </c>
      <c r="B122" s="3" t="s">
        <v>1762</v>
      </c>
      <c r="C122" s="3" t="s">
        <v>501</v>
      </c>
      <c r="D122" s="3" t="s">
        <v>1763</v>
      </c>
      <c r="E122" s="3">
        <v>0</v>
      </c>
      <c r="F122" s="3">
        <v>0.24</v>
      </c>
      <c r="G122" s="3">
        <v>0</v>
      </c>
      <c r="H122" s="3">
        <v>265040</v>
      </c>
      <c r="I122" s="3">
        <v>9987.67</v>
      </c>
      <c r="J122" s="3">
        <v>2.6879</v>
      </c>
      <c r="K122" s="2"/>
      <c r="U122" s="2"/>
      <c r="AE122" s="2"/>
      <c r="AO122" s="2"/>
      <c r="AY122" s="2">
        <v>46197</v>
      </c>
      <c r="AZ122" s="3" t="s">
        <v>1424</v>
      </c>
      <c r="BA122" s="3" t="s">
        <v>1425</v>
      </c>
      <c r="BB122" s="3" t="s">
        <v>1426</v>
      </c>
      <c r="BC122" s="3">
        <v>0</v>
      </c>
      <c r="BD122" s="3">
        <v>0.3</v>
      </c>
      <c r="BE122" s="3">
        <v>0</v>
      </c>
      <c r="BF122" s="3">
        <v>379620</v>
      </c>
      <c r="BI122" s="2">
        <v>46197</v>
      </c>
      <c r="BJ122" s="3" t="s">
        <v>2289</v>
      </c>
      <c r="BK122" s="3" t="s">
        <v>1185</v>
      </c>
      <c r="BL122" s="3" t="s">
        <v>1186</v>
      </c>
      <c r="BM122" s="3">
        <v>0</v>
      </c>
      <c r="BN122" s="3">
        <v>0.35</v>
      </c>
      <c r="BO122" s="3">
        <v>0</v>
      </c>
      <c r="BP122" s="3">
        <v>458356</v>
      </c>
      <c r="BS122" s="2"/>
      <c r="CC122" s="2">
        <v>46197</v>
      </c>
      <c r="CD122" s="3" t="s">
        <v>2373</v>
      </c>
      <c r="CE122" s="3" t="s">
        <v>1529</v>
      </c>
      <c r="CF122" s="3" t="s">
        <v>2374</v>
      </c>
      <c r="CG122" s="3">
        <v>0</v>
      </c>
      <c r="CH122" s="3">
        <v>0.32</v>
      </c>
      <c r="CI122" s="3">
        <v>0</v>
      </c>
      <c r="CJ122" s="3">
        <v>463638</v>
      </c>
      <c r="CK122" s="3">
        <v>9874.92</v>
      </c>
      <c r="CL122" s="3">
        <v>1.4158999999999999</v>
      </c>
      <c r="CM122" s="2"/>
      <c r="CW122" s="2"/>
    </row>
    <row r="123" spans="1:101" ht="13.5" customHeight="1" x14ac:dyDescent="0.3">
      <c r="A123" s="2">
        <v>46197</v>
      </c>
      <c r="B123" s="3" t="s">
        <v>1764</v>
      </c>
      <c r="C123" s="3" t="s">
        <v>1734</v>
      </c>
      <c r="D123" s="3" t="s">
        <v>1765</v>
      </c>
      <c r="E123" s="3">
        <v>0</v>
      </c>
      <c r="F123" s="3">
        <v>0.24</v>
      </c>
      <c r="G123" s="3">
        <v>0</v>
      </c>
      <c r="H123" s="3">
        <v>265029</v>
      </c>
      <c r="I123" s="3">
        <v>9986.16</v>
      </c>
      <c r="J123" s="3">
        <v>5.1256000000000004</v>
      </c>
      <c r="K123" s="2"/>
      <c r="U123" s="2"/>
      <c r="AE123" s="2"/>
      <c r="AO123" s="2"/>
      <c r="AY123" s="2">
        <v>46197</v>
      </c>
      <c r="AZ123" s="3" t="s">
        <v>1427</v>
      </c>
      <c r="BA123" s="3" t="s">
        <v>1425</v>
      </c>
      <c r="BB123" s="3" t="s">
        <v>1426</v>
      </c>
      <c r="BC123" s="3">
        <v>0</v>
      </c>
      <c r="BD123" s="3">
        <v>0.3</v>
      </c>
      <c r="BE123" s="3">
        <v>0</v>
      </c>
      <c r="BF123" s="3">
        <v>379620</v>
      </c>
      <c r="BI123" s="2">
        <v>46197</v>
      </c>
      <c r="BJ123" s="3" t="s">
        <v>2290</v>
      </c>
      <c r="BK123" s="3" t="s">
        <v>1686</v>
      </c>
      <c r="BL123" s="3" t="s">
        <v>1687</v>
      </c>
      <c r="BM123" s="3">
        <v>0</v>
      </c>
      <c r="BN123" s="3">
        <v>0.35</v>
      </c>
      <c r="BO123" s="3">
        <v>0</v>
      </c>
      <c r="BP123" s="3">
        <v>458263</v>
      </c>
      <c r="BS123" s="2"/>
      <c r="CC123" s="2">
        <v>46197</v>
      </c>
      <c r="CD123" s="3" t="s">
        <v>2375</v>
      </c>
      <c r="CE123" s="3" t="s">
        <v>1242</v>
      </c>
      <c r="CF123" s="3" t="s">
        <v>2376</v>
      </c>
      <c r="CG123" s="3">
        <v>0</v>
      </c>
      <c r="CH123" s="3">
        <v>0.32</v>
      </c>
      <c r="CI123" s="3">
        <v>0</v>
      </c>
      <c r="CJ123" s="3">
        <v>463373</v>
      </c>
      <c r="CM123" s="2"/>
      <c r="CW123" s="2"/>
    </row>
    <row r="124" spans="1:101" ht="13.5" customHeight="1" x14ac:dyDescent="0.3">
      <c r="A124" s="2">
        <v>46197</v>
      </c>
      <c r="B124" s="3" t="s">
        <v>190</v>
      </c>
      <c r="C124" s="3" t="s">
        <v>191</v>
      </c>
      <c r="D124" s="3" t="s">
        <v>192</v>
      </c>
      <c r="E124" s="3">
        <v>0</v>
      </c>
      <c r="F124" s="3">
        <v>0.24</v>
      </c>
      <c r="G124" s="3">
        <v>0</v>
      </c>
      <c r="H124" s="3">
        <v>264990</v>
      </c>
      <c r="I124" s="3">
        <v>9985.98</v>
      </c>
      <c r="J124" s="3">
        <v>1.8216000000000001</v>
      </c>
      <c r="K124" s="2"/>
      <c r="U124" s="2"/>
      <c r="AE124" s="2"/>
      <c r="AO124" s="2"/>
      <c r="AY124" s="2">
        <v>46197</v>
      </c>
      <c r="AZ124" s="3" t="s">
        <v>1428</v>
      </c>
      <c r="BA124" s="3" t="s">
        <v>1429</v>
      </c>
      <c r="BB124" s="3" t="s">
        <v>1430</v>
      </c>
      <c r="BC124" s="3">
        <v>0</v>
      </c>
      <c r="BD124" s="3">
        <v>0.3</v>
      </c>
      <c r="BE124" s="3">
        <v>0</v>
      </c>
      <c r="BF124" s="3">
        <v>379171</v>
      </c>
      <c r="BI124" s="2">
        <v>46197</v>
      </c>
      <c r="BJ124" s="3" t="s">
        <v>2291</v>
      </c>
      <c r="BK124" s="3" t="s">
        <v>1686</v>
      </c>
      <c r="BL124" s="3" t="s">
        <v>1687</v>
      </c>
      <c r="BM124" s="3">
        <v>0</v>
      </c>
      <c r="BN124" s="3">
        <v>0.35</v>
      </c>
      <c r="BO124" s="3">
        <v>0</v>
      </c>
      <c r="BP124" s="3">
        <v>458263</v>
      </c>
      <c r="BS124" s="2"/>
      <c r="CC124" s="2">
        <v>46197</v>
      </c>
      <c r="CD124" s="3" t="s">
        <v>2377</v>
      </c>
      <c r="CE124" s="3" t="s">
        <v>1088</v>
      </c>
      <c r="CF124" s="3" t="s">
        <v>2378</v>
      </c>
      <c r="CG124" s="3">
        <v>0</v>
      </c>
      <c r="CH124" s="3">
        <v>0.32</v>
      </c>
      <c r="CI124" s="3">
        <v>0</v>
      </c>
      <c r="CJ124" s="3">
        <v>463051</v>
      </c>
      <c r="CK124" s="3">
        <v>9862.25</v>
      </c>
      <c r="CL124" s="3">
        <v>1.1672</v>
      </c>
      <c r="CM124" s="2"/>
      <c r="CW124" s="2"/>
    </row>
    <row r="125" spans="1:101" ht="13.5" customHeight="1" x14ac:dyDescent="0.3">
      <c r="A125" s="2">
        <v>46197</v>
      </c>
      <c r="B125" s="3" t="s">
        <v>1766</v>
      </c>
      <c r="C125" s="3" t="s">
        <v>1767</v>
      </c>
      <c r="D125" s="3" t="s">
        <v>1768</v>
      </c>
      <c r="E125" s="3">
        <v>0</v>
      </c>
      <c r="F125" s="3">
        <v>0.24</v>
      </c>
      <c r="G125" s="3">
        <v>0</v>
      </c>
      <c r="H125" s="3">
        <v>264941</v>
      </c>
      <c r="I125" s="3">
        <v>9984.23</v>
      </c>
      <c r="J125" s="3">
        <v>1.7983</v>
      </c>
      <c r="K125" s="2"/>
      <c r="U125" s="2"/>
      <c r="AE125" s="2"/>
      <c r="AO125" s="2"/>
      <c r="AY125" s="2">
        <v>46197</v>
      </c>
      <c r="AZ125" s="3" t="s">
        <v>1431</v>
      </c>
      <c r="BA125" s="3" t="s">
        <v>1429</v>
      </c>
      <c r="BB125" s="3" t="s">
        <v>1430</v>
      </c>
      <c r="BC125" s="3">
        <v>0</v>
      </c>
      <c r="BD125" s="3">
        <v>0.3</v>
      </c>
      <c r="BE125" s="3">
        <v>0</v>
      </c>
      <c r="BF125" s="3">
        <v>379171</v>
      </c>
      <c r="BI125" s="2">
        <v>46197</v>
      </c>
      <c r="BJ125" s="3" t="s">
        <v>2292</v>
      </c>
      <c r="BK125" s="3" t="s">
        <v>1162</v>
      </c>
      <c r="BL125" s="3" t="s">
        <v>1163</v>
      </c>
      <c r="BM125" s="3">
        <v>0</v>
      </c>
      <c r="BN125" s="3">
        <v>0.35</v>
      </c>
      <c r="BO125" s="3">
        <v>0</v>
      </c>
      <c r="BP125" s="3">
        <v>458251</v>
      </c>
      <c r="BS125" s="2"/>
      <c r="CC125" s="2">
        <v>46197</v>
      </c>
      <c r="CD125" s="3" t="s">
        <v>2379</v>
      </c>
      <c r="CE125" s="3" t="s">
        <v>1616</v>
      </c>
      <c r="CF125" s="3" t="s">
        <v>2380</v>
      </c>
      <c r="CG125" s="3">
        <v>0</v>
      </c>
      <c r="CH125" s="3">
        <v>0.32</v>
      </c>
      <c r="CI125" s="3">
        <v>0</v>
      </c>
      <c r="CJ125" s="3">
        <v>462981</v>
      </c>
      <c r="CK125" s="3">
        <v>9860.74</v>
      </c>
      <c r="CL125" s="3">
        <v>2.4567999999999999</v>
      </c>
      <c r="CM125" s="2"/>
      <c r="CW125" s="2"/>
    </row>
    <row r="126" spans="1:101" ht="13.5" customHeight="1" x14ac:dyDescent="0.3">
      <c r="A126" s="2">
        <v>46197</v>
      </c>
      <c r="B126" s="3" t="s">
        <v>1769</v>
      </c>
      <c r="C126" s="3" t="s">
        <v>1770</v>
      </c>
      <c r="D126" s="3" t="s">
        <v>1771</v>
      </c>
      <c r="E126" s="3">
        <v>0</v>
      </c>
      <c r="F126" s="3">
        <v>0.24</v>
      </c>
      <c r="G126" s="3">
        <v>0</v>
      </c>
      <c r="H126" s="3">
        <v>264935</v>
      </c>
      <c r="I126" s="3">
        <v>9984.67</v>
      </c>
      <c r="J126" s="3">
        <v>1.2917000000000001</v>
      </c>
      <c r="K126" s="2"/>
      <c r="U126" s="2"/>
      <c r="AE126" s="2"/>
      <c r="AO126" s="2"/>
      <c r="AY126" s="2">
        <v>46197</v>
      </c>
      <c r="AZ126" s="3" t="s">
        <v>1432</v>
      </c>
      <c r="BA126" s="3" t="s">
        <v>1410</v>
      </c>
      <c r="BB126" s="3" t="s">
        <v>589</v>
      </c>
      <c r="BC126" s="3">
        <v>0</v>
      </c>
      <c r="BD126" s="3">
        <v>0.3</v>
      </c>
      <c r="BE126" s="3">
        <v>0</v>
      </c>
      <c r="BF126" s="3">
        <v>379128</v>
      </c>
      <c r="BI126" s="2">
        <v>46197</v>
      </c>
      <c r="BJ126" s="3" t="s">
        <v>2293</v>
      </c>
      <c r="BK126" s="3" t="s">
        <v>1162</v>
      </c>
      <c r="BL126" s="3" t="s">
        <v>1163</v>
      </c>
      <c r="BM126" s="3">
        <v>0</v>
      </c>
      <c r="BN126" s="3">
        <v>0.35</v>
      </c>
      <c r="BO126" s="3">
        <v>0</v>
      </c>
      <c r="BP126" s="3">
        <v>458251</v>
      </c>
      <c r="BS126" s="2"/>
      <c r="CC126" s="2">
        <v>46197</v>
      </c>
      <c r="CD126" s="3" t="s">
        <v>2381</v>
      </c>
      <c r="CE126" s="3" t="s">
        <v>351</v>
      </c>
      <c r="CF126" s="3" t="s">
        <v>2382</v>
      </c>
      <c r="CG126" s="3">
        <v>0</v>
      </c>
      <c r="CH126" s="3">
        <v>0.32</v>
      </c>
      <c r="CI126" s="3">
        <v>0</v>
      </c>
      <c r="CJ126" s="3">
        <v>462963</v>
      </c>
      <c r="CM126" s="2"/>
      <c r="CW126" s="2"/>
    </row>
    <row r="127" spans="1:101" ht="13.5" customHeight="1" x14ac:dyDescent="0.3">
      <c r="A127" s="2">
        <v>46197</v>
      </c>
      <c r="B127" s="3" t="s">
        <v>1772</v>
      </c>
      <c r="C127" s="3" t="s">
        <v>1773</v>
      </c>
      <c r="D127" s="3" t="s">
        <v>1774</v>
      </c>
      <c r="E127" s="3">
        <v>0</v>
      </c>
      <c r="F127" s="3">
        <v>0.24</v>
      </c>
      <c r="G127" s="3">
        <v>0</v>
      </c>
      <c r="H127" s="3">
        <v>264874</v>
      </c>
      <c r="I127" s="3">
        <v>9982.85</v>
      </c>
      <c r="J127" s="3">
        <v>1.6006</v>
      </c>
      <c r="K127" s="2"/>
      <c r="U127" s="2"/>
      <c r="AE127" s="2"/>
      <c r="AO127" s="2"/>
      <c r="AY127" s="2">
        <v>46197</v>
      </c>
      <c r="AZ127" s="3" t="s">
        <v>1433</v>
      </c>
      <c r="BA127" s="3" t="s">
        <v>1410</v>
      </c>
      <c r="BB127" s="3" t="s">
        <v>589</v>
      </c>
      <c r="BC127" s="3">
        <v>0</v>
      </c>
      <c r="BD127" s="3">
        <v>0.3</v>
      </c>
      <c r="BE127" s="3">
        <v>0</v>
      </c>
      <c r="BF127" s="3">
        <v>379128</v>
      </c>
      <c r="BI127" s="2">
        <v>46197</v>
      </c>
      <c r="BJ127" s="3" t="s">
        <v>2294</v>
      </c>
      <c r="BK127" s="3" t="s">
        <v>2295</v>
      </c>
      <c r="BL127" s="3" t="s">
        <v>2296</v>
      </c>
      <c r="BM127" s="3">
        <v>0</v>
      </c>
      <c r="BN127" s="3">
        <v>0.35</v>
      </c>
      <c r="BO127" s="3">
        <v>0</v>
      </c>
      <c r="BP127" s="3">
        <v>458171</v>
      </c>
      <c r="BS127" s="2"/>
      <c r="CC127" s="2">
        <v>46197</v>
      </c>
      <c r="CD127" s="3" t="s">
        <v>88</v>
      </c>
      <c r="CE127" s="3" t="s">
        <v>89</v>
      </c>
      <c r="CF127" s="3" t="s">
        <v>90</v>
      </c>
      <c r="CG127" s="3">
        <v>0</v>
      </c>
      <c r="CH127" s="3">
        <v>0.31</v>
      </c>
      <c r="CI127" s="3">
        <v>0</v>
      </c>
      <c r="CJ127" s="3">
        <v>462418</v>
      </c>
      <c r="CK127" s="3">
        <v>9847.93</v>
      </c>
      <c r="CL127" s="3">
        <v>2.7871000000000001</v>
      </c>
      <c r="CM127" s="2"/>
      <c r="CW127" s="2"/>
    </row>
    <row r="128" spans="1:101" ht="13.5" customHeight="1" x14ac:dyDescent="0.3">
      <c r="A128" s="2">
        <v>46197</v>
      </c>
      <c r="B128" s="3" t="s">
        <v>1775</v>
      </c>
      <c r="C128" s="3" t="s">
        <v>1776</v>
      </c>
      <c r="D128" s="3" t="s">
        <v>1777</v>
      </c>
      <c r="E128" s="3">
        <v>0</v>
      </c>
      <c r="F128" s="3">
        <v>0.24</v>
      </c>
      <c r="G128" s="3">
        <v>0</v>
      </c>
      <c r="H128" s="3">
        <v>264869</v>
      </c>
      <c r="I128" s="3">
        <v>9981.6</v>
      </c>
      <c r="J128" s="3">
        <v>1.1437999999999999</v>
      </c>
      <c r="K128" s="2"/>
      <c r="U128" s="2"/>
      <c r="AE128" s="2"/>
      <c r="AO128" s="2"/>
      <c r="AY128" s="2">
        <v>46197</v>
      </c>
      <c r="AZ128" s="3" t="s">
        <v>1434</v>
      </c>
      <c r="BA128" s="3" t="s">
        <v>1435</v>
      </c>
      <c r="BB128" s="3" t="s">
        <v>1436</v>
      </c>
      <c r="BC128" s="3">
        <v>0</v>
      </c>
      <c r="BD128" s="3">
        <v>0.3</v>
      </c>
      <c r="BE128" s="3">
        <v>0</v>
      </c>
      <c r="BF128" s="3">
        <v>375380</v>
      </c>
      <c r="BI128" s="2">
        <v>46197</v>
      </c>
      <c r="BJ128" s="3" t="s">
        <v>2297</v>
      </c>
      <c r="BK128" s="3" t="s">
        <v>2295</v>
      </c>
      <c r="BL128" s="3" t="s">
        <v>2296</v>
      </c>
      <c r="BM128" s="3">
        <v>0</v>
      </c>
      <c r="BN128" s="3">
        <v>0.35</v>
      </c>
      <c r="BO128" s="3">
        <v>0</v>
      </c>
      <c r="BP128" s="3">
        <v>458171</v>
      </c>
      <c r="BS128" s="2"/>
      <c r="CC128" s="2">
        <v>46197</v>
      </c>
      <c r="CD128" s="3" t="s">
        <v>2383</v>
      </c>
      <c r="CE128" s="3" t="s">
        <v>2384</v>
      </c>
      <c r="CF128" s="3" t="s">
        <v>2385</v>
      </c>
      <c r="CG128" s="3">
        <v>0</v>
      </c>
      <c r="CH128" s="3">
        <v>0.31</v>
      </c>
      <c r="CI128" s="3">
        <v>0</v>
      </c>
      <c r="CJ128" s="3">
        <v>462354</v>
      </c>
      <c r="CK128" s="3">
        <v>9847.52</v>
      </c>
      <c r="CL128" s="3">
        <v>1.4875</v>
      </c>
      <c r="CM128" s="2"/>
      <c r="CW128" s="2"/>
    </row>
    <row r="129" spans="1:101" ht="13.5" customHeight="1" x14ac:dyDescent="0.3">
      <c r="A129" s="2">
        <v>46197</v>
      </c>
      <c r="B129" s="3" t="s">
        <v>1778</v>
      </c>
      <c r="C129" s="3" t="s">
        <v>1779</v>
      </c>
      <c r="D129" s="3" t="s">
        <v>1780</v>
      </c>
      <c r="E129" s="3">
        <v>0</v>
      </c>
      <c r="F129" s="3">
        <v>0.24</v>
      </c>
      <c r="G129" s="3">
        <v>0</v>
      </c>
      <c r="H129" s="3">
        <v>264839</v>
      </c>
      <c r="I129" s="3">
        <v>9982.2099999999991</v>
      </c>
      <c r="J129" s="3">
        <v>2.6848999999999998</v>
      </c>
      <c r="K129" s="2"/>
      <c r="U129" s="2"/>
      <c r="AE129" s="2"/>
      <c r="AO129" s="2"/>
      <c r="AY129" s="2">
        <v>46197</v>
      </c>
      <c r="AZ129" s="3" t="s">
        <v>1437</v>
      </c>
      <c r="BA129" s="3" t="s">
        <v>1435</v>
      </c>
      <c r="BB129" s="3" t="s">
        <v>1436</v>
      </c>
      <c r="BC129" s="3">
        <v>0</v>
      </c>
      <c r="BD129" s="3">
        <v>0.3</v>
      </c>
      <c r="BE129" s="3">
        <v>0</v>
      </c>
      <c r="BF129" s="3">
        <v>375380</v>
      </c>
      <c r="BI129" s="2">
        <v>46197</v>
      </c>
      <c r="BJ129" s="3" t="s">
        <v>2298</v>
      </c>
      <c r="BK129" s="3" t="s">
        <v>2295</v>
      </c>
      <c r="BL129" s="3" t="s">
        <v>2296</v>
      </c>
      <c r="BM129" s="3">
        <v>0</v>
      </c>
      <c r="BN129" s="3">
        <v>0.35</v>
      </c>
      <c r="BO129" s="3">
        <v>0</v>
      </c>
      <c r="BP129" s="3">
        <v>458171</v>
      </c>
      <c r="BS129" s="2"/>
      <c r="CC129" s="2">
        <v>46197</v>
      </c>
      <c r="CD129" s="3" t="s">
        <v>2386</v>
      </c>
      <c r="CE129" s="3" t="s">
        <v>457</v>
      </c>
      <c r="CF129" s="3" t="s">
        <v>2387</v>
      </c>
      <c r="CG129" s="3">
        <v>0</v>
      </c>
      <c r="CH129" s="3">
        <v>0.31</v>
      </c>
      <c r="CI129" s="3">
        <v>0</v>
      </c>
      <c r="CJ129" s="3">
        <v>461906</v>
      </c>
      <c r="CK129" s="3">
        <v>9837.82</v>
      </c>
      <c r="CL129" s="3">
        <v>2.3454999999999999</v>
      </c>
      <c r="CM129" s="2"/>
      <c r="CW129" s="2"/>
    </row>
    <row r="130" spans="1:101" ht="13.5" customHeight="1" x14ac:dyDescent="0.3">
      <c r="A130" s="2">
        <v>46197</v>
      </c>
      <c r="B130" s="3" t="s">
        <v>1781</v>
      </c>
      <c r="C130" s="3" t="s">
        <v>1782</v>
      </c>
      <c r="D130" s="3" t="s">
        <v>1783</v>
      </c>
      <c r="E130" s="3">
        <v>0</v>
      </c>
      <c r="F130" s="3">
        <v>0.24</v>
      </c>
      <c r="G130" s="3">
        <v>0</v>
      </c>
      <c r="H130" s="3">
        <v>264770</v>
      </c>
      <c r="I130" s="3">
        <v>9977.9699999999993</v>
      </c>
      <c r="J130" s="3">
        <v>1.2665</v>
      </c>
      <c r="K130" s="2"/>
      <c r="U130" s="2"/>
      <c r="AE130" s="2"/>
      <c r="AO130" s="2"/>
      <c r="AY130" s="2">
        <v>46197</v>
      </c>
      <c r="AZ130" s="3" t="s">
        <v>167</v>
      </c>
      <c r="BA130" s="3" t="s">
        <v>29</v>
      </c>
      <c r="BB130" s="3" t="s">
        <v>168</v>
      </c>
      <c r="BC130" s="3">
        <v>0</v>
      </c>
      <c r="BD130" s="3">
        <v>0.3</v>
      </c>
      <c r="BE130" s="3">
        <v>0</v>
      </c>
      <c r="BF130" s="3">
        <v>373396</v>
      </c>
      <c r="BG130" s="3">
        <v>8989.7800000000007</v>
      </c>
      <c r="BH130" s="3">
        <v>4.2381000000000002</v>
      </c>
      <c r="BI130" s="2">
        <v>46197</v>
      </c>
      <c r="BJ130" s="3" t="s">
        <v>2299</v>
      </c>
      <c r="BK130" s="3" t="s">
        <v>2295</v>
      </c>
      <c r="BL130" s="3" t="s">
        <v>2296</v>
      </c>
      <c r="BM130" s="3">
        <v>0</v>
      </c>
      <c r="BN130" s="3">
        <v>0.35</v>
      </c>
      <c r="BO130" s="3">
        <v>0</v>
      </c>
      <c r="BP130" s="3">
        <v>458171</v>
      </c>
      <c r="BS130" s="2"/>
      <c r="CC130" s="2">
        <v>46197</v>
      </c>
      <c r="CD130" s="3" t="s">
        <v>2388</v>
      </c>
      <c r="CE130" s="3" t="s">
        <v>2389</v>
      </c>
      <c r="CF130" s="3" t="s">
        <v>2390</v>
      </c>
      <c r="CG130" s="3">
        <v>0</v>
      </c>
      <c r="CH130" s="3">
        <v>0.31</v>
      </c>
      <c r="CI130" s="3">
        <v>0</v>
      </c>
      <c r="CJ130" s="3">
        <v>461551</v>
      </c>
      <c r="CK130" s="3">
        <v>9830.17</v>
      </c>
      <c r="CL130" s="3">
        <v>1.5145999999999999</v>
      </c>
      <c r="CM130" s="2"/>
      <c r="CW130" s="2"/>
    </row>
    <row r="131" spans="1:101" ht="13.5" customHeight="1" x14ac:dyDescent="0.3">
      <c r="A131" s="2">
        <v>46197</v>
      </c>
      <c r="B131" s="3" t="s">
        <v>1784</v>
      </c>
      <c r="C131" s="3" t="s">
        <v>1785</v>
      </c>
      <c r="D131" s="3" t="s">
        <v>1786</v>
      </c>
      <c r="E131" s="3">
        <v>0</v>
      </c>
      <c r="F131" s="3">
        <v>0.24</v>
      </c>
      <c r="G131" s="3">
        <v>0</v>
      </c>
      <c r="H131" s="3">
        <v>264768</v>
      </c>
      <c r="I131" s="3">
        <v>9977.7099999999991</v>
      </c>
      <c r="J131" s="3">
        <v>2.4670999999999998</v>
      </c>
      <c r="K131" s="2"/>
      <c r="U131" s="2"/>
      <c r="AE131" s="2"/>
      <c r="AO131" s="2"/>
      <c r="AY131" s="2">
        <v>46197</v>
      </c>
      <c r="AZ131" s="3" t="s">
        <v>1438</v>
      </c>
      <c r="BA131" s="3" t="s">
        <v>1439</v>
      </c>
      <c r="BB131" s="3" t="s">
        <v>1440</v>
      </c>
      <c r="BC131" s="3">
        <v>0</v>
      </c>
      <c r="BD131" s="3">
        <v>0.3</v>
      </c>
      <c r="BE131" s="3">
        <v>0</v>
      </c>
      <c r="BF131" s="3">
        <v>371466</v>
      </c>
      <c r="BG131" s="3">
        <v>9658.42</v>
      </c>
      <c r="BH131" s="3">
        <v>2.1</v>
      </c>
      <c r="BI131" s="2">
        <v>46197</v>
      </c>
      <c r="BJ131" s="3" t="s">
        <v>2300</v>
      </c>
      <c r="BK131" s="3" t="s">
        <v>2295</v>
      </c>
      <c r="BL131" s="3" t="s">
        <v>2296</v>
      </c>
      <c r="BM131" s="3">
        <v>0</v>
      </c>
      <c r="BN131" s="3">
        <v>0.35</v>
      </c>
      <c r="BO131" s="3">
        <v>0</v>
      </c>
      <c r="BP131" s="3">
        <v>458171</v>
      </c>
      <c r="BS131" s="2"/>
      <c r="CC131" s="2">
        <v>46197</v>
      </c>
      <c r="CD131" s="3" t="s">
        <v>2391</v>
      </c>
      <c r="CE131" s="3" t="s">
        <v>795</v>
      </c>
      <c r="CF131" s="3" t="s">
        <v>2392</v>
      </c>
      <c r="CG131" s="3">
        <v>0</v>
      </c>
      <c r="CH131" s="3">
        <v>0.31</v>
      </c>
      <c r="CI131" s="3">
        <v>0</v>
      </c>
      <c r="CJ131" s="3">
        <v>461549</v>
      </c>
      <c r="CK131" s="3">
        <v>9830.99</v>
      </c>
      <c r="CL131" s="3">
        <v>2.2778</v>
      </c>
      <c r="CM131" s="2"/>
      <c r="CW131" s="2"/>
    </row>
    <row r="132" spans="1:101" ht="13.5" customHeight="1" x14ac:dyDescent="0.3">
      <c r="A132" s="2">
        <v>46197</v>
      </c>
      <c r="B132" s="3" t="s">
        <v>1787</v>
      </c>
      <c r="C132" s="3" t="s">
        <v>1788</v>
      </c>
      <c r="D132" s="3" t="s">
        <v>1789</v>
      </c>
      <c r="E132" s="3">
        <v>0</v>
      </c>
      <c r="F132" s="3">
        <v>0.24</v>
      </c>
      <c r="G132" s="3">
        <v>0</v>
      </c>
      <c r="H132" s="3">
        <v>264746</v>
      </c>
      <c r="I132" s="3">
        <v>9977.85</v>
      </c>
      <c r="J132" s="3">
        <v>1.1096999999999999</v>
      </c>
      <c r="K132" s="2"/>
      <c r="U132" s="2"/>
      <c r="AE132" s="2"/>
      <c r="AO132" s="2"/>
      <c r="AY132" s="2">
        <v>46197</v>
      </c>
      <c r="AZ132" s="3" t="s">
        <v>42</v>
      </c>
      <c r="BA132" s="3" t="s">
        <v>29</v>
      </c>
      <c r="BB132" s="3" t="s">
        <v>43</v>
      </c>
      <c r="BC132" s="3">
        <v>0</v>
      </c>
      <c r="BD132" s="3">
        <v>0.28999999999999998</v>
      </c>
      <c r="BE132" s="3">
        <v>0</v>
      </c>
      <c r="BF132" s="3">
        <v>359730</v>
      </c>
      <c r="BG132" s="3">
        <v>9492.18</v>
      </c>
      <c r="BH132" s="3">
        <v>6.1319999999999997</v>
      </c>
      <c r="BI132" s="2">
        <v>46197</v>
      </c>
      <c r="BJ132" s="3" t="s">
        <v>2301</v>
      </c>
      <c r="BK132" s="3" t="s">
        <v>2295</v>
      </c>
      <c r="BL132" s="3" t="s">
        <v>2296</v>
      </c>
      <c r="BM132" s="3">
        <v>0</v>
      </c>
      <c r="BN132" s="3">
        <v>0.35</v>
      </c>
      <c r="BO132" s="3">
        <v>0</v>
      </c>
      <c r="BP132" s="3">
        <v>458171</v>
      </c>
      <c r="BS132" s="2"/>
      <c r="CC132" s="2">
        <v>46197</v>
      </c>
      <c r="CD132" s="3" t="s">
        <v>2393</v>
      </c>
      <c r="CE132" s="3" t="s">
        <v>1291</v>
      </c>
      <c r="CF132" s="3" t="s">
        <v>2394</v>
      </c>
      <c r="CG132" s="3">
        <v>0</v>
      </c>
      <c r="CH132" s="3">
        <v>0.31</v>
      </c>
      <c r="CI132" s="3">
        <v>0</v>
      </c>
      <c r="CJ132" s="3">
        <v>460614</v>
      </c>
      <c r="CK132" s="3">
        <v>9809.7999999999993</v>
      </c>
      <c r="CL132" s="3">
        <v>1.7751999999999999</v>
      </c>
      <c r="CM132" s="2"/>
      <c r="CW132" s="2"/>
    </row>
    <row r="133" spans="1:101" ht="13.5" customHeight="1" x14ac:dyDescent="0.3">
      <c r="A133" s="2">
        <v>46197</v>
      </c>
      <c r="B133" s="3" t="s">
        <v>1790</v>
      </c>
      <c r="C133" s="3" t="s">
        <v>1239</v>
      </c>
      <c r="D133" s="3" t="s">
        <v>1791</v>
      </c>
      <c r="E133" s="3">
        <v>0</v>
      </c>
      <c r="F133" s="3">
        <v>0.24</v>
      </c>
      <c r="G133" s="3">
        <v>0</v>
      </c>
      <c r="H133" s="3">
        <v>264721</v>
      </c>
      <c r="I133" s="3">
        <v>9975.7800000000007</v>
      </c>
      <c r="J133" s="3">
        <v>1.9494</v>
      </c>
      <c r="K133" s="2"/>
      <c r="U133" s="2"/>
      <c r="AE133" s="2"/>
      <c r="AO133" s="2"/>
      <c r="AY133" s="2">
        <v>46197</v>
      </c>
      <c r="AZ133" s="3" t="s">
        <v>1441</v>
      </c>
      <c r="BA133" s="3" t="s">
        <v>29</v>
      </c>
      <c r="BB133" s="3" t="s">
        <v>1442</v>
      </c>
      <c r="BC133" s="3">
        <v>0</v>
      </c>
      <c r="BD133" s="3">
        <v>0.28000000000000003</v>
      </c>
      <c r="BE133" s="3">
        <v>0</v>
      </c>
      <c r="BF133" s="3">
        <v>350622</v>
      </c>
      <c r="BG133" s="3">
        <v>9824.0300000000007</v>
      </c>
      <c r="BH133" s="3">
        <v>1.8904000000000001</v>
      </c>
      <c r="BI133" s="2">
        <v>46197</v>
      </c>
      <c r="BJ133" s="3" t="s">
        <v>2302</v>
      </c>
      <c r="BK133" s="3" t="s">
        <v>2295</v>
      </c>
      <c r="BL133" s="3" t="s">
        <v>2296</v>
      </c>
      <c r="BM133" s="3">
        <v>0</v>
      </c>
      <c r="BN133" s="3">
        <v>0.35</v>
      </c>
      <c r="BO133" s="3">
        <v>0</v>
      </c>
      <c r="BP133" s="3">
        <v>458171</v>
      </c>
      <c r="BS133" s="2"/>
      <c r="CC133" s="2">
        <v>46197</v>
      </c>
      <c r="CD133" s="3" t="s">
        <v>2395</v>
      </c>
      <c r="CE133" s="3" t="s">
        <v>2384</v>
      </c>
      <c r="CF133" s="3" t="s">
        <v>2396</v>
      </c>
      <c r="CG133" s="3">
        <v>0</v>
      </c>
      <c r="CH133" s="3">
        <v>0.31</v>
      </c>
      <c r="CI133" s="3">
        <v>0</v>
      </c>
      <c r="CJ133" s="3">
        <v>460186</v>
      </c>
      <c r="CK133" s="3">
        <v>9802.16</v>
      </c>
      <c r="CL133" s="3">
        <v>2.3115999999999999</v>
      </c>
      <c r="CM133" s="2"/>
      <c r="CW133" s="2"/>
    </row>
    <row r="134" spans="1:101" ht="13.5" customHeight="1" x14ac:dyDescent="0.3">
      <c r="A134" s="2">
        <v>46197</v>
      </c>
      <c r="B134" s="3" t="s">
        <v>1792</v>
      </c>
      <c r="C134" s="3" t="s">
        <v>1392</v>
      </c>
      <c r="D134" s="3" t="s">
        <v>1793</v>
      </c>
      <c r="E134" s="3">
        <v>0</v>
      </c>
      <c r="F134" s="3">
        <v>0.24</v>
      </c>
      <c r="G134" s="3">
        <v>0</v>
      </c>
      <c r="H134" s="3">
        <v>264586</v>
      </c>
      <c r="I134" s="3">
        <v>9971.64</v>
      </c>
      <c r="J134" s="3">
        <v>2.9072</v>
      </c>
      <c r="K134" s="2"/>
      <c r="U134" s="2"/>
      <c r="AE134" s="2"/>
      <c r="AO134" s="2"/>
      <c r="AY134" s="2">
        <v>46197</v>
      </c>
      <c r="AZ134" s="3" t="s">
        <v>1443</v>
      </c>
      <c r="BA134" s="3" t="s">
        <v>1444</v>
      </c>
      <c r="BB134" s="3" t="s">
        <v>1445</v>
      </c>
      <c r="BC134" s="3">
        <v>0</v>
      </c>
      <c r="BD134" s="3">
        <v>0.27</v>
      </c>
      <c r="BE134" s="3">
        <v>0</v>
      </c>
      <c r="BF134" s="3">
        <v>344342</v>
      </c>
      <c r="BG134" s="3">
        <v>8960.3799999999992</v>
      </c>
      <c r="BH134" s="3">
        <v>7.6060999999999996</v>
      </c>
      <c r="BI134" s="2">
        <v>46197</v>
      </c>
      <c r="BJ134" s="3" t="s">
        <v>2303</v>
      </c>
      <c r="BK134" s="3" t="s">
        <v>2295</v>
      </c>
      <c r="BL134" s="3" t="s">
        <v>2296</v>
      </c>
      <c r="BM134" s="3">
        <v>0</v>
      </c>
      <c r="BN134" s="3">
        <v>0.35</v>
      </c>
      <c r="BO134" s="3">
        <v>0</v>
      </c>
      <c r="BP134" s="3">
        <v>458171</v>
      </c>
      <c r="BS134" s="2"/>
      <c r="CC134" s="2">
        <v>46197</v>
      </c>
      <c r="CD134" s="3" t="s">
        <v>2397</v>
      </c>
      <c r="CE134" s="3" t="s">
        <v>363</v>
      </c>
      <c r="CF134" s="3" t="s">
        <v>2398</v>
      </c>
      <c r="CG134" s="3">
        <v>0</v>
      </c>
      <c r="CH134" s="3">
        <v>0.31</v>
      </c>
      <c r="CI134" s="3">
        <v>0</v>
      </c>
      <c r="CJ134" s="3">
        <v>459018</v>
      </c>
      <c r="CK134" s="3">
        <v>9776.06</v>
      </c>
      <c r="CL134" s="3">
        <v>2.3348</v>
      </c>
      <c r="CM134" s="2"/>
      <c r="CW134" s="2"/>
    </row>
    <row r="135" spans="1:101" ht="13.5" customHeight="1" x14ac:dyDescent="0.3">
      <c r="A135" s="2">
        <v>46197</v>
      </c>
      <c r="B135" s="3" t="s">
        <v>1794</v>
      </c>
      <c r="C135" s="3" t="s">
        <v>1795</v>
      </c>
      <c r="D135" s="3" t="s">
        <v>1796</v>
      </c>
      <c r="E135" s="3">
        <v>0</v>
      </c>
      <c r="F135" s="3">
        <v>0.24</v>
      </c>
      <c r="G135" s="3">
        <v>0</v>
      </c>
      <c r="H135" s="3">
        <v>264436</v>
      </c>
      <c r="I135" s="3">
        <v>9965.4599999999991</v>
      </c>
      <c r="J135" s="3">
        <v>1.1417999999999999</v>
      </c>
      <c r="K135" s="2"/>
      <c r="U135" s="2"/>
      <c r="AE135" s="2"/>
      <c r="AO135" s="2"/>
      <c r="AY135" s="2">
        <v>46197</v>
      </c>
      <c r="AZ135" s="3" t="s">
        <v>81</v>
      </c>
      <c r="BA135" s="3" t="s">
        <v>29</v>
      </c>
      <c r="BB135" s="3" t="s">
        <v>82</v>
      </c>
      <c r="BC135" s="3">
        <v>0</v>
      </c>
      <c r="BD135" s="3">
        <v>0.27</v>
      </c>
      <c r="BE135" s="3">
        <v>0</v>
      </c>
      <c r="BF135" s="3">
        <v>333789</v>
      </c>
      <c r="BG135" s="3">
        <v>7137.21</v>
      </c>
      <c r="BH135" s="3">
        <v>12.1907</v>
      </c>
      <c r="BI135" s="2">
        <v>46197</v>
      </c>
      <c r="BJ135" s="3" t="s">
        <v>2304</v>
      </c>
      <c r="BK135" s="3" t="s">
        <v>2295</v>
      </c>
      <c r="BL135" s="3" t="s">
        <v>2296</v>
      </c>
      <c r="BM135" s="3">
        <v>0</v>
      </c>
      <c r="BN135" s="3">
        <v>0.35</v>
      </c>
      <c r="BO135" s="3">
        <v>0</v>
      </c>
      <c r="BP135" s="3">
        <v>458171</v>
      </c>
      <c r="BS135" s="2"/>
      <c r="CC135" s="2">
        <v>46197</v>
      </c>
      <c r="CD135" s="3" t="s">
        <v>2399</v>
      </c>
      <c r="CE135" s="3" t="s">
        <v>2400</v>
      </c>
      <c r="CF135" s="3" t="s">
        <v>2401</v>
      </c>
      <c r="CG135" s="3">
        <v>0</v>
      </c>
      <c r="CH135" s="3">
        <v>0.31</v>
      </c>
      <c r="CI135" s="3">
        <v>0</v>
      </c>
      <c r="CJ135" s="3">
        <v>458503</v>
      </c>
      <c r="CK135" s="3">
        <v>9765.31</v>
      </c>
      <c r="CL135" s="3">
        <v>4.2499000000000002</v>
      </c>
      <c r="CM135" s="2"/>
      <c r="CW135" s="2"/>
    </row>
    <row r="136" spans="1:101" ht="13.5" customHeight="1" x14ac:dyDescent="0.3">
      <c r="A136" s="2">
        <v>46197</v>
      </c>
      <c r="B136" s="3" t="s">
        <v>1797</v>
      </c>
      <c r="C136" s="3" t="s">
        <v>1798</v>
      </c>
      <c r="D136" s="3" t="s">
        <v>1799</v>
      </c>
      <c r="E136" s="3">
        <v>0</v>
      </c>
      <c r="F136" s="3">
        <v>0.24</v>
      </c>
      <c r="G136" s="3">
        <v>0</v>
      </c>
      <c r="H136" s="3">
        <v>264294</v>
      </c>
      <c r="I136" s="3">
        <v>9960.15</v>
      </c>
      <c r="J136" s="3">
        <v>1.3220000000000001</v>
      </c>
      <c r="K136" s="2"/>
      <c r="U136" s="2"/>
      <c r="AE136" s="2"/>
      <c r="AO136" s="2"/>
      <c r="AY136" s="2">
        <v>46197</v>
      </c>
      <c r="AZ136" s="3" t="s">
        <v>40</v>
      </c>
      <c r="BA136" s="3" t="s">
        <v>29</v>
      </c>
      <c r="BB136" s="3" t="s">
        <v>41</v>
      </c>
      <c r="BC136" s="3">
        <v>0</v>
      </c>
      <c r="BD136" s="3">
        <v>0.25</v>
      </c>
      <c r="BE136" s="3">
        <v>0</v>
      </c>
      <c r="BF136" s="3">
        <v>309569</v>
      </c>
      <c r="BG136" s="3">
        <v>10100.35</v>
      </c>
      <c r="BH136" s="3">
        <v>5.6009000000000002</v>
      </c>
      <c r="BI136" s="2">
        <v>46197</v>
      </c>
      <c r="BJ136" s="3" t="s">
        <v>2305</v>
      </c>
      <c r="BK136" s="3" t="s">
        <v>2295</v>
      </c>
      <c r="BL136" s="3" t="s">
        <v>2296</v>
      </c>
      <c r="BM136" s="3">
        <v>0</v>
      </c>
      <c r="BN136" s="3">
        <v>0.35</v>
      </c>
      <c r="BO136" s="3">
        <v>0</v>
      </c>
      <c r="BP136" s="3">
        <v>458171</v>
      </c>
      <c r="BS136" s="2"/>
      <c r="CC136" s="2">
        <v>46197</v>
      </c>
      <c r="CD136" s="3" t="s">
        <v>2402</v>
      </c>
      <c r="CE136" s="3" t="s">
        <v>1101</v>
      </c>
      <c r="CF136" s="3" t="s">
        <v>2403</v>
      </c>
      <c r="CG136" s="3">
        <v>0</v>
      </c>
      <c r="CH136" s="3">
        <v>0.31</v>
      </c>
      <c r="CI136" s="3">
        <v>0</v>
      </c>
      <c r="CJ136" s="3">
        <v>457690</v>
      </c>
      <c r="CK136" s="3">
        <v>9747.74</v>
      </c>
      <c r="CL136" s="3">
        <v>2.1926000000000001</v>
      </c>
      <c r="CM136" s="2"/>
      <c r="CW136" s="2"/>
    </row>
    <row r="137" spans="1:101" ht="13.5" customHeight="1" x14ac:dyDescent="0.3">
      <c r="A137" s="2">
        <v>46197</v>
      </c>
      <c r="B137" s="3" t="s">
        <v>582</v>
      </c>
      <c r="C137" s="3" t="s">
        <v>583</v>
      </c>
      <c r="D137" s="3" t="s">
        <v>584</v>
      </c>
      <c r="E137" s="3">
        <v>0</v>
      </c>
      <c r="F137" s="3">
        <v>0.24</v>
      </c>
      <c r="G137" s="3">
        <v>0</v>
      </c>
      <c r="H137" s="3">
        <v>264290</v>
      </c>
      <c r="I137" s="3">
        <v>9960.7800000000007</v>
      </c>
      <c r="J137" s="3">
        <v>1.1420999999999999</v>
      </c>
      <c r="K137" s="2"/>
      <c r="U137" s="2"/>
      <c r="AE137" s="2"/>
      <c r="AO137" s="2"/>
      <c r="AY137" s="2">
        <v>46197</v>
      </c>
      <c r="AZ137" s="3" t="s">
        <v>1446</v>
      </c>
      <c r="BA137" s="3" t="s">
        <v>1447</v>
      </c>
      <c r="BB137" s="3" t="s">
        <v>1448</v>
      </c>
      <c r="BC137" s="3">
        <v>0</v>
      </c>
      <c r="BD137" s="3">
        <v>0.23</v>
      </c>
      <c r="BE137" s="3">
        <v>0</v>
      </c>
      <c r="BF137" s="3">
        <v>293448</v>
      </c>
      <c r="BG137" s="3">
        <v>9541.89</v>
      </c>
      <c r="BH137" s="3">
        <v>5.5237999999999996</v>
      </c>
      <c r="BI137" s="2">
        <v>46197</v>
      </c>
      <c r="BJ137" s="3" t="s">
        <v>2306</v>
      </c>
      <c r="BK137" s="3" t="s">
        <v>2307</v>
      </c>
      <c r="BL137" s="3" t="s">
        <v>2308</v>
      </c>
      <c r="BM137" s="3">
        <v>0</v>
      </c>
      <c r="BN137" s="3">
        <v>0.35</v>
      </c>
      <c r="BO137" s="3">
        <v>0</v>
      </c>
      <c r="BP137" s="3">
        <v>457394</v>
      </c>
      <c r="BS137" s="2"/>
      <c r="CC137" s="2">
        <v>46197</v>
      </c>
      <c r="CD137" s="3" t="s">
        <v>2404</v>
      </c>
      <c r="CE137" s="3" t="s">
        <v>2405</v>
      </c>
      <c r="CF137" s="3" t="s">
        <v>2406</v>
      </c>
      <c r="CG137" s="3">
        <v>0</v>
      </c>
      <c r="CH137" s="3">
        <v>0.31</v>
      </c>
      <c r="CI137" s="3">
        <v>0</v>
      </c>
      <c r="CJ137" s="3">
        <v>457222</v>
      </c>
      <c r="CK137" s="3">
        <v>9741.19</v>
      </c>
      <c r="CL137" s="3">
        <v>7.8491999999999997</v>
      </c>
      <c r="CM137" s="2"/>
      <c r="CW137" s="2"/>
    </row>
    <row r="138" spans="1:101" ht="13.5" customHeight="1" x14ac:dyDescent="0.3">
      <c r="A138" s="2">
        <v>46197</v>
      </c>
      <c r="B138" s="3" t="s">
        <v>1800</v>
      </c>
      <c r="C138" s="3" t="s">
        <v>563</v>
      </c>
      <c r="D138" s="3" t="s">
        <v>1801</v>
      </c>
      <c r="E138" s="3">
        <v>0</v>
      </c>
      <c r="F138" s="3">
        <v>0.24</v>
      </c>
      <c r="G138" s="3">
        <v>0</v>
      </c>
      <c r="H138" s="3">
        <v>264264</v>
      </c>
      <c r="I138" s="3">
        <v>9959.51</v>
      </c>
      <c r="J138" s="3">
        <v>2.4432</v>
      </c>
      <c r="K138" s="2"/>
      <c r="U138" s="2"/>
      <c r="AE138" s="2"/>
      <c r="AO138" s="2"/>
      <c r="AY138" s="2">
        <v>46197</v>
      </c>
      <c r="AZ138" s="3" t="s">
        <v>215</v>
      </c>
      <c r="BA138" s="3" t="s">
        <v>29</v>
      </c>
      <c r="BB138" s="3" t="s">
        <v>734</v>
      </c>
      <c r="BC138" s="3">
        <v>0</v>
      </c>
      <c r="BD138" s="3">
        <v>0.23</v>
      </c>
      <c r="BE138" s="3">
        <v>0</v>
      </c>
      <c r="BF138" s="3">
        <v>286246</v>
      </c>
      <c r="BG138" s="3">
        <v>6751.24</v>
      </c>
      <c r="BH138" s="3">
        <v>16.656500000000001</v>
      </c>
      <c r="BI138" s="2">
        <v>46197</v>
      </c>
      <c r="BJ138" s="3" t="s">
        <v>2309</v>
      </c>
      <c r="BK138" s="3" t="s">
        <v>2307</v>
      </c>
      <c r="BL138" s="3" t="s">
        <v>2308</v>
      </c>
      <c r="BM138" s="3">
        <v>0</v>
      </c>
      <c r="BN138" s="3">
        <v>0.35</v>
      </c>
      <c r="BO138" s="3">
        <v>0</v>
      </c>
      <c r="BP138" s="3">
        <v>457394</v>
      </c>
      <c r="BS138" s="2"/>
      <c r="CC138" s="2">
        <v>46197</v>
      </c>
      <c r="CD138" s="3" t="s">
        <v>2407</v>
      </c>
      <c r="CE138" s="3" t="s">
        <v>1213</v>
      </c>
      <c r="CF138" s="3" t="s">
        <v>2408</v>
      </c>
      <c r="CG138" s="3">
        <v>0</v>
      </c>
      <c r="CH138" s="3">
        <v>0.31</v>
      </c>
      <c r="CI138" s="3">
        <v>0</v>
      </c>
      <c r="CJ138" s="3">
        <v>456836</v>
      </c>
      <c r="CK138" s="3">
        <v>9729.11</v>
      </c>
      <c r="CL138" s="3">
        <v>3.0352000000000001</v>
      </c>
      <c r="CM138" s="2"/>
      <c r="CW138" s="2"/>
    </row>
    <row r="139" spans="1:101" ht="13.5" customHeight="1" x14ac:dyDescent="0.3">
      <c r="A139" s="2">
        <v>46197</v>
      </c>
      <c r="B139" s="3" t="s">
        <v>1802</v>
      </c>
      <c r="C139" s="3" t="s">
        <v>154</v>
      </c>
      <c r="D139" s="3" t="s">
        <v>1803</v>
      </c>
      <c r="E139" s="3">
        <v>0</v>
      </c>
      <c r="F139" s="3">
        <v>0.24</v>
      </c>
      <c r="G139" s="3">
        <v>0</v>
      </c>
      <c r="H139" s="3">
        <v>264261</v>
      </c>
      <c r="I139" s="3">
        <v>9959.67</v>
      </c>
      <c r="J139" s="3">
        <v>1.5067999999999999</v>
      </c>
      <c r="K139" s="2"/>
      <c r="U139" s="2"/>
      <c r="AE139" s="2"/>
      <c r="AO139" s="2"/>
      <c r="AY139" s="2">
        <v>46197</v>
      </c>
      <c r="AZ139" s="3" t="s">
        <v>70</v>
      </c>
      <c r="BA139" s="3" t="s">
        <v>29</v>
      </c>
      <c r="BB139" s="3" t="s">
        <v>71</v>
      </c>
      <c r="BC139" s="3">
        <v>0</v>
      </c>
      <c r="BD139" s="3">
        <v>0.22</v>
      </c>
      <c r="BE139" s="3">
        <v>0</v>
      </c>
      <c r="BF139" s="3">
        <v>273987</v>
      </c>
      <c r="BG139" s="3">
        <v>6348.82</v>
      </c>
      <c r="BH139" s="3">
        <v>17.7789</v>
      </c>
      <c r="BI139" s="2">
        <v>46197</v>
      </c>
      <c r="BJ139" s="3" t="s">
        <v>2310</v>
      </c>
      <c r="BK139" s="3" t="s">
        <v>2307</v>
      </c>
      <c r="BL139" s="3" t="s">
        <v>2308</v>
      </c>
      <c r="BM139" s="3">
        <v>0</v>
      </c>
      <c r="BN139" s="3">
        <v>0.35</v>
      </c>
      <c r="BO139" s="3">
        <v>0</v>
      </c>
      <c r="BP139" s="3">
        <v>457394</v>
      </c>
      <c r="BS139" s="2"/>
      <c r="CC139" s="2">
        <v>46197</v>
      </c>
      <c r="CD139" s="3" t="s">
        <v>2409</v>
      </c>
      <c r="CE139" s="3" t="s">
        <v>2410</v>
      </c>
      <c r="CF139" s="3" t="s">
        <v>2411</v>
      </c>
      <c r="CG139" s="3">
        <v>0</v>
      </c>
      <c r="CH139" s="3">
        <v>0.31</v>
      </c>
      <c r="CI139" s="3">
        <v>0</v>
      </c>
      <c r="CJ139" s="3">
        <v>455656</v>
      </c>
      <c r="CK139" s="3">
        <v>9704.7900000000009</v>
      </c>
      <c r="CL139" s="3">
        <v>2.3007</v>
      </c>
      <c r="CM139" s="2"/>
      <c r="CW139" s="2"/>
    </row>
    <row r="140" spans="1:101" ht="13.5" customHeight="1" x14ac:dyDescent="0.3">
      <c r="A140" s="2">
        <v>46197</v>
      </c>
      <c r="B140" s="3" t="s">
        <v>1804</v>
      </c>
      <c r="C140" s="3" t="s">
        <v>1805</v>
      </c>
      <c r="D140" s="3" t="s">
        <v>1806</v>
      </c>
      <c r="E140" s="3">
        <v>0</v>
      </c>
      <c r="F140" s="3">
        <v>0.24</v>
      </c>
      <c r="G140" s="3">
        <v>0</v>
      </c>
      <c r="H140" s="3">
        <v>264202</v>
      </c>
      <c r="I140" s="3">
        <v>9957.2999999999993</v>
      </c>
      <c r="J140" s="3">
        <v>0.82720000000000005</v>
      </c>
      <c r="K140" s="2"/>
      <c r="U140" s="2"/>
      <c r="AE140" s="2"/>
      <c r="AO140" s="2"/>
      <c r="AY140" s="2">
        <v>46197</v>
      </c>
      <c r="AZ140" s="3" t="s">
        <v>1449</v>
      </c>
      <c r="BA140" s="3" t="s">
        <v>1450</v>
      </c>
      <c r="BB140" s="3" t="s">
        <v>1451</v>
      </c>
      <c r="BC140" s="3">
        <v>0</v>
      </c>
      <c r="BD140" s="3">
        <v>0.21</v>
      </c>
      <c r="BE140" s="3">
        <v>0</v>
      </c>
      <c r="BF140" s="3">
        <v>270058</v>
      </c>
      <c r="BG140" s="3">
        <v>10031.41</v>
      </c>
      <c r="BH140" s="3">
        <v>0.71199999999999997</v>
      </c>
      <c r="BI140" s="2">
        <v>46197</v>
      </c>
      <c r="BJ140" s="3" t="s">
        <v>2311</v>
      </c>
      <c r="BK140" s="3" t="s">
        <v>1162</v>
      </c>
      <c r="BL140" s="3" t="s">
        <v>1163</v>
      </c>
      <c r="BM140" s="3">
        <v>0</v>
      </c>
      <c r="BN140" s="3">
        <v>0.35</v>
      </c>
      <c r="BO140" s="3">
        <v>0</v>
      </c>
      <c r="BP140" s="3">
        <v>456769</v>
      </c>
      <c r="BS140" s="2"/>
      <c r="CC140" s="2">
        <v>46197</v>
      </c>
      <c r="CD140" s="3" t="s">
        <v>2412</v>
      </c>
      <c r="CE140" s="3" t="s">
        <v>1444</v>
      </c>
      <c r="CF140" s="3" t="s">
        <v>2413</v>
      </c>
      <c r="CG140" s="3">
        <v>0</v>
      </c>
      <c r="CH140" s="3">
        <v>0.31</v>
      </c>
      <c r="CI140" s="3">
        <v>0</v>
      </c>
      <c r="CJ140" s="3">
        <v>454142</v>
      </c>
      <c r="CK140" s="3">
        <v>9672.49</v>
      </c>
      <c r="CL140" s="3">
        <v>3.1158999999999999</v>
      </c>
      <c r="CM140" s="2"/>
      <c r="CW140" s="2"/>
    </row>
    <row r="141" spans="1:101" ht="13.5" customHeight="1" x14ac:dyDescent="0.3">
      <c r="A141" s="2">
        <v>46197</v>
      </c>
      <c r="B141" s="3" t="s">
        <v>1807</v>
      </c>
      <c r="C141" s="3" t="s">
        <v>899</v>
      </c>
      <c r="D141" s="3" t="s">
        <v>1808</v>
      </c>
      <c r="E141" s="3">
        <v>0</v>
      </c>
      <c r="F141" s="3">
        <v>0.24</v>
      </c>
      <c r="G141" s="3">
        <v>0</v>
      </c>
      <c r="H141" s="3">
        <v>264132</v>
      </c>
      <c r="I141" s="3">
        <v>9953.3700000000008</v>
      </c>
      <c r="J141" s="3">
        <v>2.6141999999999999</v>
      </c>
      <c r="K141" s="2"/>
      <c r="U141" s="2"/>
      <c r="AE141" s="2"/>
      <c r="AO141" s="2"/>
      <c r="AY141" s="2">
        <v>46197</v>
      </c>
      <c r="AZ141" s="3" t="s">
        <v>1452</v>
      </c>
      <c r="BA141" s="3" t="s">
        <v>50</v>
      </c>
      <c r="BB141" s="3" t="s">
        <v>1453</v>
      </c>
      <c r="BC141" s="3">
        <v>0</v>
      </c>
      <c r="BD141" s="3">
        <v>0.21</v>
      </c>
      <c r="BE141" s="3">
        <v>0</v>
      </c>
      <c r="BF141" s="3">
        <v>258111</v>
      </c>
      <c r="BG141" s="3">
        <v>10047.14</v>
      </c>
      <c r="BH141" s="3">
        <v>1.17</v>
      </c>
      <c r="BI141" s="2">
        <v>46197</v>
      </c>
      <c r="BJ141" s="3" t="s">
        <v>2312</v>
      </c>
      <c r="BK141" s="3" t="s">
        <v>1162</v>
      </c>
      <c r="BL141" s="3" t="s">
        <v>1163</v>
      </c>
      <c r="BM141" s="3">
        <v>0</v>
      </c>
      <c r="BN141" s="3">
        <v>0.35</v>
      </c>
      <c r="BO141" s="3">
        <v>0</v>
      </c>
      <c r="BP141" s="3">
        <v>456769</v>
      </c>
      <c r="BS141" s="2"/>
      <c r="CC141" s="2">
        <v>46197</v>
      </c>
      <c r="CD141" s="3" t="s">
        <v>124</v>
      </c>
      <c r="CE141" s="3" t="s">
        <v>29</v>
      </c>
      <c r="CF141" s="3" t="s">
        <v>2414</v>
      </c>
      <c r="CG141" s="3">
        <v>0</v>
      </c>
      <c r="CH141" s="3">
        <v>0.31</v>
      </c>
      <c r="CI141" s="3">
        <v>0</v>
      </c>
      <c r="CJ141" s="3">
        <v>452562</v>
      </c>
      <c r="CK141" s="3">
        <v>9189</v>
      </c>
      <c r="CL141" s="3">
        <v>5.0327999999999999</v>
      </c>
      <c r="CM141" s="2"/>
      <c r="CW141" s="2"/>
    </row>
    <row r="142" spans="1:101" ht="13.5" customHeight="1" x14ac:dyDescent="0.3">
      <c r="A142" s="2">
        <v>46197</v>
      </c>
      <c r="B142" s="3" t="s">
        <v>1809</v>
      </c>
      <c r="C142" s="3" t="s">
        <v>1810</v>
      </c>
      <c r="D142" s="3" t="s">
        <v>1811</v>
      </c>
      <c r="E142" s="3">
        <v>0</v>
      </c>
      <c r="F142" s="3">
        <v>0.24</v>
      </c>
      <c r="G142" s="3">
        <v>0</v>
      </c>
      <c r="H142" s="3">
        <v>264030</v>
      </c>
      <c r="I142" s="3">
        <v>9950.51</v>
      </c>
      <c r="J142" s="3">
        <v>1.1059000000000001</v>
      </c>
      <c r="K142" s="2"/>
      <c r="U142" s="2"/>
      <c r="AE142" s="2"/>
      <c r="AO142" s="2"/>
      <c r="AY142" s="2">
        <v>46197</v>
      </c>
      <c r="AZ142" s="3" t="s">
        <v>44</v>
      </c>
      <c r="BA142" s="3" t="s">
        <v>29</v>
      </c>
      <c r="BB142" s="3" t="s">
        <v>45</v>
      </c>
      <c r="BC142" s="3">
        <v>0</v>
      </c>
      <c r="BD142" s="3">
        <v>0.2</v>
      </c>
      <c r="BE142" s="3">
        <v>0</v>
      </c>
      <c r="BF142" s="3">
        <v>252547</v>
      </c>
      <c r="BG142" s="3">
        <v>9650.58</v>
      </c>
      <c r="BH142" s="3">
        <v>5.3255999999999997</v>
      </c>
      <c r="BI142" s="2">
        <v>46197</v>
      </c>
      <c r="BJ142" s="3" t="s">
        <v>2313</v>
      </c>
      <c r="BK142" s="3" t="s">
        <v>2314</v>
      </c>
      <c r="BL142" s="3" t="s">
        <v>2315</v>
      </c>
      <c r="BM142" s="3">
        <v>0</v>
      </c>
      <c r="BN142" s="3">
        <v>0.35</v>
      </c>
      <c r="BO142" s="3">
        <v>0</v>
      </c>
      <c r="BP142" s="3">
        <v>456021</v>
      </c>
      <c r="BS142" s="2"/>
      <c r="CC142" s="2">
        <v>46197</v>
      </c>
      <c r="CD142" s="3" t="s">
        <v>1454</v>
      </c>
      <c r="CE142" s="3" t="s">
        <v>29</v>
      </c>
      <c r="CF142" s="3" t="s">
        <v>1455</v>
      </c>
      <c r="CG142" s="3">
        <v>0</v>
      </c>
      <c r="CH142" s="3">
        <v>0.3</v>
      </c>
      <c r="CI142" s="3">
        <v>0</v>
      </c>
      <c r="CJ142" s="3">
        <v>445265</v>
      </c>
      <c r="CK142" s="3">
        <v>9192.75</v>
      </c>
      <c r="CL142" s="3">
        <v>3.3243</v>
      </c>
      <c r="CM142" s="2"/>
      <c r="CW142" s="2"/>
    </row>
    <row r="143" spans="1:101" ht="13.5" customHeight="1" x14ac:dyDescent="0.3">
      <c r="A143" s="2">
        <v>46197</v>
      </c>
      <c r="B143" s="3" t="s">
        <v>1812</v>
      </c>
      <c r="C143" s="3" t="s">
        <v>563</v>
      </c>
      <c r="D143" s="3" t="s">
        <v>1813</v>
      </c>
      <c r="E143" s="3">
        <v>0</v>
      </c>
      <c r="F143" s="3">
        <v>0.24</v>
      </c>
      <c r="G143" s="3">
        <v>0</v>
      </c>
      <c r="H143" s="3">
        <v>264022</v>
      </c>
      <c r="I143" s="3">
        <v>9950.25</v>
      </c>
      <c r="J143" s="3">
        <v>0.73070000000000002</v>
      </c>
      <c r="K143" s="2"/>
      <c r="U143" s="2"/>
      <c r="AE143" s="2"/>
      <c r="AO143" s="2"/>
      <c r="AY143" s="2">
        <v>46197</v>
      </c>
      <c r="AZ143" s="3" t="s">
        <v>1454</v>
      </c>
      <c r="BA143" s="3" t="s">
        <v>29</v>
      </c>
      <c r="BB143" s="3" t="s">
        <v>1455</v>
      </c>
      <c r="BC143" s="3">
        <v>0</v>
      </c>
      <c r="BD143" s="3">
        <v>0.2</v>
      </c>
      <c r="BE143" s="3">
        <v>0</v>
      </c>
      <c r="BF143" s="3">
        <v>249596</v>
      </c>
      <c r="BG143" s="3">
        <v>9192.75</v>
      </c>
      <c r="BH143" s="3">
        <v>3.3243</v>
      </c>
      <c r="BI143" s="2">
        <v>46197</v>
      </c>
      <c r="BJ143" s="3" t="s">
        <v>2316</v>
      </c>
      <c r="BK143" s="3" t="s">
        <v>2314</v>
      </c>
      <c r="BL143" s="3" t="s">
        <v>2315</v>
      </c>
      <c r="BM143" s="3">
        <v>0</v>
      </c>
      <c r="BN143" s="3">
        <v>0.35</v>
      </c>
      <c r="BO143" s="3">
        <v>0</v>
      </c>
      <c r="BP143" s="3">
        <v>456021</v>
      </c>
      <c r="BS143" s="2"/>
      <c r="CC143" s="2">
        <v>46197</v>
      </c>
      <c r="CD143" s="3" t="s">
        <v>2415</v>
      </c>
      <c r="CE143" s="3" t="s">
        <v>113</v>
      </c>
      <c r="CF143" s="3" t="s">
        <v>2416</v>
      </c>
      <c r="CG143" s="3">
        <v>0</v>
      </c>
      <c r="CH143" s="3">
        <v>0.3</v>
      </c>
      <c r="CI143" s="3">
        <v>0</v>
      </c>
      <c r="CJ143" s="3">
        <v>445024</v>
      </c>
      <c r="CK143" s="3">
        <v>9480.23</v>
      </c>
      <c r="CL143" s="3">
        <v>5.0145</v>
      </c>
      <c r="CM143" s="2"/>
      <c r="CW143" s="2"/>
    </row>
    <row r="144" spans="1:101" ht="13.5" customHeight="1" x14ac:dyDescent="0.3">
      <c r="A144" s="2">
        <v>46197</v>
      </c>
      <c r="B144" s="3" t="s">
        <v>1814</v>
      </c>
      <c r="C144" s="3" t="s">
        <v>1815</v>
      </c>
      <c r="D144" s="3" t="s">
        <v>1816</v>
      </c>
      <c r="E144" s="3">
        <v>0</v>
      </c>
      <c r="F144" s="3">
        <v>0.24</v>
      </c>
      <c r="G144" s="3">
        <v>0</v>
      </c>
      <c r="H144" s="3">
        <v>263975</v>
      </c>
      <c r="I144" s="3">
        <v>9948.36</v>
      </c>
      <c r="J144" s="3">
        <v>1.1816</v>
      </c>
      <c r="K144" s="2"/>
      <c r="U144" s="2"/>
      <c r="AE144" s="2"/>
      <c r="AO144" s="2"/>
      <c r="AY144" s="2">
        <v>46197</v>
      </c>
      <c r="AZ144" s="3" t="s">
        <v>79</v>
      </c>
      <c r="BA144" s="3" t="s">
        <v>29</v>
      </c>
      <c r="BB144" s="3" t="s">
        <v>80</v>
      </c>
      <c r="BC144" s="3">
        <v>0</v>
      </c>
      <c r="BD144" s="3">
        <v>0.2</v>
      </c>
      <c r="BE144" s="3">
        <v>0</v>
      </c>
      <c r="BF144" s="3">
        <v>248953</v>
      </c>
      <c r="BG144" s="3">
        <v>8990.59</v>
      </c>
      <c r="BH144" s="3">
        <v>16.330300000000001</v>
      </c>
      <c r="BI144" s="2">
        <v>46197</v>
      </c>
      <c r="BJ144" s="3" t="s">
        <v>2317</v>
      </c>
      <c r="BK144" s="3" t="s">
        <v>997</v>
      </c>
      <c r="BL144" s="3" t="s">
        <v>2318</v>
      </c>
      <c r="BM144" s="3">
        <v>0</v>
      </c>
      <c r="BN144" s="3">
        <v>0.3</v>
      </c>
      <c r="BO144" s="3">
        <v>0</v>
      </c>
      <c r="BP144" s="3">
        <v>394812</v>
      </c>
      <c r="BS144" s="2"/>
      <c r="CC144" s="2">
        <v>46197</v>
      </c>
      <c r="CD144" s="3" t="s">
        <v>2417</v>
      </c>
      <c r="CE144" s="3" t="s">
        <v>801</v>
      </c>
      <c r="CF144" s="3" t="s">
        <v>2418</v>
      </c>
      <c r="CG144" s="3">
        <v>0</v>
      </c>
      <c r="CH144" s="3">
        <v>0.3</v>
      </c>
      <c r="CI144" s="3">
        <v>0</v>
      </c>
      <c r="CJ144" s="3">
        <v>438278</v>
      </c>
      <c r="CK144" s="3">
        <v>9335.7099999999991</v>
      </c>
      <c r="CL144" s="3">
        <v>5.5652999999999997</v>
      </c>
      <c r="CM144" s="2"/>
      <c r="CW144" s="2"/>
    </row>
    <row r="145" spans="1:101" ht="13.5" customHeight="1" x14ac:dyDescent="0.3">
      <c r="A145" s="2">
        <v>46197</v>
      </c>
      <c r="B145" s="3" t="s">
        <v>1817</v>
      </c>
      <c r="C145" s="3" t="s">
        <v>1818</v>
      </c>
      <c r="D145" s="3" t="s">
        <v>1819</v>
      </c>
      <c r="E145" s="3">
        <v>0</v>
      </c>
      <c r="F145" s="3">
        <v>0.24</v>
      </c>
      <c r="G145" s="3">
        <v>0</v>
      </c>
      <c r="H145" s="3">
        <v>263790</v>
      </c>
      <c r="I145" s="3">
        <v>9941.76</v>
      </c>
      <c r="J145" s="3">
        <v>0.82779999999999998</v>
      </c>
      <c r="K145" s="2"/>
      <c r="U145" s="2"/>
      <c r="AE145" s="2"/>
      <c r="AO145" s="2"/>
      <c r="AY145" s="2">
        <v>46197</v>
      </c>
      <c r="AZ145" s="3" t="s">
        <v>75</v>
      </c>
      <c r="BA145" s="3" t="s">
        <v>29</v>
      </c>
      <c r="BB145" s="3" t="s">
        <v>76</v>
      </c>
      <c r="BC145" s="3">
        <v>0</v>
      </c>
      <c r="BD145" s="3">
        <v>0.2</v>
      </c>
      <c r="BE145" s="3">
        <v>0</v>
      </c>
      <c r="BF145" s="3">
        <v>246352</v>
      </c>
      <c r="BG145" s="3">
        <v>9590.42</v>
      </c>
      <c r="BH145" s="3">
        <v>6.8437000000000001</v>
      </c>
      <c r="BI145" s="2">
        <v>46197</v>
      </c>
      <c r="BJ145" s="3" t="s">
        <v>2319</v>
      </c>
      <c r="BK145" s="3" t="s">
        <v>182</v>
      </c>
      <c r="BL145" s="3" t="s">
        <v>2320</v>
      </c>
      <c r="BM145" s="3">
        <v>0</v>
      </c>
      <c r="BN145" s="3">
        <v>0.28000000000000003</v>
      </c>
      <c r="BO145" s="3">
        <v>0</v>
      </c>
      <c r="BP145" s="3">
        <v>372721</v>
      </c>
      <c r="BQ145" s="3">
        <v>10074.57</v>
      </c>
      <c r="BR145" s="3">
        <v>0.2036</v>
      </c>
      <c r="BS145" s="2"/>
      <c r="CC145" s="2">
        <v>46197</v>
      </c>
      <c r="CD145" s="3" t="s">
        <v>2419</v>
      </c>
      <c r="CE145" s="3" t="s">
        <v>547</v>
      </c>
      <c r="CF145" s="3" t="s">
        <v>2420</v>
      </c>
      <c r="CG145" s="3">
        <v>0</v>
      </c>
      <c r="CH145" s="3">
        <v>0.28999999999999998</v>
      </c>
      <c r="CI145" s="3">
        <v>0</v>
      </c>
      <c r="CJ145" s="3">
        <v>426192</v>
      </c>
      <c r="CK145" s="3">
        <v>9078.2000000000007</v>
      </c>
      <c r="CL145" s="3">
        <v>4.7999000000000001</v>
      </c>
      <c r="CM145" s="2"/>
      <c r="CW145" s="2"/>
    </row>
    <row r="146" spans="1:101" ht="13.5" customHeight="1" x14ac:dyDescent="0.3">
      <c r="A146" s="2">
        <v>46197</v>
      </c>
      <c r="B146" s="3" t="s">
        <v>560</v>
      </c>
      <c r="C146" s="3" t="s">
        <v>50</v>
      </c>
      <c r="D146" s="3" t="s">
        <v>561</v>
      </c>
      <c r="E146" s="3">
        <v>0</v>
      </c>
      <c r="F146" s="3">
        <v>0.24</v>
      </c>
      <c r="G146" s="3">
        <v>0</v>
      </c>
      <c r="H146" s="3">
        <v>263731</v>
      </c>
      <c r="I146" s="3">
        <v>9939.5300000000007</v>
      </c>
      <c r="J146" s="3">
        <v>2.7844000000000002</v>
      </c>
      <c r="K146" s="2"/>
      <c r="U146" s="2"/>
      <c r="AE146" s="2"/>
      <c r="AO146" s="2"/>
      <c r="AY146" s="2">
        <v>46197</v>
      </c>
      <c r="AZ146" s="3" t="s">
        <v>1456</v>
      </c>
      <c r="BA146" s="3" t="s">
        <v>1457</v>
      </c>
      <c r="BB146" s="3" t="s">
        <v>1458</v>
      </c>
      <c r="BC146" s="3">
        <v>0</v>
      </c>
      <c r="BD146" s="3">
        <v>0.18</v>
      </c>
      <c r="BE146" s="3">
        <v>0</v>
      </c>
      <c r="BF146" s="3">
        <v>232276</v>
      </c>
      <c r="BG146" s="3">
        <v>10065.950000000001</v>
      </c>
      <c r="BH146" s="3">
        <v>1.9810000000000001</v>
      </c>
      <c r="BI146" s="2">
        <v>46197</v>
      </c>
      <c r="BJ146" s="3" t="s">
        <v>2321</v>
      </c>
      <c r="BK146" s="3" t="s">
        <v>2307</v>
      </c>
      <c r="BL146" s="3" t="s">
        <v>2308</v>
      </c>
      <c r="BM146" s="3">
        <v>0</v>
      </c>
      <c r="BN146" s="3">
        <v>0.24</v>
      </c>
      <c r="BO146" s="3">
        <v>0</v>
      </c>
      <c r="BP146" s="3">
        <v>320175</v>
      </c>
      <c r="BS146" s="2"/>
      <c r="CC146" s="2">
        <v>46197</v>
      </c>
      <c r="CD146" s="3" t="s">
        <v>2141</v>
      </c>
      <c r="CE146" s="3" t="s">
        <v>563</v>
      </c>
      <c r="CF146" s="3" t="s">
        <v>2421</v>
      </c>
      <c r="CG146" s="3">
        <v>0</v>
      </c>
      <c r="CH146" s="3">
        <v>0.28000000000000003</v>
      </c>
      <c r="CI146" s="3">
        <v>0</v>
      </c>
      <c r="CJ146" s="3">
        <v>412812</v>
      </c>
      <c r="CK146" s="3">
        <v>8796.0499999999993</v>
      </c>
      <c r="CL146" s="3">
        <v>7.5747</v>
      </c>
      <c r="CM146" s="2"/>
      <c r="CW146" s="2"/>
    </row>
    <row r="147" spans="1:101" ht="13.5" customHeight="1" x14ac:dyDescent="0.3">
      <c r="A147" s="2">
        <v>46197</v>
      </c>
      <c r="B147" s="3" t="s">
        <v>1820</v>
      </c>
      <c r="C147" s="3" t="s">
        <v>1821</v>
      </c>
      <c r="D147" s="3" t="s">
        <v>1822</v>
      </c>
      <c r="E147" s="3">
        <v>0</v>
      </c>
      <c r="F147" s="3">
        <v>0.24</v>
      </c>
      <c r="G147" s="3">
        <v>0</v>
      </c>
      <c r="H147" s="3">
        <v>263603</v>
      </c>
      <c r="I147" s="3">
        <v>9934.42</v>
      </c>
      <c r="J147" s="3">
        <v>0.89859999999999995</v>
      </c>
      <c r="K147" s="2"/>
      <c r="U147" s="2"/>
      <c r="AE147" s="2"/>
      <c r="AO147" s="2"/>
      <c r="AY147" s="2">
        <v>46197</v>
      </c>
      <c r="AZ147" s="3" t="s">
        <v>1459</v>
      </c>
      <c r="BA147" s="3" t="s">
        <v>1460</v>
      </c>
      <c r="BB147" s="3" t="s">
        <v>1461</v>
      </c>
      <c r="BC147" s="3">
        <v>0</v>
      </c>
      <c r="BD147" s="3">
        <v>0.18</v>
      </c>
      <c r="BE147" s="3">
        <v>0</v>
      </c>
      <c r="BF147" s="3">
        <v>232234</v>
      </c>
      <c r="BG147" s="3">
        <v>10064.07</v>
      </c>
      <c r="BH147" s="3">
        <v>0.42559999999999998</v>
      </c>
      <c r="BI147" s="2">
        <v>46197</v>
      </c>
      <c r="BJ147" s="3" t="s">
        <v>2322</v>
      </c>
      <c r="BK147" s="3" t="s">
        <v>191</v>
      </c>
      <c r="BL147" s="3" t="s">
        <v>2323</v>
      </c>
      <c r="BM147" s="3">
        <v>0</v>
      </c>
      <c r="BN147" s="3">
        <v>0.03</v>
      </c>
      <c r="BO147" s="3">
        <v>0</v>
      </c>
      <c r="BP147" s="3">
        <v>37781</v>
      </c>
      <c r="BQ147" s="3">
        <v>10093.799999999999</v>
      </c>
      <c r="BR147" s="3">
        <v>0.13059999999999999</v>
      </c>
      <c r="BS147" s="2"/>
      <c r="CC147" s="2">
        <v>46197</v>
      </c>
      <c r="CD147" s="3" t="s">
        <v>2422</v>
      </c>
      <c r="CE147" s="3" t="s">
        <v>523</v>
      </c>
      <c r="CF147" s="3" t="s">
        <v>2423</v>
      </c>
      <c r="CG147" s="3">
        <v>0</v>
      </c>
      <c r="CH147" s="3">
        <v>0.28000000000000003</v>
      </c>
      <c r="CI147" s="3">
        <v>0</v>
      </c>
      <c r="CJ147" s="3">
        <v>410886</v>
      </c>
      <c r="CK147" s="3">
        <v>8747.6299999999992</v>
      </c>
      <c r="CL147" s="3">
        <v>16.472999999999999</v>
      </c>
      <c r="CM147" s="2"/>
      <c r="CW147" s="2"/>
    </row>
    <row r="148" spans="1:101" ht="13.5" customHeight="1" x14ac:dyDescent="0.3">
      <c r="A148" s="2">
        <v>46197</v>
      </c>
      <c r="B148" s="3" t="s">
        <v>1823</v>
      </c>
      <c r="C148" s="3" t="s">
        <v>1824</v>
      </c>
      <c r="D148" s="3" t="s">
        <v>1825</v>
      </c>
      <c r="E148" s="3">
        <v>0</v>
      </c>
      <c r="F148" s="3">
        <v>0.24</v>
      </c>
      <c r="G148" s="3">
        <v>0</v>
      </c>
      <c r="H148" s="3">
        <v>263383</v>
      </c>
      <c r="I148" s="3">
        <v>9925.98</v>
      </c>
      <c r="J148" s="3">
        <v>1.5316000000000001</v>
      </c>
      <c r="K148" s="2"/>
      <c r="U148" s="2"/>
      <c r="AE148" s="2"/>
      <c r="AO148" s="2"/>
      <c r="AY148" s="2">
        <v>46197</v>
      </c>
      <c r="AZ148" s="3" t="s">
        <v>1462</v>
      </c>
      <c r="BA148" s="3" t="s">
        <v>434</v>
      </c>
      <c r="BB148" s="3" t="s">
        <v>1463</v>
      </c>
      <c r="BC148" s="3">
        <v>0</v>
      </c>
      <c r="BD148" s="3">
        <v>0.18</v>
      </c>
      <c r="BE148" s="3">
        <v>0</v>
      </c>
      <c r="BF148" s="3">
        <v>232162</v>
      </c>
      <c r="BG148" s="3">
        <v>10061.030000000001</v>
      </c>
      <c r="BH148" s="3">
        <v>0.76500000000000001</v>
      </c>
      <c r="BI148" s="2">
        <v>46197</v>
      </c>
      <c r="BJ148" s="3" t="s">
        <v>2324</v>
      </c>
      <c r="BK148" s="3" t="s">
        <v>647</v>
      </c>
      <c r="BL148" s="3" t="s">
        <v>2325</v>
      </c>
      <c r="BM148" s="3">
        <v>0</v>
      </c>
      <c r="BN148" s="3">
        <v>0.03</v>
      </c>
      <c r="BO148" s="3">
        <v>0</v>
      </c>
      <c r="BP148" s="3">
        <v>37747</v>
      </c>
      <c r="BQ148" s="3">
        <v>10084.69</v>
      </c>
      <c r="BR148" s="3">
        <v>3.6200000000000003E-2</v>
      </c>
      <c r="BS148" s="2"/>
      <c r="CC148" s="2">
        <v>46197</v>
      </c>
      <c r="CD148" s="3" t="s">
        <v>2424</v>
      </c>
      <c r="CE148" s="3" t="s">
        <v>278</v>
      </c>
      <c r="CF148" s="3" t="s">
        <v>2425</v>
      </c>
      <c r="CG148" s="3">
        <v>0</v>
      </c>
      <c r="CH148" s="3">
        <v>0.28000000000000003</v>
      </c>
      <c r="CI148" s="3">
        <v>0</v>
      </c>
      <c r="CJ148" s="3">
        <v>407067</v>
      </c>
      <c r="CK148" s="3">
        <v>8674.15</v>
      </c>
      <c r="CL148" s="3">
        <v>8.1574000000000009</v>
      </c>
      <c r="CM148" s="2"/>
      <c r="CW148" s="2"/>
    </row>
    <row r="149" spans="1:101" ht="13.5" customHeight="1" x14ac:dyDescent="0.3">
      <c r="A149" s="2">
        <v>46197</v>
      </c>
      <c r="B149" s="3" t="s">
        <v>1826</v>
      </c>
      <c r="C149" s="3" t="s">
        <v>1827</v>
      </c>
      <c r="D149" s="3" t="s">
        <v>1828</v>
      </c>
      <c r="E149" s="3">
        <v>0</v>
      </c>
      <c r="F149" s="3">
        <v>0.24</v>
      </c>
      <c r="G149" s="3">
        <v>0</v>
      </c>
      <c r="H149" s="3">
        <v>263342</v>
      </c>
      <c r="I149" s="3">
        <v>9924.48</v>
      </c>
      <c r="J149" s="3">
        <v>1.5022</v>
      </c>
      <c r="K149" s="2"/>
      <c r="U149" s="2"/>
      <c r="AE149" s="2"/>
      <c r="AO149" s="2"/>
      <c r="AY149" s="2">
        <v>46197</v>
      </c>
      <c r="AZ149" s="3" t="s">
        <v>1464</v>
      </c>
      <c r="BA149" s="3" t="s">
        <v>1465</v>
      </c>
      <c r="BB149" s="3" t="s">
        <v>1466</v>
      </c>
      <c r="BC149" s="3">
        <v>0</v>
      </c>
      <c r="BD149" s="3">
        <v>0.18</v>
      </c>
      <c r="BE149" s="3">
        <v>0</v>
      </c>
      <c r="BF149" s="3">
        <v>231856</v>
      </c>
      <c r="BG149" s="3">
        <v>10047.959999999999</v>
      </c>
      <c r="BH149" s="3">
        <v>0.193</v>
      </c>
      <c r="BI149" s="2">
        <v>46197</v>
      </c>
      <c r="BJ149" s="3" t="s">
        <v>2326</v>
      </c>
      <c r="BK149" s="3" t="s">
        <v>1234</v>
      </c>
      <c r="BL149" s="3" t="s">
        <v>2327</v>
      </c>
      <c r="BM149" s="3">
        <v>0</v>
      </c>
      <c r="BN149" s="3">
        <v>0.03</v>
      </c>
      <c r="BO149" s="3">
        <v>0</v>
      </c>
      <c r="BP149" s="3">
        <v>37705</v>
      </c>
      <c r="BQ149" s="3">
        <v>10073.56</v>
      </c>
      <c r="BR149" s="3">
        <v>8.1799999999999998E-2</v>
      </c>
      <c r="BS149" s="2"/>
      <c r="CC149" s="2">
        <v>46197</v>
      </c>
      <c r="CD149" s="3" t="s">
        <v>2426</v>
      </c>
      <c r="CE149" s="3" t="s">
        <v>108</v>
      </c>
      <c r="CF149" s="3" t="s">
        <v>2427</v>
      </c>
      <c r="CG149" s="3">
        <v>0</v>
      </c>
      <c r="CH149" s="3">
        <v>0.27</v>
      </c>
      <c r="CI149" s="3">
        <v>0</v>
      </c>
      <c r="CJ149" s="3">
        <v>396980</v>
      </c>
      <c r="CK149" s="3">
        <v>9396.4699999999993</v>
      </c>
      <c r="CL149" s="3">
        <v>4.9656000000000002</v>
      </c>
      <c r="CM149" s="2"/>
      <c r="CW149" s="2"/>
    </row>
    <row r="150" spans="1:101" ht="13.5" customHeight="1" x14ac:dyDescent="0.3">
      <c r="A150" s="2">
        <v>46197</v>
      </c>
      <c r="B150" s="3" t="s">
        <v>1829</v>
      </c>
      <c r="C150" s="3" t="s">
        <v>1505</v>
      </c>
      <c r="D150" s="3" t="s">
        <v>1830</v>
      </c>
      <c r="E150" s="3">
        <v>0</v>
      </c>
      <c r="F150" s="3">
        <v>0.24</v>
      </c>
      <c r="G150" s="3">
        <v>0</v>
      </c>
      <c r="H150" s="3">
        <v>262698</v>
      </c>
      <c r="I150" s="3">
        <v>9900.67</v>
      </c>
      <c r="J150" s="3">
        <v>1.4981</v>
      </c>
      <c r="K150" s="2"/>
      <c r="U150" s="2"/>
      <c r="AE150" s="2"/>
      <c r="AO150" s="2"/>
      <c r="AY150" s="2">
        <v>46197</v>
      </c>
      <c r="AZ150" s="3" t="s">
        <v>1467</v>
      </c>
      <c r="BA150" s="3" t="s">
        <v>50</v>
      </c>
      <c r="BB150" s="3" t="s">
        <v>1468</v>
      </c>
      <c r="BC150" s="3">
        <v>0</v>
      </c>
      <c r="BD150" s="3">
        <v>0.18</v>
      </c>
      <c r="BE150" s="3">
        <v>0</v>
      </c>
      <c r="BF150" s="3">
        <v>226955</v>
      </c>
      <c r="BG150" s="3">
        <v>9835.5300000000007</v>
      </c>
      <c r="BH150" s="3">
        <v>3.0026999999999999</v>
      </c>
      <c r="BI150" s="2">
        <v>46197</v>
      </c>
      <c r="BJ150" s="3" t="s">
        <v>2328</v>
      </c>
      <c r="BK150" s="3" t="s">
        <v>2329</v>
      </c>
      <c r="BL150" s="3" t="s">
        <v>2330</v>
      </c>
      <c r="BM150" s="3">
        <v>0</v>
      </c>
      <c r="BN150" s="3">
        <v>0.03</v>
      </c>
      <c r="BO150" s="3">
        <v>0</v>
      </c>
      <c r="BP150" s="3">
        <v>37671</v>
      </c>
      <c r="BQ150" s="3">
        <v>10064.209999999999</v>
      </c>
      <c r="BR150" s="3">
        <v>0.32750000000000001</v>
      </c>
      <c r="BS150" s="2"/>
      <c r="CC150" s="2">
        <v>46197</v>
      </c>
      <c r="CD150" s="3" t="s">
        <v>562</v>
      </c>
      <c r="CE150" s="3" t="s">
        <v>563</v>
      </c>
      <c r="CF150" s="3" t="s">
        <v>564</v>
      </c>
      <c r="CG150" s="3">
        <v>0</v>
      </c>
      <c r="CH150" s="3">
        <v>0.27</v>
      </c>
      <c r="CI150" s="3">
        <v>0</v>
      </c>
      <c r="CJ150" s="3">
        <v>395682</v>
      </c>
      <c r="CK150" s="3">
        <v>8428.86</v>
      </c>
      <c r="CL150" s="3">
        <v>16.948699999999999</v>
      </c>
      <c r="CM150" s="2"/>
      <c r="CW150" s="2"/>
    </row>
    <row r="151" spans="1:101" ht="13.5" customHeight="1" x14ac:dyDescent="0.3">
      <c r="A151" s="2">
        <v>46197</v>
      </c>
      <c r="B151" s="3" t="s">
        <v>1831</v>
      </c>
      <c r="C151" s="3" t="s">
        <v>1832</v>
      </c>
      <c r="D151" s="3" t="s">
        <v>1833</v>
      </c>
      <c r="E151" s="3">
        <v>0</v>
      </c>
      <c r="F151" s="3">
        <v>0.24</v>
      </c>
      <c r="G151" s="3">
        <v>0</v>
      </c>
      <c r="H151" s="3">
        <v>262486</v>
      </c>
      <c r="I151" s="3">
        <v>9890.68</v>
      </c>
      <c r="J151" s="3">
        <v>5.2023000000000001</v>
      </c>
      <c r="K151" s="2"/>
      <c r="U151" s="2"/>
      <c r="AE151" s="2"/>
      <c r="AO151" s="2"/>
      <c r="AY151" s="2">
        <v>46197</v>
      </c>
      <c r="AZ151" s="3" t="s">
        <v>1469</v>
      </c>
      <c r="BA151" s="3" t="s">
        <v>547</v>
      </c>
      <c r="BB151" s="3" t="s">
        <v>1470</v>
      </c>
      <c r="BC151" s="3">
        <v>0</v>
      </c>
      <c r="BD151" s="3">
        <v>0.18</v>
      </c>
      <c r="BE151" s="3">
        <v>0</v>
      </c>
      <c r="BF151" s="3">
        <v>224703</v>
      </c>
      <c r="BG151" s="3">
        <v>9737.89</v>
      </c>
      <c r="BH151" s="3">
        <v>2.1537999999999999</v>
      </c>
      <c r="BI151" s="2">
        <v>46197</v>
      </c>
      <c r="BJ151" s="3" t="s">
        <v>2331</v>
      </c>
      <c r="BK151" s="3" t="s">
        <v>422</v>
      </c>
      <c r="BL151" s="3" t="s">
        <v>2332</v>
      </c>
      <c r="BM151" s="3">
        <v>0</v>
      </c>
      <c r="BN151" s="3">
        <v>0.03</v>
      </c>
      <c r="BO151" s="3">
        <v>0</v>
      </c>
      <c r="BP151" s="3">
        <v>37639</v>
      </c>
      <c r="BQ151" s="3">
        <v>10055.84</v>
      </c>
      <c r="BR151" s="3">
        <v>0.1585</v>
      </c>
      <c r="BS151" s="2"/>
      <c r="CC151" s="2">
        <v>46197</v>
      </c>
      <c r="CD151" s="3" t="s">
        <v>737</v>
      </c>
      <c r="CE151" s="3" t="s">
        <v>29</v>
      </c>
      <c r="CF151" s="3" t="s">
        <v>2428</v>
      </c>
      <c r="CG151" s="3">
        <v>0</v>
      </c>
      <c r="CH151" s="3">
        <v>0.24</v>
      </c>
      <c r="CI151" s="3">
        <v>0</v>
      </c>
      <c r="CJ151" s="3">
        <v>353353</v>
      </c>
      <c r="CK151" s="3">
        <v>5880</v>
      </c>
      <c r="CL151" s="3">
        <v>18.049099999999999</v>
      </c>
      <c r="CM151" s="2"/>
      <c r="CW151" s="2"/>
    </row>
    <row r="152" spans="1:101" ht="13.5" customHeight="1" x14ac:dyDescent="0.3">
      <c r="A152" s="2">
        <v>46197</v>
      </c>
      <c r="B152" s="3" t="s">
        <v>1834</v>
      </c>
      <c r="C152" s="3" t="s">
        <v>1288</v>
      </c>
      <c r="D152" s="3" t="s">
        <v>1835</v>
      </c>
      <c r="E152" s="3">
        <v>0</v>
      </c>
      <c r="F152" s="3">
        <v>0.24</v>
      </c>
      <c r="G152" s="3">
        <v>0</v>
      </c>
      <c r="H152" s="3">
        <v>262303</v>
      </c>
      <c r="I152" s="3">
        <v>9885.52</v>
      </c>
      <c r="J152" s="3">
        <v>2.0284</v>
      </c>
      <c r="K152" s="2"/>
      <c r="U152" s="2"/>
      <c r="AE152" s="2"/>
      <c r="AO152" s="2"/>
      <c r="AY152" s="2">
        <v>46197</v>
      </c>
      <c r="AZ152" s="3" t="s">
        <v>1471</v>
      </c>
      <c r="BA152" s="3" t="s">
        <v>98</v>
      </c>
      <c r="BB152" s="3" t="s">
        <v>1472</v>
      </c>
      <c r="BC152" s="3">
        <v>0</v>
      </c>
      <c r="BD152" s="3">
        <v>0.18</v>
      </c>
      <c r="BE152" s="3">
        <v>0</v>
      </c>
      <c r="BF152" s="3">
        <v>224106</v>
      </c>
      <c r="BG152" s="3">
        <v>7285.89</v>
      </c>
      <c r="BH152" s="3">
        <v>7.4020999999999999</v>
      </c>
      <c r="BI152" s="2">
        <v>46197</v>
      </c>
      <c r="BJ152" s="3" t="s">
        <v>2333</v>
      </c>
      <c r="BK152" s="3" t="s">
        <v>170</v>
      </c>
      <c r="BL152" s="3" t="s">
        <v>2334</v>
      </c>
      <c r="BM152" s="3">
        <v>0</v>
      </c>
      <c r="BN152" s="3">
        <v>0.03</v>
      </c>
      <c r="BO152" s="3">
        <v>0</v>
      </c>
      <c r="BP152" s="3">
        <v>37629</v>
      </c>
      <c r="BQ152" s="3">
        <v>10053.35</v>
      </c>
      <c r="BR152" s="3">
        <v>5.5300000000000002E-2</v>
      </c>
      <c r="BS152" s="2"/>
      <c r="CC152" s="2">
        <v>46197</v>
      </c>
      <c r="CD152" s="3" t="s">
        <v>2429</v>
      </c>
      <c r="CE152" s="3" t="s">
        <v>170</v>
      </c>
      <c r="CF152" s="3" t="s">
        <v>2430</v>
      </c>
      <c r="CG152" s="3">
        <v>0</v>
      </c>
      <c r="CH152" s="3">
        <v>0.24</v>
      </c>
      <c r="CI152" s="3">
        <v>0</v>
      </c>
      <c r="CJ152" s="3">
        <v>351999</v>
      </c>
      <c r="CK152" s="3">
        <v>9996.39</v>
      </c>
      <c r="CL152" s="3">
        <v>0.96809999999999996</v>
      </c>
      <c r="CM152" s="2"/>
      <c r="CW152" s="2"/>
    </row>
    <row r="153" spans="1:101" ht="13.5" customHeight="1" x14ac:dyDescent="0.3">
      <c r="A153" s="2">
        <v>46197</v>
      </c>
      <c r="B153" s="3" t="s">
        <v>1836</v>
      </c>
      <c r="C153" s="3" t="s">
        <v>1837</v>
      </c>
      <c r="D153" s="3" t="s">
        <v>1838</v>
      </c>
      <c r="E153" s="3">
        <v>0</v>
      </c>
      <c r="F153" s="3">
        <v>0.24</v>
      </c>
      <c r="G153" s="3">
        <v>0</v>
      </c>
      <c r="H153" s="3">
        <v>262160</v>
      </c>
      <c r="I153" s="3">
        <v>9879.75</v>
      </c>
      <c r="J153" s="3">
        <v>1.3773</v>
      </c>
      <c r="K153" s="2"/>
      <c r="U153" s="2"/>
      <c r="AE153" s="2"/>
      <c r="AO153" s="2"/>
      <c r="AY153" s="2">
        <v>46197</v>
      </c>
      <c r="AZ153" s="3" t="s">
        <v>735</v>
      </c>
      <c r="BA153" s="3" t="s">
        <v>29</v>
      </c>
      <c r="BB153" s="3" t="s">
        <v>736</v>
      </c>
      <c r="BC153" s="3">
        <v>0</v>
      </c>
      <c r="BD153" s="3">
        <v>0.18</v>
      </c>
      <c r="BE153" s="3">
        <v>0</v>
      </c>
      <c r="BF153" s="3">
        <v>223836</v>
      </c>
      <c r="BG153" s="3">
        <v>8397.8700000000008</v>
      </c>
      <c r="BH153" s="3">
        <v>16.5593</v>
      </c>
      <c r="BI153" s="2">
        <v>46197</v>
      </c>
      <c r="BJ153" s="3" t="s">
        <v>2335</v>
      </c>
      <c r="BK153" s="3" t="s">
        <v>2336</v>
      </c>
      <c r="BL153" s="3" t="s">
        <v>2337</v>
      </c>
      <c r="BM153" s="3">
        <v>0</v>
      </c>
      <c r="BN153" s="3">
        <v>0.03</v>
      </c>
      <c r="BO153" s="3">
        <v>0</v>
      </c>
      <c r="BP153" s="3">
        <v>37580</v>
      </c>
      <c r="BQ153" s="3">
        <v>10040.290000000001</v>
      </c>
      <c r="BR153" s="3">
        <v>0.2346</v>
      </c>
      <c r="BS153" s="2"/>
      <c r="CC153" s="2">
        <v>46197</v>
      </c>
      <c r="CD153" s="3" t="s">
        <v>33</v>
      </c>
      <c r="CE153" s="3" t="s">
        <v>29</v>
      </c>
      <c r="CF153" s="3" t="s">
        <v>2431</v>
      </c>
      <c r="CG153" s="3">
        <v>0</v>
      </c>
      <c r="CH153" s="3">
        <v>0.24</v>
      </c>
      <c r="CI153" s="3">
        <v>0</v>
      </c>
      <c r="CJ153" s="3">
        <v>348774</v>
      </c>
      <c r="CK153" s="3">
        <v>9228.02</v>
      </c>
      <c r="CL153" s="3">
        <v>7.3311999999999999</v>
      </c>
      <c r="CM153" s="2"/>
      <c r="CW153" s="2"/>
    </row>
    <row r="154" spans="1:101" ht="13.5" customHeight="1" x14ac:dyDescent="0.3">
      <c r="A154" s="2">
        <v>46197</v>
      </c>
      <c r="B154" s="3" t="s">
        <v>1839</v>
      </c>
      <c r="C154" s="3" t="s">
        <v>1840</v>
      </c>
      <c r="D154" s="3" t="s">
        <v>1841</v>
      </c>
      <c r="E154" s="3">
        <v>0</v>
      </c>
      <c r="F154" s="3">
        <v>0.24</v>
      </c>
      <c r="G154" s="3">
        <v>0</v>
      </c>
      <c r="H154" s="3">
        <v>261998</v>
      </c>
      <c r="I154" s="3">
        <v>9873.76</v>
      </c>
      <c r="J154" s="3">
        <v>4.3513999999999999</v>
      </c>
      <c r="K154" s="2"/>
      <c r="U154" s="2"/>
      <c r="AE154" s="2"/>
      <c r="AO154" s="2"/>
      <c r="AY154" s="2">
        <v>46197</v>
      </c>
      <c r="AZ154" s="3" t="s">
        <v>60</v>
      </c>
      <c r="BA154" s="3" t="s">
        <v>56</v>
      </c>
      <c r="BB154" s="3" t="s">
        <v>61</v>
      </c>
      <c r="BC154" s="3">
        <v>0</v>
      </c>
      <c r="BD154" s="3">
        <v>0.17</v>
      </c>
      <c r="BE154" s="3">
        <v>0</v>
      </c>
      <c r="BF154" s="3">
        <v>210954</v>
      </c>
      <c r="BG154" s="3">
        <v>9506.6</v>
      </c>
      <c r="BH154" s="3">
        <v>3.9123000000000001</v>
      </c>
      <c r="BI154" s="2">
        <v>46197</v>
      </c>
      <c r="BJ154" s="3" t="s">
        <v>2338</v>
      </c>
      <c r="BK154" s="3" t="s">
        <v>463</v>
      </c>
      <c r="BL154" s="3" t="s">
        <v>464</v>
      </c>
      <c r="BM154" s="3">
        <v>0</v>
      </c>
      <c r="BN154" s="3">
        <v>0.03</v>
      </c>
      <c r="BO154" s="3">
        <v>0</v>
      </c>
      <c r="BP154" s="3">
        <v>37267</v>
      </c>
      <c r="BS154" s="2"/>
      <c r="CC154" s="2">
        <v>46197</v>
      </c>
      <c r="CD154" s="3" t="s">
        <v>2038</v>
      </c>
      <c r="CE154" s="3" t="s">
        <v>200</v>
      </c>
      <c r="CF154" s="3" t="s">
        <v>2039</v>
      </c>
      <c r="CG154" s="3">
        <v>0</v>
      </c>
      <c r="CH154" s="3">
        <v>0.23</v>
      </c>
      <c r="CI154" s="3">
        <v>0</v>
      </c>
      <c r="CJ154" s="3">
        <v>340772</v>
      </c>
      <c r="CK154" s="3">
        <v>9072.5400000000009</v>
      </c>
      <c r="CL154" s="3">
        <v>4.6547000000000001</v>
      </c>
      <c r="CM154" s="2"/>
      <c r="CW154" s="2"/>
    </row>
    <row r="155" spans="1:101" ht="13.5" customHeight="1" x14ac:dyDescent="0.3">
      <c r="A155" s="2">
        <v>46197</v>
      </c>
      <c r="B155" s="3" t="s">
        <v>1842</v>
      </c>
      <c r="C155" s="3" t="s">
        <v>1843</v>
      </c>
      <c r="D155" s="3" t="s">
        <v>1844</v>
      </c>
      <c r="E155" s="3">
        <v>0</v>
      </c>
      <c r="F155" s="3">
        <v>0.24</v>
      </c>
      <c r="G155" s="3">
        <v>0</v>
      </c>
      <c r="H155" s="3">
        <v>261957</v>
      </c>
      <c r="I155" s="3">
        <v>9871.36</v>
      </c>
      <c r="J155" s="3">
        <v>4.3108000000000004</v>
      </c>
      <c r="K155" s="2"/>
      <c r="U155" s="2"/>
      <c r="AE155" s="2"/>
      <c r="AO155" s="2"/>
      <c r="AY155" s="2">
        <v>46197</v>
      </c>
      <c r="AZ155" s="3" t="s">
        <v>1473</v>
      </c>
      <c r="BA155" s="3" t="s">
        <v>98</v>
      </c>
      <c r="BB155" s="3" t="s">
        <v>1474</v>
      </c>
      <c r="BC155" s="3">
        <v>0</v>
      </c>
      <c r="BD155" s="3">
        <v>0.17</v>
      </c>
      <c r="BE155" s="3">
        <v>0</v>
      </c>
      <c r="BF155" s="3">
        <v>209151</v>
      </c>
      <c r="BG155" s="3">
        <v>7768.85</v>
      </c>
      <c r="BH155" s="3">
        <v>5.9690000000000003</v>
      </c>
      <c r="BI155" s="2">
        <v>46197</v>
      </c>
      <c r="BJ155" s="3" t="s">
        <v>2339</v>
      </c>
      <c r="BK155" s="3" t="s">
        <v>572</v>
      </c>
      <c r="BL155" s="3" t="s">
        <v>573</v>
      </c>
      <c r="BM155" s="3">
        <v>0</v>
      </c>
      <c r="BN155" s="3">
        <v>0.01</v>
      </c>
      <c r="BO155" s="3">
        <v>0</v>
      </c>
      <c r="BP155" s="3">
        <v>18707</v>
      </c>
      <c r="BS155" s="2"/>
      <c r="CC155" s="2">
        <v>46197</v>
      </c>
      <c r="CD155" s="3" t="s">
        <v>81</v>
      </c>
      <c r="CE155" s="3" t="s">
        <v>29</v>
      </c>
      <c r="CF155" s="3" t="s">
        <v>2432</v>
      </c>
      <c r="CG155" s="3">
        <v>0</v>
      </c>
      <c r="CH155" s="3">
        <v>0.23</v>
      </c>
      <c r="CI155" s="3">
        <v>0</v>
      </c>
      <c r="CJ155" s="3">
        <v>335282</v>
      </c>
      <c r="CK155" s="3">
        <v>7137.21</v>
      </c>
      <c r="CL155" s="3">
        <v>12.1907</v>
      </c>
      <c r="CM155" s="2"/>
      <c r="CW155" s="2"/>
    </row>
    <row r="156" spans="1:101" ht="13.5" customHeight="1" x14ac:dyDescent="0.3">
      <c r="A156" s="2">
        <v>46197</v>
      </c>
      <c r="B156" s="3" t="s">
        <v>1845</v>
      </c>
      <c r="C156" s="3" t="s">
        <v>490</v>
      </c>
      <c r="D156" s="3" t="s">
        <v>1846</v>
      </c>
      <c r="E156" s="3">
        <v>0</v>
      </c>
      <c r="F156" s="3">
        <v>0.24</v>
      </c>
      <c r="G156" s="3">
        <v>0</v>
      </c>
      <c r="H156" s="3">
        <v>261897</v>
      </c>
      <c r="I156" s="3">
        <v>9870.4599999999991</v>
      </c>
      <c r="J156" s="3">
        <v>1.4690000000000001</v>
      </c>
      <c r="K156" s="2"/>
      <c r="U156" s="2"/>
      <c r="AE156" s="2"/>
      <c r="AO156" s="2"/>
      <c r="AY156" s="2">
        <v>46197</v>
      </c>
      <c r="AZ156" s="3" t="s">
        <v>1475</v>
      </c>
      <c r="BA156" s="3" t="s">
        <v>876</v>
      </c>
      <c r="BB156" s="3" t="s">
        <v>1476</v>
      </c>
      <c r="BC156" s="3">
        <v>0</v>
      </c>
      <c r="BD156" s="3">
        <v>0.15</v>
      </c>
      <c r="BE156" s="3">
        <v>0</v>
      </c>
      <c r="BF156" s="3">
        <v>193727</v>
      </c>
      <c r="BG156" s="3">
        <v>10073.379999999999</v>
      </c>
      <c r="BH156" s="3">
        <v>2.0630000000000002</v>
      </c>
      <c r="BI156" s="2">
        <v>46197</v>
      </c>
      <c r="BJ156" s="3" t="s">
        <v>2340</v>
      </c>
      <c r="BK156" s="3" t="s">
        <v>1172</v>
      </c>
      <c r="BL156" s="3" t="s">
        <v>1173</v>
      </c>
      <c r="BM156" s="3">
        <v>0</v>
      </c>
      <c r="BN156" s="3">
        <v>0.01</v>
      </c>
      <c r="BO156" s="3">
        <v>0</v>
      </c>
      <c r="BP156" s="3">
        <v>18665</v>
      </c>
      <c r="BS156" s="2"/>
      <c r="CC156" s="2">
        <v>46197</v>
      </c>
      <c r="CD156" s="3" t="s">
        <v>2433</v>
      </c>
      <c r="CE156" s="3" t="s">
        <v>795</v>
      </c>
      <c r="CF156" s="3" t="s">
        <v>2434</v>
      </c>
      <c r="CG156" s="3">
        <v>0</v>
      </c>
      <c r="CH156" s="3">
        <v>0.22</v>
      </c>
      <c r="CI156" s="3">
        <v>0</v>
      </c>
      <c r="CJ156" s="3">
        <v>326145</v>
      </c>
      <c r="CK156" s="3">
        <v>9923.9500000000007</v>
      </c>
      <c r="CL156" s="3">
        <v>2.4927000000000001</v>
      </c>
      <c r="CM156" s="2"/>
      <c r="CW156" s="2"/>
    </row>
    <row r="157" spans="1:101" ht="13.5" customHeight="1" x14ac:dyDescent="0.3">
      <c r="A157" s="2">
        <v>46197</v>
      </c>
      <c r="B157" s="3" t="s">
        <v>1847</v>
      </c>
      <c r="C157" s="3" t="s">
        <v>504</v>
      </c>
      <c r="D157" s="3" t="s">
        <v>1848</v>
      </c>
      <c r="E157" s="3">
        <v>0</v>
      </c>
      <c r="F157" s="3">
        <v>0.24</v>
      </c>
      <c r="G157" s="3">
        <v>0</v>
      </c>
      <c r="H157" s="3">
        <v>261874</v>
      </c>
      <c r="I157" s="3">
        <v>9869.2999999999993</v>
      </c>
      <c r="J157" s="3">
        <v>1.5971</v>
      </c>
      <c r="K157" s="2"/>
      <c r="U157" s="2"/>
      <c r="AE157" s="2"/>
      <c r="AO157" s="2"/>
      <c r="AY157" s="2">
        <v>46197</v>
      </c>
      <c r="AZ157" s="3" t="s">
        <v>1477</v>
      </c>
      <c r="BA157" s="3" t="s">
        <v>558</v>
      </c>
      <c r="BB157" s="3" t="s">
        <v>1478</v>
      </c>
      <c r="BC157" s="3">
        <v>0</v>
      </c>
      <c r="BD157" s="3">
        <v>0.15</v>
      </c>
      <c r="BE157" s="3">
        <v>0</v>
      </c>
      <c r="BF157" s="3">
        <v>185295</v>
      </c>
      <c r="BG157" s="3">
        <v>10074.15</v>
      </c>
      <c r="BH157" s="3">
        <v>2.2700000000000001E-2</v>
      </c>
      <c r="BI157" s="2">
        <v>46197</v>
      </c>
      <c r="BJ157" s="3" t="s">
        <v>2341</v>
      </c>
      <c r="BK157" s="3" t="s">
        <v>1172</v>
      </c>
      <c r="BL157" s="3" t="s">
        <v>1173</v>
      </c>
      <c r="BM157" s="3">
        <v>0</v>
      </c>
      <c r="BN157" s="3">
        <v>0.01</v>
      </c>
      <c r="BO157" s="3">
        <v>0</v>
      </c>
      <c r="BP157" s="3">
        <v>18665</v>
      </c>
      <c r="BS157" s="2"/>
      <c r="CC157" s="2">
        <v>46197</v>
      </c>
      <c r="CD157" s="3" t="s">
        <v>2435</v>
      </c>
      <c r="CE157" s="3" t="s">
        <v>916</v>
      </c>
      <c r="CF157" s="3" t="s">
        <v>2436</v>
      </c>
      <c r="CG157" s="3">
        <v>0</v>
      </c>
      <c r="CH157" s="3">
        <v>0.22</v>
      </c>
      <c r="CI157" s="3">
        <v>0</v>
      </c>
      <c r="CJ157" s="3">
        <v>324278</v>
      </c>
      <c r="CK157" s="3">
        <v>9866.57</v>
      </c>
      <c r="CL157" s="3">
        <v>0.68730000000000002</v>
      </c>
      <c r="CM157" s="2"/>
      <c r="CW157" s="2"/>
    </row>
    <row r="158" spans="1:101" ht="13.5" customHeight="1" x14ac:dyDescent="0.3">
      <c r="A158" s="2">
        <v>46197</v>
      </c>
      <c r="B158" s="3" t="s">
        <v>1849</v>
      </c>
      <c r="C158" s="3" t="s">
        <v>1737</v>
      </c>
      <c r="D158" s="3" t="s">
        <v>1850</v>
      </c>
      <c r="E158" s="3">
        <v>0</v>
      </c>
      <c r="F158" s="3">
        <v>0.24</v>
      </c>
      <c r="G158" s="3">
        <v>0</v>
      </c>
      <c r="H158" s="3">
        <v>261871</v>
      </c>
      <c r="I158" s="3">
        <v>9869.19</v>
      </c>
      <c r="J158" s="3">
        <v>2.5813999999999999</v>
      </c>
      <c r="K158" s="2"/>
      <c r="U158" s="2"/>
      <c r="AE158" s="2"/>
      <c r="AO158" s="2"/>
      <c r="AY158" s="2">
        <v>46197</v>
      </c>
      <c r="AZ158" s="3" t="s">
        <v>907</v>
      </c>
      <c r="BA158" s="3" t="s">
        <v>558</v>
      </c>
      <c r="BB158" s="3" t="s">
        <v>908</v>
      </c>
      <c r="BC158" s="3">
        <v>0</v>
      </c>
      <c r="BD158" s="3">
        <v>0.15</v>
      </c>
      <c r="BE158" s="3">
        <v>0</v>
      </c>
      <c r="BF158" s="3">
        <v>185131</v>
      </c>
      <c r="BG158" s="3">
        <v>10065.24</v>
      </c>
      <c r="BH158" s="3">
        <v>0.26989999999999997</v>
      </c>
      <c r="BI158" s="2">
        <v>46197</v>
      </c>
      <c r="BJ158" s="3" t="s">
        <v>2342</v>
      </c>
      <c r="BK158" s="3" t="s">
        <v>1180</v>
      </c>
      <c r="BL158" s="3" t="s">
        <v>1181</v>
      </c>
      <c r="BM158" s="3">
        <v>0</v>
      </c>
      <c r="BN158" s="3">
        <v>0.01</v>
      </c>
      <c r="BO158" s="3">
        <v>0</v>
      </c>
      <c r="BP158" s="3">
        <v>18645</v>
      </c>
      <c r="BS158" s="2"/>
      <c r="CC158" s="2">
        <v>46197</v>
      </c>
      <c r="CD158" s="3" t="s">
        <v>2437</v>
      </c>
      <c r="CE158" s="3" t="s">
        <v>176</v>
      </c>
      <c r="CF158" s="3" t="s">
        <v>2438</v>
      </c>
      <c r="CG158" s="3">
        <v>0</v>
      </c>
      <c r="CH158" s="3">
        <v>0.22</v>
      </c>
      <c r="CI158" s="3">
        <v>0</v>
      </c>
      <c r="CJ158" s="3">
        <v>322753</v>
      </c>
      <c r="CK158" s="3">
        <v>9821.2099999999991</v>
      </c>
      <c r="CL158" s="3">
        <v>2.3294000000000001</v>
      </c>
      <c r="CM158" s="2"/>
      <c r="CW158" s="2"/>
    </row>
    <row r="159" spans="1:101" ht="13.5" customHeight="1" x14ac:dyDescent="0.3">
      <c r="A159" s="2">
        <v>46197</v>
      </c>
      <c r="B159" s="3" t="s">
        <v>1851</v>
      </c>
      <c r="C159" s="3" t="s">
        <v>131</v>
      </c>
      <c r="D159" s="3" t="s">
        <v>1852</v>
      </c>
      <c r="E159" s="3">
        <v>0</v>
      </c>
      <c r="F159" s="3">
        <v>0.24</v>
      </c>
      <c r="G159" s="3">
        <v>0</v>
      </c>
      <c r="H159" s="3">
        <v>261815</v>
      </c>
      <c r="I159" s="3">
        <v>9868.16</v>
      </c>
      <c r="J159" s="3">
        <v>0.45090000000000002</v>
      </c>
      <c r="K159" s="2"/>
      <c r="U159" s="2"/>
      <c r="AE159" s="2"/>
      <c r="AO159" s="2"/>
      <c r="AY159" s="2">
        <v>46197</v>
      </c>
      <c r="AZ159" s="3" t="s">
        <v>1479</v>
      </c>
      <c r="BA159" s="3" t="s">
        <v>504</v>
      </c>
      <c r="BB159" s="3" t="s">
        <v>1480</v>
      </c>
      <c r="BC159" s="3">
        <v>0</v>
      </c>
      <c r="BD159" s="3">
        <v>0.14000000000000001</v>
      </c>
      <c r="BE159" s="3">
        <v>0</v>
      </c>
      <c r="BF159" s="3">
        <v>174411</v>
      </c>
      <c r="BG159" s="3">
        <v>10109.07</v>
      </c>
      <c r="BH159" s="3">
        <v>6.3E-3</v>
      </c>
      <c r="BI159" s="2">
        <v>46197</v>
      </c>
      <c r="BJ159" s="3" t="s">
        <v>2343</v>
      </c>
      <c r="BK159" s="3" t="s">
        <v>709</v>
      </c>
      <c r="BL159" s="3" t="s">
        <v>710</v>
      </c>
      <c r="BM159" s="3">
        <v>0</v>
      </c>
      <c r="BN159" s="3">
        <v>0.01</v>
      </c>
      <c r="BO159" s="3">
        <v>0</v>
      </c>
      <c r="BP159" s="3">
        <v>18621</v>
      </c>
      <c r="BS159" s="2"/>
      <c r="CC159" s="2">
        <v>46197</v>
      </c>
      <c r="CD159" s="3" t="s">
        <v>2439</v>
      </c>
      <c r="CE159" s="3" t="s">
        <v>1760</v>
      </c>
      <c r="CF159" s="3" t="s">
        <v>2440</v>
      </c>
      <c r="CG159" s="3">
        <v>0</v>
      </c>
      <c r="CH159" s="3">
        <v>0.22</v>
      </c>
      <c r="CI159" s="3">
        <v>0</v>
      </c>
      <c r="CJ159" s="3">
        <v>319408</v>
      </c>
      <c r="CK159" s="3">
        <v>9718.26</v>
      </c>
      <c r="CL159" s="3">
        <v>2.2309999999999999</v>
      </c>
      <c r="CM159" s="2"/>
      <c r="CW159" s="2"/>
    </row>
    <row r="160" spans="1:101" ht="13.5" customHeight="1" x14ac:dyDescent="0.3">
      <c r="A160" s="2">
        <v>46197</v>
      </c>
      <c r="B160" s="3" t="s">
        <v>1853</v>
      </c>
      <c r="C160" s="3" t="s">
        <v>1854</v>
      </c>
      <c r="D160" s="3" t="s">
        <v>1855</v>
      </c>
      <c r="E160" s="3">
        <v>0</v>
      </c>
      <c r="F160" s="3">
        <v>0.24</v>
      </c>
      <c r="G160" s="3">
        <v>0</v>
      </c>
      <c r="H160" s="3">
        <v>261768</v>
      </c>
      <c r="I160" s="3">
        <v>9864.9500000000007</v>
      </c>
      <c r="J160" s="3">
        <v>2.8338999999999999</v>
      </c>
      <c r="K160" s="2"/>
      <c r="U160" s="2"/>
      <c r="AE160" s="2"/>
      <c r="AO160" s="2"/>
      <c r="AY160" s="2">
        <v>46197</v>
      </c>
      <c r="AZ160" s="3" t="s">
        <v>1481</v>
      </c>
      <c r="BA160" s="3" t="s">
        <v>1482</v>
      </c>
      <c r="BB160" s="3" t="s">
        <v>1483</v>
      </c>
      <c r="BC160" s="3">
        <v>0</v>
      </c>
      <c r="BD160" s="3">
        <v>0.14000000000000001</v>
      </c>
      <c r="BE160" s="3">
        <v>0</v>
      </c>
      <c r="BF160" s="3">
        <v>174268</v>
      </c>
      <c r="BG160" s="3">
        <v>10100.870000000001</v>
      </c>
      <c r="BH160" s="3">
        <v>0.56820000000000004</v>
      </c>
      <c r="BI160" s="2">
        <v>46197</v>
      </c>
      <c r="BJ160" s="3" t="s">
        <v>2344</v>
      </c>
      <c r="BK160" s="3" t="s">
        <v>1185</v>
      </c>
      <c r="BL160" s="3" t="s">
        <v>1186</v>
      </c>
      <c r="BM160" s="3">
        <v>0</v>
      </c>
      <c r="BN160" s="3">
        <v>0.01</v>
      </c>
      <c r="BO160" s="3">
        <v>0</v>
      </c>
      <c r="BP160" s="3">
        <v>18621</v>
      </c>
      <c r="BS160" s="2"/>
      <c r="CC160" s="2">
        <v>46197</v>
      </c>
      <c r="CD160" s="3" t="s">
        <v>2441</v>
      </c>
      <c r="CE160" s="3" t="s">
        <v>2442</v>
      </c>
      <c r="CF160" s="3" t="s">
        <v>2443</v>
      </c>
      <c r="CG160" s="3">
        <v>0</v>
      </c>
      <c r="CH160" s="3">
        <v>0.21</v>
      </c>
      <c r="CI160" s="3">
        <v>0</v>
      </c>
      <c r="CJ160" s="3">
        <v>315606</v>
      </c>
      <c r="CK160" s="3">
        <v>10185.299999999999</v>
      </c>
      <c r="CL160" s="3">
        <v>1.3873</v>
      </c>
      <c r="CM160" s="2"/>
      <c r="CW160" s="2"/>
    </row>
    <row r="161" spans="1:101" ht="13.5" customHeight="1" x14ac:dyDescent="0.3">
      <c r="A161" s="2">
        <v>46197</v>
      </c>
      <c r="B161" s="3" t="s">
        <v>1856</v>
      </c>
      <c r="C161" s="3" t="s">
        <v>1857</v>
      </c>
      <c r="D161" s="3" t="s">
        <v>1858</v>
      </c>
      <c r="E161" s="3">
        <v>0</v>
      </c>
      <c r="F161" s="3">
        <v>0.24</v>
      </c>
      <c r="G161" s="3">
        <v>0</v>
      </c>
      <c r="H161" s="3">
        <v>261727</v>
      </c>
      <c r="I161" s="3">
        <v>9864.07</v>
      </c>
      <c r="J161" s="3">
        <v>1.6040000000000001</v>
      </c>
      <c r="K161" s="2"/>
      <c r="U161" s="2"/>
      <c r="AE161" s="2"/>
      <c r="AO161" s="2"/>
      <c r="AY161" s="2">
        <v>46197</v>
      </c>
      <c r="AZ161" s="3" t="s">
        <v>1484</v>
      </c>
      <c r="BA161" s="3" t="s">
        <v>1392</v>
      </c>
      <c r="BB161" s="3" t="s">
        <v>1485</v>
      </c>
      <c r="BC161" s="3">
        <v>0</v>
      </c>
      <c r="BD161" s="3">
        <v>0.14000000000000001</v>
      </c>
      <c r="BE161" s="3">
        <v>0</v>
      </c>
      <c r="BF161" s="3">
        <v>174181</v>
      </c>
      <c r="BG161" s="3">
        <v>10095.91</v>
      </c>
      <c r="BH161" s="3">
        <v>0.58030000000000004</v>
      </c>
      <c r="BI161" s="2">
        <v>46197</v>
      </c>
      <c r="BJ161" s="3" t="s">
        <v>2345</v>
      </c>
      <c r="BK161" s="3" t="s">
        <v>1185</v>
      </c>
      <c r="BL161" s="3" t="s">
        <v>1186</v>
      </c>
      <c r="BM161" s="3">
        <v>0</v>
      </c>
      <c r="BN161" s="3">
        <v>0.01</v>
      </c>
      <c r="BO161" s="3">
        <v>0</v>
      </c>
      <c r="BP161" s="3">
        <v>18621</v>
      </c>
      <c r="BS161" s="2"/>
      <c r="CC161" s="2">
        <v>46197</v>
      </c>
      <c r="CD161" s="3" t="s">
        <v>2444</v>
      </c>
      <c r="CE161" s="3" t="s">
        <v>108</v>
      </c>
      <c r="CF161" s="3" t="s">
        <v>2445</v>
      </c>
      <c r="CG161" s="3">
        <v>0</v>
      </c>
      <c r="CH161" s="3">
        <v>0.19</v>
      </c>
      <c r="CI161" s="3">
        <v>0</v>
      </c>
      <c r="CJ161" s="3">
        <v>280577</v>
      </c>
      <c r="CK161" s="3">
        <v>9960.06</v>
      </c>
      <c r="CL161" s="3">
        <v>4.1334999999999997</v>
      </c>
      <c r="CM161" s="2"/>
      <c r="CW161" s="2"/>
    </row>
    <row r="162" spans="1:101" ht="13.5" customHeight="1" x14ac:dyDescent="0.3">
      <c r="A162" s="2">
        <v>46197</v>
      </c>
      <c r="B162" s="3" t="s">
        <v>1859</v>
      </c>
      <c r="C162" s="3" t="s">
        <v>1832</v>
      </c>
      <c r="D162" s="3" t="s">
        <v>1860</v>
      </c>
      <c r="E162" s="3">
        <v>0</v>
      </c>
      <c r="F162" s="3">
        <v>0.24</v>
      </c>
      <c r="G162" s="3">
        <v>0</v>
      </c>
      <c r="H162" s="3">
        <v>261714</v>
      </c>
      <c r="I162" s="3">
        <v>9861.8799999999992</v>
      </c>
      <c r="J162" s="3">
        <v>2.8218999999999999</v>
      </c>
      <c r="K162" s="2"/>
      <c r="U162" s="2"/>
      <c r="AE162" s="2"/>
      <c r="AO162" s="2"/>
      <c r="AY162" s="2">
        <v>46197</v>
      </c>
      <c r="AZ162" s="3" t="s">
        <v>1036</v>
      </c>
      <c r="BA162" s="3" t="s">
        <v>1037</v>
      </c>
      <c r="BB162" s="3" t="s">
        <v>1038</v>
      </c>
      <c r="BC162" s="3">
        <v>0</v>
      </c>
      <c r="BD162" s="3">
        <v>0.14000000000000001</v>
      </c>
      <c r="BE162" s="3">
        <v>0</v>
      </c>
      <c r="BF162" s="3">
        <v>174029</v>
      </c>
      <c r="BG162" s="3">
        <v>10086.790000000001</v>
      </c>
      <c r="BH162" s="3">
        <v>0.24610000000000001</v>
      </c>
      <c r="BI162" s="2">
        <v>46197</v>
      </c>
      <c r="BJ162" s="3" t="s">
        <v>2346</v>
      </c>
      <c r="BK162" s="3" t="s">
        <v>709</v>
      </c>
      <c r="BL162" s="3" t="s">
        <v>710</v>
      </c>
      <c r="BM162" s="3">
        <v>0</v>
      </c>
      <c r="BN162" s="3">
        <v>0.01</v>
      </c>
      <c r="BO162" s="3">
        <v>0</v>
      </c>
      <c r="BP162" s="3">
        <v>18571</v>
      </c>
      <c r="BS162" s="2"/>
      <c r="CC162" s="2">
        <v>46197</v>
      </c>
      <c r="CD162" s="3" t="s">
        <v>38</v>
      </c>
      <c r="CE162" s="3" t="s">
        <v>29</v>
      </c>
      <c r="CF162" s="3" t="s">
        <v>2446</v>
      </c>
      <c r="CG162" s="3">
        <v>0</v>
      </c>
      <c r="CH162" s="3">
        <v>0.19</v>
      </c>
      <c r="CI162" s="3">
        <v>0</v>
      </c>
      <c r="CJ162" s="3">
        <v>279287</v>
      </c>
      <c r="CK162" s="3">
        <v>10019.719999999999</v>
      </c>
      <c r="CL162" s="3">
        <v>6.3605</v>
      </c>
      <c r="CM162" s="2"/>
      <c r="CW162" s="2"/>
    </row>
    <row r="163" spans="1:101" ht="13.5" customHeight="1" x14ac:dyDescent="0.3">
      <c r="A163" s="2">
        <v>46197</v>
      </c>
      <c r="B163" s="3" t="s">
        <v>1861</v>
      </c>
      <c r="C163" s="3" t="s">
        <v>1862</v>
      </c>
      <c r="D163" s="3" t="s">
        <v>1863</v>
      </c>
      <c r="E163" s="3">
        <v>0</v>
      </c>
      <c r="F163" s="3">
        <v>0.23</v>
      </c>
      <c r="G163" s="3">
        <v>0</v>
      </c>
      <c r="H163" s="3">
        <v>261543</v>
      </c>
      <c r="I163" s="3">
        <v>9856.93</v>
      </c>
      <c r="J163" s="3">
        <v>2.4327999999999999</v>
      </c>
      <c r="K163" s="2"/>
      <c r="U163" s="2"/>
      <c r="AE163" s="2"/>
      <c r="AO163" s="2"/>
      <c r="AY163" s="2">
        <v>46197</v>
      </c>
      <c r="AZ163" s="3" t="s">
        <v>1486</v>
      </c>
      <c r="BA163" s="3" t="s">
        <v>1487</v>
      </c>
      <c r="BB163" s="3" t="s">
        <v>1488</v>
      </c>
      <c r="BC163" s="3">
        <v>0</v>
      </c>
      <c r="BD163" s="3">
        <v>0.14000000000000001</v>
      </c>
      <c r="BE163" s="3">
        <v>0</v>
      </c>
      <c r="BF163" s="3">
        <v>173973</v>
      </c>
      <c r="BG163" s="3">
        <v>10083.700000000001</v>
      </c>
      <c r="BH163" s="3">
        <v>0.40889999999999999</v>
      </c>
      <c r="BI163" s="2">
        <v>46197</v>
      </c>
      <c r="BJ163" s="3" t="s">
        <v>2347</v>
      </c>
      <c r="BK163" s="3" t="s">
        <v>1162</v>
      </c>
      <c r="BL163" s="3" t="s">
        <v>1163</v>
      </c>
      <c r="BM163" s="3">
        <v>0</v>
      </c>
      <c r="BN163" s="3">
        <v>0.01</v>
      </c>
      <c r="BO163" s="3">
        <v>0</v>
      </c>
      <c r="BP163" s="3">
        <v>18545</v>
      </c>
      <c r="BS163" s="2"/>
      <c r="CC163" s="2">
        <v>46197</v>
      </c>
      <c r="CD163" s="3" t="s">
        <v>2447</v>
      </c>
      <c r="CE163" s="3" t="s">
        <v>1520</v>
      </c>
      <c r="CF163" s="3" t="s">
        <v>2448</v>
      </c>
      <c r="CG163" s="3">
        <v>0</v>
      </c>
      <c r="CH163" s="3">
        <v>0.19</v>
      </c>
      <c r="CI163" s="3">
        <v>0</v>
      </c>
      <c r="CJ163" s="3">
        <v>277203</v>
      </c>
      <c r="CK163" s="3">
        <v>9839.81</v>
      </c>
      <c r="CL163" s="3">
        <v>1.524</v>
      </c>
      <c r="CM163" s="2"/>
      <c r="CW163" s="2"/>
    </row>
    <row r="164" spans="1:101" ht="13.5" customHeight="1" x14ac:dyDescent="0.3">
      <c r="A164" s="2">
        <v>46197</v>
      </c>
      <c r="B164" s="3" t="s">
        <v>1864</v>
      </c>
      <c r="C164" s="3" t="s">
        <v>816</v>
      </c>
      <c r="D164" s="3" t="s">
        <v>1865</v>
      </c>
      <c r="E164" s="3">
        <v>0</v>
      </c>
      <c r="F164" s="3">
        <v>0.23</v>
      </c>
      <c r="G164" s="3">
        <v>0</v>
      </c>
      <c r="H164" s="3">
        <v>261427</v>
      </c>
      <c r="I164" s="3">
        <v>9852.24</v>
      </c>
      <c r="J164" s="3">
        <v>1.5802</v>
      </c>
      <c r="K164" s="2"/>
      <c r="U164" s="2"/>
      <c r="AE164" s="2"/>
      <c r="AO164" s="2"/>
      <c r="AY164" s="2">
        <v>46197</v>
      </c>
      <c r="AZ164" s="3" t="s">
        <v>1489</v>
      </c>
      <c r="BA164" s="3" t="s">
        <v>1490</v>
      </c>
      <c r="BB164" s="3" t="s">
        <v>1491</v>
      </c>
      <c r="BC164" s="3">
        <v>0</v>
      </c>
      <c r="BD164" s="3">
        <v>0.14000000000000001</v>
      </c>
      <c r="BE164" s="3">
        <v>0</v>
      </c>
      <c r="BF164" s="3">
        <v>173962</v>
      </c>
      <c r="BG164" s="3">
        <v>10083.08</v>
      </c>
      <c r="BH164" s="3">
        <v>0.1009</v>
      </c>
      <c r="BI164" s="2">
        <v>46197</v>
      </c>
      <c r="BJ164" s="3" t="s">
        <v>7</v>
      </c>
      <c r="BK164" s="3" t="s">
        <v>7</v>
      </c>
      <c r="BL164" s="3" t="s">
        <v>46</v>
      </c>
      <c r="BN164" s="3">
        <v>8.9700000000000006</v>
      </c>
      <c r="BP164" s="3">
        <v>-11807365</v>
      </c>
      <c r="BS164" s="2"/>
      <c r="CC164" s="2">
        <v>46197</v>
      </c>
      <c r="CD164" s="3" t="s">
        <v>2449</v>
      </c>
      <c r="CE164" s="3" t="s">
        <v>1770</v>
      </c>
      <c r="CF164" s="3" t="s">
        <v>2450</v>
      </c>
      <c r="CG164" s="3">
        <v>0</v>
      </c>
      <c r="CH164" s="3">
        <v>0.18</v>
      </c>
      <c r="CI164" s="3">
        <v>0</v>
      </c>
      <c r="CJ164" s="3">
        <v>258948</v>
      </c>
      <c r="CK164" s="3">
        <v>10027.799999999999</v>
      </c>
      <c r="CL164" s="3">
        <v>0.30509999999999998</v>
      </c>
      <c r="CM164" s="2"/>
      <c r="CW164" s="2"/>
    </row>
    <row r="165" spans="1:101" ht="13.5" customHeight="1" x14ac:dyDescent="0.3">
      <c r="A165" s="2">
        <v>46197</v>
      </c>
      <c r="B165" s="3" t="s">
        <v>1866</v>
      </c>
      <c r="C165" s="3" t="s">
        <v>1613</v>
      </c>
      <c r="D165" s="3" t="s">
        <v>1867</v>
      </c>
      <c r="E165" s="3">
        <v>0</v>
      </c>
      <c r="F165" s="3">
        <v>0.23</v>
      </c>
      <c r="G165" s="3">
        <v>0</v>
      </c>
      <c r="H165" s="3">
        <v>261366</v>
      </c>
      <c r="I165" s="3">
        <v>9849.73</v>
      </c>
      <c r="J165" s="3">
        <v>1.1854</v>
      </c>
      <c r="K165" s="2"/>
      <c r="U165" s="2"/>
      <c r="AE165" s="2"/>
      <c r="AO165" s="2"/>
      <c r="AY165" s="2">
        <v>46197</v>
      </c>
      <c r="AZ165" s="3" t="s">
        <v>1492</v>
      </c>
      <c r="BA165" s="3" t="s">
        <v>1493</v>
      </c>
      <c r="BB165" s="3" t="s">
        <v>1494</v>
      </c>
      <c r="BC165" s="3">
        <v>0</v>
      </c>
      <c r="BD165" s="3">
        <v>0.14000000000000001</v>
      </c>
      <c r="BE165" s="3">
        <v>0</v>
      </c>
      <c r="BF165" s="3">
        <v>173892</v>
      </c>
      <c r="BG165" s="3">
        <v>10078.69</v>
      </c>
      <c r="BH165" s="3">
        <v>0.32750000000000001</v>
      </c>
      <c r="BI165" s="2"/>
      <c r="BS165" s="2"/>
      <c r="CC165" s="2">
        <v>46197</v>
      </c>
      <c r="CD165" s="3" t="s">
        <v>2451</v>
      </c>
      <c r="CE165" s="3" t="s">
        <v>2007</v>
      </c>
      <c r="CF165" s="3" t="s">
        <v>2452</v>
      </c>
      <c r="CG165" s="3">
        <v>0</v>
      </c>
      <c r="CH165" s="3">
        <v>0.16</v>
      </c>
      <c r="CI165" s="3">
        <v>0</v>
      </c>
      <c r="CJ165" s="3">
        <v>237735</v>
      </c>
      <c r="CK165" s="3">
        <v>10129.120000000001</v>
      </c>
      <c r="CL165" s="3">
        <v>7.9343000000000004</v>
      </c>
      <c r="CM165" s="2"/>
      <c r="CW165" s="2"/>
    </row>
    <row r="166" spans="1:101" ht="13.5" customHeight="1" x14ac:dyDescent="0.3">
      <c r="A166" s="2">
        <v>46197</v>
      </c>
      <c r="B166" s="3" t="s">
        <v>1868</v>
      </c>
      <c r="C166" s="3" t="s">
        <v>1869</v>
      </c>
      <c r="D166" s="3" t="s">
        <v>1870</v>
      </c>
      <c r="E166" s="3">
        <v>0</v>
      </c>
      <c r="F166" s="3">
        <v>0.23</v>
      </c>
      <c r="G166" s="3">
        <v>0</v>
      </c>
      <c r="H166" s="3">
        <v>261044</v>
      </c>
      <c r="I166" s="3">
        <v>9837.5499999999993</v>
      </c>
      <c r="J166" s="3">
        <v>1.8559000000000001</v>
      </c>
      <c r="K166" s="2"/>
      <c r="U166" s="2"/>
      <c r="AE166" s="2"/>
      <c r="AO166" s="2"/>
      <c r="AY166" s="2">
        <v>46197</v>
      </c>
      <c r="AZ166" s="3" t="s">
        <v>1495</v>
      </c>
      <c r="BA166" s="3" t="s">
        <v>1088</v>
      </c>
      <c r="BB166" s="3" t="s">
        <v>1496</v>
      </c>
      <c r="BC166" s="3">
        <v>0</v>
      </c>
      <c r="BD166" s="3">
        <v>0.14000000000000001</v>
      </c>
      <c r="BE166" s="3">
        <v>0</v>
      </c>
      <c r="BF166" s="3">
        <v>173833</v>
      </c>
      <c r="BG166" s="3">
        <v>10075.36</v>
      </c>
      <c r="BH166" s="3">
        <v>0.28689999999999999</v>
      </c>
      <c r="BI166" s="2"/>
      <c r="BS166" s="2"/>
      <c r="CC166" s="2">
        <v>46197</v>
      </c>
      <c r="CD166" s="3" t="s">
        <v>2453</v>
      </c>
      <c r="CE166" s="3" t="s">
        <v>2454</v>
      </c>
      <c r="CF166" s="3" t="s">
        <v>2455</v>
      </c>
      <c r="CG166" s="3">
        <v>0</v>
      </c>
      <c r="CH166" s="3">
        <v>0.16</v>
      </c>
      <c r="CI166" s="3">
        <v>0</v>
      </c>
      <c r="CJ166" s="3">
        <v>236420</v>
      </c>
      <c r="CK166" s="3">
        <v>10072.209999999999</v>
      </c>
      <c r="CL166" s="3">
        <v>2.5514999999999999</v>
      </c>
      <c r="CM166" s="2"/>
      <c r="CW166" s="2"/>
    </row>
    <row r="167" spans="1:101" ht="13.5" customHeight="1" x14ac:dyDescent="0.3">
      <c r="A167" s="2">
        <v>46197</v>
      </c>
      <c r="B167" s="3" t="s">
        <v>1871</v>
      </c>
      <c r="C167" s="3" t="s">
        <v>1872</v>
      </c>
      <c r="D167" s="3" t="s">
        <v>1873</v>
      </c>
      <c r="E167" s="3">
        <v>0</v>
      </c>
      <c r="F167" s="3">
        <v>0.23</v>
      </c>
      <c r="G167" s="3">
        <v>0</v>
      </c>
      <c r="H167" s="3">
        <v>260982</v>
      </c>
      <c r="I167" s="3">
        <v>9834.41</v>
      </c>
      <c r="J167" s="3">
        <v>4.1691000000000003</v>
      </c>
      <c r="K167" s="2"/>
      <c r="U167" s="2"/>
      <c r="AE167" s="2"/>
      <c r="AO167" s="2"/>
      <c r="AY167" s="2">
        <v>46197</v>
      </c>
      <c r="AZ167" s="3" t="s">
        <v>1497</v>
      </c>
      <c r="BA167" s="3" t="s">
        <v>1061</v>
      </c>
      <c r="BB167" s="3" t="s">
        <v>1498</v>
      </c>
      <c r="BC167" s="3">
        <v>0</v>
      </c>
      <c r="BD167" s="3">
        <v>0.14000000000000001</v>
      </c>
      <c r="BE167" s="3">
        <v>0</v>
      </c>
      <c r="BF167" s="3">
        <v>173824</v>
      </c>
      <c r="BG167" s="3">
        <v>10074.82</v>
      </c>
      <c r="BH167" s="3">
        <v>0.2828</v>
      </c>
      <c r="BI167" s="2"/>
      <c r="BS167" s="2"/>
      <c r="CC167" s="2">
        <v>46197</v>
      </c>
      <c r="CD167" s="3" t="s">
        <v>2456</v>
      </c>
      <c r="CE167" s="3" t="s">
        <v>2457</v>
      </c>
      <c r="CF167" s="3" t="s">
        <v>2458</v>
      </c>
      <c r="CG167" s="3">
        <v>0</v>
      </c>
      <c r="CH167" s="3">
        <v>0.16</v>
      </c>
      <c r="CI167" s="3">
        <v>0</v>
      </c>
      <c r="CJ167" s="3">
        <v>236203</v>
      </c>
      <c r="CK167" s="3">
        <v>10061.83</v>
      </c>
      <c r="CL167" s="3">
        <v>0.17760000000000001</v>
      </c>
      <c r="CM167" s="2"/>
      <c r="CW167" s="2"/>
    </row>
    <row r="168" spans="1:101" ht="13.5" customHeight="1" x14ac:dyDescent="0.3">
      <c r="A168" s="2">
        <v>46197</v>
      </c>
      <c r="B168" s="3" t="s">
        <v>1874</v>
      </c>
      <c r="C168" s="3" t="s">
        <v>1875</v>
      </c>
      <c r="D168" s="3" t="s">
        <v>1876</v>
      </c>
      <c r="E168" s="3">
        <v>0</v>
      </c>
      <c r="F168" s="3">
        <v>0.23</v>
      </c>
      <c r="G168" s="3">
        <v>0</v>
      </c>
      <c r="H168" s="3">
        <v>260942</v>
      </c>
      <c r="I168" s="3">
        <v>9833.85</v>
      </c>
      <c r="J168" s="3">
        <v>1.5343</v>
      </c>
      <c r="K168" s="2"/>
      <c r="U168" s="2"/>
      <c r="AE168" s="2"/>
      <c r="AO168" s="2"/>
      <c r="AY168" s="2">
        <v>46197</v>
      </c>
      <c r="AZ168" s="3" t="s">
        <v>1499</v>
      </c>
      <c r="BA168" s="3" t="s">
        <v>1500</v>
      </c>
      <c r="BB168" s="3" t="s">
        <v>1501</v>
      </c>
      <c r="BC168" s="3">
        <v>0</v>
      </c>
      <c r="BD168" s="3">
        <v>0.14000000000000001</v>
      </c>
      <c r="BE168" s="3">
        <v>0</v>
      </c>
      <c r="BF168" s="3">
        <v>173790</v>
      </c>
      <c r="BG168" s="3">
        <v>10072.85</v>
      </c>
      <c r="BH168" s="3">
        <v>0.29770000000000002</v>
      </c>
      <c r="BI168" s="2"/>
      <c r="BS168" s="2"/>
      <c r="CC168" s="2">
        <v>46197</v>
      </c>
      <c r="CD168" s="3" t="s">
        <v>2459</v>
      </c>
      <c r="CE168" s="3" t="s">
        <v>2460</v>
      </c>
      <c r="CF168" s="3" t="s">
        <v>2461</v>
      </c>
      <c r="CG168" s="3">
        <v>0</v>
      </c>
      <c r="CH168" s="3">
        <v>0.16</v>
      </c>
      <c r="CI168" s="3">
        <v>0</v>
      </c>
      <c r="CJ168" s="3">
        <v>235509</v>
      </c>
      <c r="CK168" s="3">
        <v>10033.69</v>
      </c>
      <c r="CL168" s="3">
        <v>2.7324000000000002</v>
      </c>
      <c r="CM168" s="2"/>
      <c r="CW168" s="2"/>
    </row>
    <row r="169" spans="1:101" ht="13.5" customHeight="1" x14ac:dyDescent="0.3">
      <c r="A169" s="2">
        <v>46197</v>
      </c>
      <c r="B169" s="3" t="s">
        <v>1877</v>
      </c>
      <c r="C169" s="3" t="s">
        <v>1878</v>
      </c>
      <c r="D169" s="3" t="s">
        <v>1879</v>
      </c>
      <c r="E169" s="3">
        <v>0</v>
      </c>
      <c r="F169" s="3">
        <v>0.23</v>
      </c>
      <c r="G169" s="3">
        <v>0</v>
      </c>
      <c r="H169" s="3">
        <v>260907</v>
      </c>
      <c r="I169" s="3">
        <v>9832.7000000000007</v>
      </c>
      <c r="J169" s="3">
        <v>1.6205000000000001</v>
      </c>
      <c r="K169" s="2"/>
      <c r="U169" s="2"/>
      <c r="AE169" s="2"/>
      <c r="AO169" s="2"/>
      <c r="AY169" s="2">
        <v>46197</v>
      </c>
      <c r="AZ169" s="3" t="s">
        <v>1502</v>
      </c>
      <c r="BA169" s="3" t="s">
        <v>185</v>
      </c>
      <c r="BB169" s="3" t="s">
        <v>1503</v>
      </c>
      <c r="BC169" s="3">
        <v>0</v>
      </c>
      <c r="BD169" s="3">
        <v>0.14000000000000001</v>
      </c>
      <c r="BE169" s="3">
        <v>0</v>
      </c>
      <c r="BF169" s="3">
        <v>173673</v>
      </c>
      <c r="BG169" s="3">
        <v>10066.030000000001</v>
      </c>
      <c r="BH169" s="3">
        <v>0.3236</v>
      </c>
      <c r="BI169" s="2"/>
      <c r="BS169" s="2"/>
      <c r="CC169" s="2">
        <v>46197</v>
      </c>
      <c r="CD169" s="3" t="s">
        <v>2462</v>
      </c>
      <c r="CE169" s="3" t="s">
        <v>92</v>
      </c>
      <c r="CF169" s="3" t="s">
        <v>2463</v>
      </c>
      <c r="CG169" s="3">
        <v>0</v>
      </c>
      <c r="CH169" s="3">
        <v>0.16</v>
      </c>
      <c r="CI169" s="3">
        <v>0</v>
      </c>
      <c r="CJ169" s="3">
        <v>234330</v>
      </c>
      <c r="CK169" s="3">
        <v>9982.1299999999992</v>
      </c>
      <c r="CL169" s="3">
        <v>4.3840000000000003</v>
      </c>
      <c r="CM169" s="2"/>
      <c r="CW169" s="2"/>
    </row>
    <row r="170" spans="1:101" ht="13.5" customHeight="1" x14ac:dyDescent="0.3">
      <c r="A170" s="2">
        <v>46197</v>
      </c>
      <c r="B170" s="3" t="s">
        <v>1880</v>
      </c>
      <c r="C170" s="3" t="s">
        <v>1675</v>
      </c>
      <c r="D170" s="3" t="s">
        <v>1881</v>
      </c>
      <c r="E170" s="3">
        <v>0</v>
      </c>
      <c r="F170" s="3">
        <v>0.23</v>
      </c>
      <c r="G170" s="3">
        <v>0</v>
      </c>
      <c r="H170" s="3">
        <v>260804</v>
      </c>
      <c r="I170" s="3">
        <v>9828.4</v>
      </c>
      <c r="J170" s="3">
        <v>2.3498999999999999</v>
      </c>
      <c r="K170" s="2"/>
      <c r="U170" s="2"/>
      <c r="AE170" s="2"/>
      <c r="AO170" s="2"/>
      <c r="AY170" s="2">
        <v>46197</v>
      </c>
      <c r="AZ170" s="3" t="s">
        <v>1504</v>
      </c>
      <c r="BA170" s="3" t="s">
        <v>1505</v>
      </c>
      <c r="BB170" s="3" t="s">
        <v>1506</v>
      </c>
      <c r="BC170" s="3">
        <v>0</v>
      </c>
      <c r="BD170" s="3">
        <v>0.14000000000000001</v>
      </c>
      <c r="BE170" s="3">
        <v>0</v>
      </c>
      <c r="BF170" s="3">
        <v>173668</v>
      </c>
      <c r="BG170" s="3">
        <v>10066.02</v>
      </c>
      <c r="BH170" s="3">
        <v>6.3500000000000001E-2</v>
      </c>
      <c r="BI170" s="2"/>
      <c r="BS170" s="2"/>
      <c r="CC170" s="2">
        <v>46197</v>
      </c>
      <c r="CD170" s="3" t="s">
        <v>2464</v>
      </c>
      <c r="CE170" s="3" t="s">
        <v>1242</v>
      </c>
      <c r="CF170" s="3" t="s">
        <v>2465</v>
      </c>
      <c r="CG170" s="3">
        <v>0</v>
      </c>
      <c r="CH170" s="3">
        <v>0.16</v>
      </c>
      <c r="CI170" s="3">
        <v>0</v>
      </c>
      <c r="CJ170" s="3">
        <v>234280</v>
      </c>
      <c r="CM170" s="2"/>
      <c r="CW170" s="2"/>
    </row>
    <row r="171" spans="1:101" ht="13.5" customHeight="1" x14ac:dyDescent="0.3">
      <c r="A171" s="2">
        <v>46197</v>
      </c>
      <c r="B171" s="3" t="s">
        <v>1882</v>
      </c>
      <c r="C171" s="3" t="s">
        <v>1883</v>
      </c>
      <c r="D171" s="3" t="s">
        <v>1884</v>
      </c>
      <c r="E171" s="3">
        <v>0</v>
      </c>
      <c r="F171" s="3">
        <v>0.23</v>
      </c>
      <c r="G171" s="3">
        <v>0</v>
      </c>
      <c r="H171" s="3">
        <v>260434</v>
      </c>
      <c r="I171" s="3">
        <v>9814.64</v>
      </c>
      <c r="J171" s="3">
        <v>1.7282</v>
      </c>
      <c r="K171" s="2"/>
      <c r="U171" s="2"/>
      <c r="AE171" s="2"/>
      <c r="AO171" s="2"/>
      <c r="AY171" s="2">
        <v>46197</v>
      </c>
      <c r="AZ171" s="3" t="s">
        <v>1507</v>
      </c>
      <c r="BA171" s="3" t="s">
        <v>1508</v>
      </c>
      <c r="BB171" s="3" t="s">
        <v>1509</v>
      </c>
      <c r="BC171" s="3">
        <v>0</v>
      </c>
      <c r="BD171" s="3">
        <v>0.14000000000000001</v>
      </c>
      <c r="BE171" s="3">
        <v>0</v>
      </c>
      <c r="BF171" s="3">
        <v>173663</v>
      </c>
      <c r="BG171" s="3">
        <v>10065.56</v>
      </c>
      <c r="BH171" s="3">
        <v>0.38219999999999998</v>
      </c>
      <c r="BI171" s="2"/>
      <c r="BS171" s="2"/>
      <c r="CC171" s="2">
        <v>46197</v>
      </c>
      <c r="CD171" s="3" t="s">
        <v>126</v>
      </c>
      <c r="CE171" s="3" t="s">
        <v>29</v>
      </c>
      <c r="CF171" s="3" t="s">
        <v>127</v>
      </c>
      <c r="CG171" s="3">
        <v>0</v>
      </c>
      <c r="CH171" s="3">
        <v>0.16</v>
      </c>
      <c r="CI171" s="3">
        <v>0</v>
      </c>
      <c r="CJ171" s="3">
        <v>234271</v>
      </c>
      <c r="CK171" s="3">
        <v>9072.1200000000008</v>
      </c>
      <c r="CL171" s="3">
        <v>3.7886000000000002</v>
      </c>
      <c r="CM171" s="2"/>
      <c r="CW171" s="2"/>
    </row>
    <row r="172" spans="1:101" ht="13.5" customHeight="1" x14ac:dyDescent="0.3">
      <c r="A172" s="2">
        <v>46197</v>
      </c>
      <c r="B172" s="3" t="s">
        <v>1885</v>
      </c>
      <c r="C172" s="3" t="s">
        <v>1886</v>
      </c>
      <c r="D172" s="3" t="s">
        <v>1887</v>
      </c>
      <c r="E172" s="3">
        <v>0</v>
      </c>
      <c r="F172" s="3">
        <v>0.23</v>
      </c>
      <c r="G172" s="3">
        <v>0</v>
      </c>
      <c r="H172" s="3">
        <v>260096</v>
      </c>
      <c r="I172" s="3">
        <v>9801.86</v>
      </c>
      <c r="J172" s="3">
        <v>2.8860999999999999</v>
      </c>
      <c r="K172" s="2"/>
      <c r="U172" s="2"/>
      <c r="AE172" s="2"/>
      <c r="AO172" s="2"/>
      <c r="AY172" s="2">
        <v>46197</v>
      </c>
      <c r="AZ172" s="3" t="s">
        <v>1510</v>
      </c>
      <c r="BA172" s="3" t="s">
        <v>1067</v>
      </c>
      <c r="BB172" s="3" t="s">
        <v>1511</v>
      </c>
      <c r="BC172" s="3">
        <v>0</v>
      </c>
      <c r="BD172" s="3">
        <v>0.14000000000000001</v>
      </c>
      <c r="BE172" s="3">
        <v>0</v>
      </c>
      <c r="BF172" s="3">
        <v>173433</v>
      </c>
      <c r="BG172" s="3">
        <v>10052.36</v>
      </c>
      <c r="BH172" s="3">
        <v>1.44E-2</v>
      </c>
      <c r="BI172" s="2"/>
      <c r="BS172" s="2"/>
      <c r="CC172" s="2">
        <v>46197</v>
      </c>
      <c r="CD172" s="3" t="s">
        <v>2466</v>
      </c>
      <c r="CE172" s="3" t="s">
        <v>816</v>
      </c>
      <c r="CF172" s="3" t="s">
        <v>2467</v>
      </c>
      <c r="CG172" s="3">
        <v>0</v>
      </c>
      <c r="CH172" s="3">
        <v>0.16</v>
      </c>
      <c r="CI172" s="3">
        <v>0</v>
      </c>
      <c r="CJ172" s="3">
        <v>233991</v>
      </c>
      <c r="CK172" s="3">
        <v>9969.23</v>
      </c>
      <c r="CL172" s="3">
        <v>7.9191000000000003</v>
      </c>
      <c r="CM172" s="2"/>
      <c r="CW172" s="2"/>
    </row>
    <row r="173" spans="1:101" ht="13.5" customHeight="1" x14ac:dyDescent="0.3">
      <c r="A173" s="2">
        <v>46197</v>
      </c>
      <c r="B173" s="3" t="s">
        <v>1888</v>
      </c>
      <c r="C173" s="3" t="s">
        <v>1889</v>
      </c>
      <c r="D173" s="3" t="s">
        <v>1890</v>
      </c>
      <c r="E173" s="3">
        <v>0</v>
      </c>
      <c r="F173" s="3">
        <v>0.23</v>
      </c>
      <c r="G173" s="3">
        <v>0</v>
      </c>
      <c r="H173" s="3">
        <v>259971</v>
      </c>
      <c r="I173" s="3">
        <v>9798.06</v>
      </c>
      <c r="J173" s="3">
        <v>3.0871</v>
      </c>
      <c r="K173" s="2"/>
      <c r="U173" s="2"/>
      <c r="AE173" s="2"/>
      <c r="AO173" s="2"/>
      <c r="AY173" s="2">
        <v>46197</v>
      </c>
      <c r="AZ173" s="3" t="s">
        <v>1512</v>
      </c>
      <c r="BA173" s="3" t="s">
        <v>182</v>
      </c>
      <c r="BB173" s="3" t="s">
        <v>1513</v>
      </c>
      <c r="BC173" s="3">
        <v>0</v>
      </c>
      <c r="BD173" s="3">
        <v>0.14000000000000001</v>
      </c>
      <c r="BE173" s="3">
        <v>0</v>
      </c>
      <c r="BF173" s="3">
        <v>173410</v>
      </c>
      <c r="BG173" s="3">
        <v>10050.620000000001</v>
      </c>
      <c r="BH173" s="3">
        <v>0.4163</v>
      </c>
      <c r="BI173" s="2"/>
      <c r="BS173" s="2"/>
      <c r="CC173" s="2">
        <v>46197</v>
      </c>
      <c r="CD173" s="3" t="s">
        <v>2468</v>
      </c>
      <c r="CE173" s="3" t="s">
        <v>2469</v>
      </c>
      <c r="CF173" s="3" t="s">
        <v>2470</v>
      </c>
      <c r="CG173" s="3">
        <v>0</v>
      </c>
      <c r="CH173" s="3">
        <v>0.16</v>
      </c>
      <c r="CI173" s="3">
        <v>0</v>
      </c>
      <c r="CJ173" s="3">
        <v>233517</v>
      </c>
      <c r="CM173" s="2"/>
      <c r="CW173" s="2"/>
    </row>
    <row r="174" spans="1:101" ht="13.5" customHeight="1" x14ac:dyDescent="0.3">
      <c r="A174" s="2">
        <v>46197</v>
      </c>
      <c r="B174" s="3" t="s">
        <v>1891</v>
      </c>
      <c r="C174" s="3" t="s">
        <v>122</v>
      </c>
      <c r="D174" s="3" t="s">
        <v>1892</v>
      </c>
      <c r="E174" s="3">
        <v>0</v>
      </c>
      <c r="F174" s="3">
        <v>0.23</v>
      </c>
      <c r="G174" s="3">
        <v>0</v>
      </c>
      <c r="H174" s="3">
        <v>259920</v>
      </c>
      <c r="I174" s="3">
        <v>9794.49</v>
      </c>
      <c r="J174" s="3">
        <v>1.8844000000000001</v>
      </c>
      <c r="K174" s="2"/>
      <c r="U174" s="2"/>
      <c r="AE174" s="2"/>
      <c r="AO174" s="2"/>
      <c r="AY174" s="2">
        <v>46197</v>
      </c>
      <c r="AZ174" s="3" t="s">
        <v>1514</v>
      </c>
      <c r="BA174" s="3" t="s">
        <v>1515</v>
      </c>
      <c r="BB174" s="3" t="s">
        <v>1516</v>
      </c>
      <c r="BC174" s="3">
        <v>0</v>
      </c>
      <c r="BD174" s="3">
        <v>0.14000000000000001</v>
      </c>
      <c r="BE174" s="3">
        <v>0</v>
      </c>
      <c r="BF174" s="3">
        <v>173391</v>
      </c>
      <c r="BG174" s="3">
        <v>10049.6</v>
      </c>
      <c r="BH174" s="3">
        <v>0.5786</v>
      </c>
      <c r="BI174" s="2"/>
      <c r="BS174" s="2"/>
      <c r="CC174" s="2">
        <v>46197</v>
      </c>
      <c r="CD174" s="3" t="s">
        <v>2471</v>
      </c>
      <c r="CE174" s="3" t="s">
        <v>2469</v>
      </c>
      <c r="CF174" s="3" t="s">
        <v>2472</v>
      </c>
      <c r="CG174" s="3">
        <v>0</v>
      </c>
      <c r="CH174" s="3">
        <v>0.16</v>
      </c>
      <c r="CI174" s="3">
        <v>0</v>
      </c>
      <c r="CJ174" s="3">
        <v>233517</v>
      </c>
      <c r="CM174" s="2"/>
      <c r="CW174" s="2"/>
    </row>
    <row r="175" spans="1:101" ht="13.5" customHeight="1" x14ac:dyDescent="0.3">
      <c r="A175" s="2">
        <v>46197</v>
      </c>
      <c r="B175" s="3" t="s">
        <v>1893</v>
      </c>
      <c r="C175" s="3" t="s">
        <v>544</v>
      </c>
      <c r="D175" s="3" t="s">
        <v>1894</v>
      </c>
      <c r="E175" s="3">
        <v>0</v>
      </c>
      <c r="F175" s="3">
        <v>0.23</v>
      </c>
      <c r="G175" s="3">
        <v>0</v>
      </c>
      <c r="H175" s="3">
        <v>259871</v>
      </c>
      <c r="I175" s="3">
        <v>9793.7900000000009</v>
      </c>
      <c r="J175" s="3">
        <v>4.2733999999999996</v>
      </c>
      <c r="K175" s="2"/>
      <c r="U175" s="2"/>
      <c r="AE175" s="2"/>
      <c r="AO175" s="2"/>
      <c r="AY175" s="2">
        <v>46197</v>
      </c>
      <c r="AZ175" s="3" t="s">
        <v>1517</v>
      </c>
      <c r="BA175" s="3" t="s">
        <v>301</v>
      </c>
      <c r="BB175" s="3" t="s">
        <v>1518</v>
      </c>
      <c r="BC175" s="3">
        <v>0</v>
      </c>
      <c r="BD175" s="3">
        <v>0.14000000000000001</v>
      </c>
      <c r="BE175" s="3">
        <v>0</v>
      </c>
      <c r="BF175" s="3">
        <v>173151</v>
      </c>
      <c r="BG175" s="3">
        <v>10035.9</v>
      </c>
      <c r="BH175" s="3">
        <v>0.9042</v>
      </c>
      <c r="BI175" s="2"/>
      <c r="BS175" s="2"/>
      <c r="CC175" s="2">
        <v>46197</v>
      </c>
      <c r="CD175" s="3" t="s">
        <v>2473</v>
      </c>
      <c r="CE175" s="3" t="s">
        <v>2474</v>
      </c>
      <c r="CF175" s="3" t="s">
        <v>2475</v>
      </c>
      <c r="CG175" s="3">
        <v>0</v>
      </c>
      <c r="CH175" s="3">
        <v>0.16</v>
      </c>
      <c r="CI175" s="3">
        <v>0</v>
      </c>
      <c r="CJ175" s="3">
        <v>233374</v>
      </c>
      <c r="CM175" s="2"/>
      <c r="CW175" s="2"/>
    </row>
    <row r="176" spans="1:101" ht="13.5" customHeight="1" x14ac:dyDescent="0.3">
      <c r="A176" s="2">
        <v>46197</v>
      </c>
      <c r="B176" s="3" t="s">
        <v>1895</v>
      </c>
      <c r="C176" s="3" t="s">
        <v>501</v>
      </c>
      <c r="D176" s="3" t="s">
        <v>1896</v>
      </c>
      <c r="E176" s="3">
        <v>0</v>
      </c>
      <c r="F176" s="3">
        <v>0.23</v>
      </c>
      <c r="G176" s="3">
        <v>0</v>
      </c>
      <c r="H176" s="3">
        <v>259838</v>
      </c>
      <c r="I176" s="3">
        <v>9792.1</v>
      </c>
      <c r="J176" s="3">
        <v>1.7778</v>
      </c>
      <c r="K176" s="2"/>
      <c r="U176" s="2"/>
      <c r="AE176" s="2"/>
      <c r="AO176" s="2"/>
      <c r="AY176" s="2">
        <v>46197</v>
      </c>
      <c r="AZ176" s="3" t="s">
        <v>1519</v>
      </c>
      <c r="BA176" s="3" t="s">
        <v>1520</v>
      </c>
      <c r="BB176" s="3" t="s">
        <v>1521</v>
      </c>
      <c r="BC176" s="3">
        <v>0</v>
      </c>
      <c r="BD176" s="3">
        <v>0.14000000000000001</v>
      </c>
      <c r="BE176" s="3">
        <v>0</v>
      </c>
      <c r="BF176" s="3">
        <v>173113</v>
      </c>
      <c r="BG176" s="3">
        <v>10033.86</v>
      </c>
      <c r="BH176" s="3">
        <v>9.8699999999999996E-2</v>
      </c>
      <c r="BI176" s="2"/>
      <c r="BS176" s="2"/>
      <c r="CC176" s="2">
        <v>46197</v>
      </c>
      <c r="CD176" s="3" t="s">
        <v>2476</v>
      </c>
      <c r="CE176" s="3" t="s">
        <v>213</v>
      </c>
      <c r="CF176" s="3" t="s">
        <v>2477</v>
      </c>
      <c r="CG176" s="3">
        <v>0</v>
      </c>
      <c r="CH176" s="3">
        <v>0.16</v>
      </c>
      <c r="CI176" s="3">
        <v>0</v>
      </c>
      <c r="CJ176" s="3">
        <v>233347</v>
      </c>
      <c r="CM176" s="2"/>
      <c r="CW176" s="2"/>
    </row>
    <row r="177" spans="1:101" ht="13.5" customHeight="1" x14ac:dyDescent="0.3">
      <c r="A177" s="2">
        <v>46197</v>
      </c>
      <c r="B177" s="3" t="s">
        <v>1897</v>
      </c>
      <c r="C177" s="3" t="s">
        <v>1898</v>
      </c>
      <c r="D177" s="3" t="s">
        <v>1899</v>
      </c>
      <c r="E177" s="3">
        <v>0</v>
      </c>
      <c r="F177" s="3">
        <v>0.23</v>
      </c>
      <c r="G177" s="3">
        <v>0</v>
      </c>
      <c r="H177" s="3">
        <v>259830</v>
      </c>
      <c r="I177" s="3">
        <v>9791.5300000000007</v>
      </c>
      <c r="J177" s="3">
        <v>3.0506000000000002</v>
      </c>
      <c r="K177" s="2"/>
      <c r="U177" s="2"/>
      <c r="AE177" s="2"/>
      <c r="AO177" s="2"/>
      <c r="AY177" s="2">
        <v>46197</v>
      </c>
      <c r="AZ177" s="3" t="s">
        <v>1522</v>
      </c>
      <c r="BA177" s="3" t="s">
        <v>1523</v>
      </c>
      <c r="BB177" s="3" t="s">
        <v>1524</v>
      </c>
      <c r="BC177" s="3">
        <v>0</v>
      </c>
      <c r="BD177" s="3">
        <v>0.14000000000000001</v>
      </c>
      <c r="BE177" s="3">
        <v>0</v>
      </c>
      <c r="BF177" s="3">
        <v>173094</v>
      </c>
      <c r="BG177" s="3">
        <v>10032.27</v>
      </c>
      <c r="BH177" s="3">
        <v>0.55089999999999995</v>
      </c>
      <c r="BI177" s="2"/>
      <c r="BS177" s="2"/>
      <c r="CC177" s="2">
        <v>46197</v>
      </c>
      <c r="CD177" s="3" t="s">
        <v>2478</v>
      </c>
      <c r="CE177" s="3" t="s">
        <v>588</v>
      </c>
      <c r="CF177" s="3" t="s">
        <v>2479</v>
      </c>
      <c r="CG177" s="3">
        <v>0</v>
      </c>
      <c r="CH177" s="3">
        <v>0.16</v>
      </c>
      <c r="CI177" s="3">
        <v>0</v>
      </c>
      <c r="CJ177" s="3">
        <v>233228</v>
      </c>
      <c r="CM177" s="2"/>
      <c r="CW177" s="2"/>
    </row>
    <row r="178" spans="1:101" ht="13.5" customHeight="1" x14ac:dyDescent="0.3">
      <c r="A178" s="2">
        <v>46197</v>
      </c>
      <c r="B178" s="3" t="s">
        <v>1900</v>
      </c>
      <c r="C178" s="3" t="s">
        <v>1767</v>
      </c>
      <c r="D178" s="3" t="s">
        <v>1901</v>
      </c>
      <c r="E178" s="3">
        <v>0</v>
      </c>
      <c r="F178" s="3">
        <v>0.23</v>
      </c>
      <c r="G178" s="3">
        <v>0</v>
      </c>
      <c r="H178" s="3">
        <v>259594</v>
      </c>
      <c r="I178" s="3">
        <v>9782.24</v>
      </c>
      <c r="J178" s="3">
        <v>1.9442999999999999</v>
      </c>
      <c r="K178" s="2"/>
      <c r="U178" s="2"/>
      <c r="AE178" s="2"/>
      <c r="AO178" s="2"/>
      <c r="AY178" s="2">
        <v>46197</v>
      </c>
      <c r="AZ178" s="3" t="s">
        <v>1525</v>
      </c>
      <c r="BA178" s="3" t="s">
        <v>1526</v>
      </c>
      <c r="BB178" s="3" t="s">
        <v>1527</v>
      </c>
      <c r="BC178" s="3">
        <v>0</v>
      </c>
      <c r="BD178" s="3">
        <v>0.14000000000000001</v>
      </c>
      <c r="BE178" s="3">
        <v>0</v>
      </c>
      <c r="BF178" s="3">
        <v>173065</v>
      </c>
      <c r="BG178" s="3">
        <v>10031.01</v>
      </c>
      <c r="BH178" s="3">
        <v>0.17760000000000001</v>
      </c>
      <c r="BI178" s="2"/>
      <c r="BS178" s="2"/>
      <c r="CC178" s="2">
        <v>46197</v>
      </c>
      <c r="CD178" s="3" t="s">
        <v>2480</v>
      </c>
      <c r="CE178" s="3" t="s">
        <v>2481</v>
      </c>
      <c r="CF178" s="3" t="s">
        <v>2482</v>
      </c>
      <c r="CG178" s="3">
        <v>0</v>
      </c>
      <c r="CH178" s="3">
        <v>0.16</v>
      </c>
      <c r="CI178" s="3">
        <v>0</v>
      </c>
      <c r="CJ178" s="3">
        <v>232855</v>
      </c>
      <c r="CM178" s="2"/>
      <c r="CW178" s="2"/>
    </row>
    <row r="179" spans="1:101" ht="13.5" customHeight="1" x14ac:dyDescent="0.3">
      <c r="A179" s="2">
        <v>46197</v>
      </c>
      <c r="B179" s="3" t="s">
        <v>1902</v>
      </c>
      <c r="C179" s="3" t="s">
        <v>1903</v>
      </c>
      <c r="D179" s="3" t="s">
        <v>1904</v>
      </c>
      <c r="E179" s="3">
        <v>0</v>
      </c>
      <c r="F179" s="3">
        <v>0.23</v>
      </c>
      <c r="G179" s="3">
        <v>0</v>
      </c>
      <c r="H179" s="3">
        <v>259502</v>
      </c>
      <c r="I179" s="3">
        <v>9780.0499999999993</v>
      </c>
      <c r="J179" s="3">
        <v>4.3155999999999999</v>
      </c>
      <c r="K179" s="2"/>
      <c r="U179" s="2"/>
      <c r="AE179" s="2"/>
      <c r="AO179" s="2"/>
      <c r="AY179" s="2">
        <v>46197</v>
      </c>
      <c r="AZ179" s="3" t="s">
        <v>1528</v>
      </c>
      <c r="BA179" s="3" t="s">
        <v>1529</v>
      </c>
      <c r="BB179" s="3" t="s">
        <v>1530</v>
      </c>
      <c r="BC179" s="3">
        <v>0</v>
      </c>
      <c r="BD179" s="3">
        <v>0.14000000000000001</v>
      </c>
      <c r="BE179" s="3">
        <v>0</v>
      </c>
      <c r="BF179" s="3">
        <v>173022</v>
      </c>
      <c r="BG179" s="3">
        <v>10028.43</v>
      </c>
      <c r="BH179" s="3">
        <v>0.21560000000000001</v>
      </c>
      <c r="BI179" s="2"/>
      <c r="BS179" s="2"/>
      <c r="CC179" s="2">
        <v>46197</v>
      </c>
      <c r="CD179" s="3" t="s">
        <v>2483</v>
      </c>
      <c r="CE179" s="3" t="s">
        <v>2481</v>
      </c>
      <c r="CF179" s="3" t="s">
        <v>2484</v>
      </c>
      <c r="CG179" s="3">
        <v>0</v>
      </c>
      <c r="CH179" s="3">
        <v>0.16</v>
      </c>
      <c r="CI179" s="3">
        <v>0</v>
      </c>
      <c r="CJ179" s="3">
        <v>232855</v>
      </c>
      <c r="CM179" s="2"/>
      <c r="CW179" s="2"/>
    </row>
    <row r="180" spans="1:101" ht="13.5" customHeight="1" x14ac:dyDescent="0.3">
      <c r="A180" s="2">
        <v>46197</v>
      </c>
      <c r="B180" s="3" t="s">
        <v>495</v>
      </c>
      <c r="C180" s="3" t="s">
        <v>251</v>
      </c>
      <c r="D180" s="3" t="s">
        <v>496</v>
      </c>
      <c r="E180" s="3">
        <v>0</v>
      </c>
      <c r="F180" s="3">
        <v>0.23</v>
      </c>
      <c r="G180" s="3">
        <v>0</v>
      </c>
      <c r="H180" s="3">
        <v>259417</v>
      </c>
      <c r="I180" s="3">
        <v>9775.84</v>
      </c>
      <c r="J180" s="3">
        <v>1.8133999999999999</v>
      </c>
      <c r="K180" s="2"/>
      <c r="U180" s="2"/>
      <c r="AE180" s="2"/>
      <c r="AO180" s="2"/>
      <c r="AY180" s="2">
        <v>46197</v>
      </c>
      <c r="AZ180" s="3" t="s">
        <v>1531</v>
      </c>
      <c r="BA180" s="3" t="s">
        <v>1532</v>
      </c>
      <c r="BB180" s="3" t="s">
        <v>1533</v>
      </c>
      <c r="BC180" s="3">
        <v>0</v>
      </c>
      <c r="BD180" s="3">
        <v>0.14000000000000001</v>
      </c>
      <c r="BE180" s="3">
        <v>0</v>
      </c>
      <c r="BF180" s="3">
        <v>172877</v>
      </c>
      <c r="BG180" s="3">
        <v>10020.07</v>
      </c>
      <c r="BH180" s="3">
        <v>0.62309999999999999</v>
      </c>
      <c r="BI180" s="2"/>
      <c r="BS180" s="2"/>
      <c r="CC180" s="2">
        <v>46197</v>
      </c>
      <c r="CD180" s="3" t="s">
        <v>2485</v>
      </c>
      <c r="CE180" s="3" t="s">
        <v>1242</v>
      </c>
      <c r="CF180" s="3" t="s">
        <v>2486</v>
      </c>
      <c r="CG180" s="3">
        <v>0</v>
      </c>
      <c r="CH180" s="3">
        <v>0.16</v>
      </c>
      <c r="CI180" s="3">
        <v>0</v>
      </c>
      <c r="CJ180" s="3">
        <v>232580</v>
      </c>
      <c r="CM180" s="2"/>
      <c r="CW180" s="2"/>
    </row>
    <row r="181" spans="1:101" ht="13.5" customHeight="1" x14ac:dyDescent="0.3">
      <c r="A181" s="2">
        <v>46197</v>
      </c>
      <c r="B181" s="3" t="s">
        <v>1905</v>
      </c>
      <c r="C181" s="3" t="s">
        <v>1906</v>
      </c>
      <c r="D181" s="3" t="s">
        <v>1907</v>
      </c>
      <c r="E181" s="3">
        <v>0</v>
      </c>
      <c r="F181" s="3">
        <v>0.23</v>
      </c>
      <c r="G181" s="3">
        <v>0</v>
      </c>
      <c r="H181" s="3">
        <v>259334</v>
      </c>
      <c r="I181" s="3">
        <v>9773.23</v>
      </c>
      <c r="J181" s="3">
        <v>3.1052</v>
      </c>
      <c r="K181" s="2"/>
      <c r="U181" s="2"/>
      <c r="AE181" s="2"/>
      <c r="AO181" s="2"/>
      <c r="AY181" s="2">
        <v>46197</v>
      </c>
      <c r="AZ181" s="3" t="s">
        <v>1534</v>
      </c>
      <c r="BA181" s="3" t="s">
        <v>1535</v>
      </c>
      <c r="BB181" s="3" t="s">
        <v>1536</v>
      </c>
      <c r="BC181" s="3">
        <v>0</v>
      </c>
      <c r="BD181" s="3">
        <v>0.14000000000000001</v>
      </c>
      <c r="BE181" s="3">
        <v>0</v>
      </c>
      <c r="BF181" s="3">
        <v>172753</v>
      </c>
      <c r="BG181" s="3">
        <v>10012.75</v>
      </c>
      <c r="BH181" s="3">
        <v>0.42599999999999999</v>
      </c>
      <c r="BI181" s="2"/>
      <c r="BS181" s="2"/>
      <c r="CC181" s="2">
        <v>46197</v>
      </c>
      <c r="CD181" s="3" t="s">
        <v>2487</v>
      </c>
      <c r="CE181" s="3" t="s">
        <v>2488</v>
      </c>
      <c r="CF181" s="3" t="s">
        <v>2489</v>
      </c>
      <c r="CG181" s="3">
        <v>0</v>
      </c>
      <c r="CH181" s="3">
        <v>0.16</v>
      </c>
      <c r="CI181" s="3">
        <v>0</v>
      </c>
      <c r="CJ181" s="3">
        <v>232562</v>
      </c>
      <c r="CM181" s="2"/>
      <c r="CW181" s="2"/>
    </row>
    <row r="182" spans="1:101" ht="13.5" customHeight="1" x14ac:dyDescent="0.3">
      <c r="A182" s="2">
        <v>46197</v>
      </c>
      <c r="B182" s="3" t="s">
        <v>1908</v>
      </c>
      <c r="C182" s="3" t="s">
        <v>1909</v>
      </c>
      <c r="D182" s="3" t="s">
        <v>1910</v>
      </c>
      <c r="E182" s="3">
        <v>0</v>
      </c>
      <c r="F182" s="3">
        <v>0.23</v>
      </c>
      <c r="G182" s="3">
        <v>0</v>
      </c>
      <c r="H182" s="3">
        <v>259174</v>
      </c>
      <c r="I182" s="3">
        <v>9767.59</v>
      </c>
      <c r="J182" s="3">
        <v>4.1760000000000002</v>
      </c>
      <c r="K182" s="2"/>
      <c r="U182" s="2"/>
      <c r="AE182" s="2"/>
      <c r="AO182" s="2"/>
      <c r="AY182" s="2">
        <v>46197</v>
      </c>
      <c r="AZ182" s="3" t="s">
        <v>1537</v>
      </c>
      <c r="BA182" s="3" t="s">
        <v>1538</v>
      </c>
      <c r="BB182" s="3" t="s">
        <v>1539</v>
      </c>
      <c r="BC182" s="3">
        <v>0</v>
      </c>
      <c r="BD182" s="3">
        <v>0.14000000000000001</v>
      </c>
      <c r="BE182" s="3">
        <v>0</v>
      </c>
      <c r="BF182" s="3">
        <v>172745</v>
      </c>
      <c r="BG182" s="3">
        <v>10012.36</v>
      </c>
      <c r="BH182" s="3">
        <v>0.21560000000000001</v>
      </c>
      <c r="BI182" s="2"/>
      <c r="BS182" s="2"/>
      <c r="CC182" s="2">
        <v>46197</v>
      </c>
      <c r="CD182" s="3" t="s">
        <v>2490</v>
      </c>
      <c r="CE182" s="3" t="s">
        <v>2488</v>
      </c>
      <c r="CF182" s="3" t="s">
        <v>2491</v>
      </c>
      <c r="CG182" s="3">
        <v>0</v>
      </c>
      <c r="CH182" s="3">
        <v>0.16</v>
      </c>
      <c r="CI182" s="3">
        <v>0</v>
      </c>
      <c r="CJ182" s="3">
        <v>232562</v>
      </c>
      <c r="CM182" s="2"/>
      <c r="CW182" s="2"/>
    </row>
    <row r="183" spans="1:101" ht="13.5" customHeight="1" x14ac:dyDescent="0.3">
      <c r="A183" s="2">
        <v>46197</v>
      </c>
      <c r="B183" s="3" t="s">
        <v>1911</v>
      </c>
      <c r="C183" s="3" t="s">
        <v>1912</v>
      </c>
      <c r="D183" s="3" t="s">
        <v>1913</v>
      </c>
      <c r="E183" s="3">
        <v>0</v>
      </c>
      <c r="F183" s="3">
        <v>0.23</v>
      </c>
      <c r="G183" s="3">
        <v>0</v>
      </c>
      <c r="H183" s="3">
        <v>259148</v>
      </c>
      <c r="I183" s="3">
        <v>9765.7199999999993</v>
      </c>
      <c r="J183" s="3">
        <v>1.8083</v>
      </c>
      <c r="K183" s="2"/>
      <c r="U183" s="2"/>
      <c r="AE183" s="2"/>
      <c r="AO183" s="2"/>
      <c r="AY183" s="2">
        <v>46197</v>
      </c>
      <c r="AZ183" s="3" t="s">
        <v>984</v>
      </c>
      <c r="BA183" s="3" t="s">
        <v>985</v>
      </c>
      <c r="BB183" s="3" t="s">
        <v>986</v>
      </c>
      <c r="BC183" s="3">
        <v>0</v>
      </c>
      <c r="BD183" s="3">
        <v>0.14000000000000001</v>
      </c>
      <c r="BE183" s="3">
        <v>0</v>
      </c>
      <c r="BF183" s="3">
        <v>172716</v>
      </c>
      <c r="BG183" s="3">
        <v>10010.82</v>
      </c>
      <c r="BH183" s="3">
        <v>0.13059999999999999</v>
      </c>
      <c r="BI183" s="2"/>
      <c r="BS183" s="2"/>
      <c r="CC183" s="2">
        <v>46197</v>
      </c>
      <c r="CD183" s="3" t="s">
        <v>2492</v>
      </c>
      <c r="CE183" s="3" t="s">
        <v>351</v>
      </c>
      <c r="CF183" s="3" t="s">
        <v>2493</v>
      </c>
      <c r="CG183" s="3">
        <v>0</v>
      </c>
      <c r="CH183" s="3">
        <v>0.16</v>
      </c>
      <c r="CI183" s="3">
        <v>0</v>
      </c>
      <c r="CJ183" s="3">
        <v>232490</v>
      </c>
      <c r="CM183" s="2"/>
      <c r="CW183" s="2"/>
    </row>
    <row r="184" spans="1:101" ht="13.5" customHeight="1" x14ac:dyDescent="0.3">
      <c r="A184" s="2">
        <v>46197</v>
      </c>
      <c r="B184" s="3" t="s">
        <v>1914</v>
      </c>
      <c r="C184" s="3" t="s">
        <v>1915</v>
      </c>
      <c r="D184" s="3" t="s">
        <v>1916</v>
      </c>
      <c r="E184" s="3">
        <v>0</v>
      </c>
      <c r="F184" s="3">
        <v>0.23</v>
      </c>
      <c r="G184" s="3">
        <v>0</v>
      </c>
      <c r="H184" s="3">
        <v>259085</v>
      </c>
      <c r="I184" s="3">
        <v>9762.92</v>
      </c>
      <c r="J184" s="3">
        <v>3.0013999999999998</v>
      </c>
      <c r="K184" s="2"/>
      <c r="U184" s="2"/>
      <c r="AE184" s="2"/>
      <c r="AO184" s="2"/>
      <c r="AY184" s="2">
        <v>46197</v>
      </c>
      <c r="AZ184" s="3" t="s">
        <v>1540</v>
      </c>
      <c r="BA184" s="3" t="s">
        <v>1541</v>
      </c>
      <c r="BB184" s="3" t="s">
        <v>1542</v>
      </c>
      <c r="BC184" s="3">
        <v>0</v>
      </c>
      <c r="BD184" s="3">
        <v>0.14000000000000001</v>
      </c>
      <c r="BE184" s="3">
        <v>0</v>
      </c>
      <c r="BF184" s="3">
        <v>172679</v>
      </c>
      <c r="BG184" s="3">
        <v>10008.67</v>
      </c>
      <c r="BH184" s="3">
        <v>0.65110000000000001</v>
      </c>
      <c r="BI184" s="2"/>
      <c r="BS184" s="2"/>
      <c r="CC184" s="2">
        <v>46197</v>
      </c>
      <c r="CD184" s="3" t="s">
        <v>2494</v>
      </c>
      <c r="CE184" s="3" t="s">
        <v>2495</v>
      </c>
      <c r="CF184" s="3" t="s">
        <v>2496</v>
      </c>
      <c r="CG184" s="3">
        <v>0</v>
      </c>
      <c r="CH184" s="3">
        <v>0.16</v>
      </c>
      <c r="CI184" s="3">
        <v>0</v>
      </c>
      <c r="CJ184" s="3">
        <v>232461</v>
      </c>
      <c r="CM184" s="2"/>
      <c r="CW184" s="2"/>
    </row>
    <row r="185" spans="1:101" ht="13.5" customHeight="1" x14ac:dyDescent="0.3">
      <c r="A185" s="2">
        <v>46197</v>
      </c>
      <c r="B185" s="3" t="s">
        <v>1917</v>
      </c>
      <c r="C185" s="3" t="s">
        <v>1779</v>
      </c>
      <c r="D185" s="3" t="s">
        <v>1918</v>
      </c>
      <c r="E185" s="3">
        <v>0</v>
      </c>
      <c r="F185" s="3">
        <v>0.23</v>
      </c>
      <c r="G185" s="3">
        <v>0</v>
      </c>
      <c r="H185" s="3">
        <v>259063</v>
      </c>
      <c r="I185" s="3">
        <v>9762.69</v>
      </c>
      <c r="J185" s="3">
        <v>1.8043</v>
      </c>
      <c r="K185" s="2"/>
      <c r="U185" s="2"/>
      <c r="AE185" s="2"/>
      <c r="AO185" s="2"/>
      <c r="AY185" s="2">
        <v>46197</v>
      </c>
      <c r="AZ185" s="3" t="s">
        <v>1543</v>
      </c>
      <c r="BA185" s="3" t="s">
        <v>1544</v>
      </c>
      <c r="BB185" s="3" t="s">
        <v>1545</v>
      </c>
      <c r="BC185" s="3">
        <v>0</v>
      </c>
      <c r="BD185" s="3">
        <v>0.14000000000000001</v>
      </c>
      <c r="BE185" s="3">
        <v>0</v>
      </c>
      <c r="BF185" s="3">
        <v>172574</v>
      </c>
      <c r="BG185" s="3">
        <v>10002.59</v>
      </c>
      <c r="BH185" s="3">
        <v>0.626</v>
      </c>
      <c r="BI185" s="2"/>
      <c r="BS185" s="2"/>
      <c r="CC185" s="2">
        <v>46197</v>
      </c>
      <c r="CD185" s="3" t="s">
        <v>2497</v>
      </c>
      <c r="CE185" s="3" t="s">
        <v>351</v>
      </c>
      <c r="CF185" s="3" t="s">
        <v>2498</v>
      </c>
      <c r="CG185" s="3">
        <v>0</v>
      </c>
      <c r="CH185" s="3">
        <v>0.16</v>
      </c>
      <c r="CI185" s="3">
        <v>0</v>
      </c>
      <c r="CJ185" s="3">
        <v>232398</v>
      </c>
      <c r="CM185" s="2"/>
      <c r="CW185" s="2"/>
    </row>
    <row r="186" spans="1:101" ht="13.5" customHeight="1" x14ac:dyDescent="0.3">
      <c r="A186" s="2">
        <v>46197</v>
      </c>
      <c r="B186" s="3" t="s">
        <v>1919</v>
      </c>
      <c r="C186" s="3" t="s">
        <v>1920</v>
      </c>
      <c r="D186" s="3" t="s">
        <v>1921</v>
      </c>
      <c r="E186" s="3">
        <v>0</v>
      </c>
      <c r="F186" s="3">
        <v>0.23</v>
      </c>
      <c r="G186" s="3">
        <v>0</v>
      </c>
      <c r="H186" s="3">
        <v>259029</v>
      </c>
      <c r="I186" s="3">
        <v>9760.94</v>
      </c>
      <c r="J186" s="3">
        <v>1.9721</v>
      </c>
      <c r="K186" s="2"/>
      <c r="U186" s="2"/>
      <c r="AE186" s="2"/>
      <c r="AO186" s="2"/>
      <c r="AY186" s="2">
        <v>46197</v>
      </c>
      <c r="AZ186" s="3" t="s">
        <v>1546</v>
      </c>
      <c r="BA186" s="3" t="s">
        <v>1107</v>
      </c>
      <c r="BB186" s="3" t="s">
        <v>1547</v>
      </c>
      <c r="BC186" s="3">
        <v>0</v>
      </c>
      <c r="BD186" s="3">
        <v>0.14000000000000001</v>
      </c>
      <c r="BE186" s="3">
        <v>0</v>
      </c>
      <c r="BF186" s="3">
        <v>172431</v>
      </c>
      <c r="BG186" s="3">
        <v>9993.43</v>
      </c>
      <c r="BH186" s="3">
        <v>0.64349999999999996</v>
      </c>
      <c r="BI186" s="2"/>
      <c r="BS186" s="2"/>
      <c r="CC186" s="2">
        <v>46197</v>
      </c>
      <c r="CD186" s="3" t="s">
        <v>2499</v>
      </c>
      <c r="CE186" s="3" t="s">
        <v>2500</v>
      </c>
      <c r="CF186" s="3" t="s">
        <v>2501</v>
      </c>
      <c r="CG186" s="3">
        <v>0</v>
      </c>
      <c r="CH186" s="3">
        <v>0.16</v>
      </c>
      <c r="CI186" s="3">
        <v>0</v>
      </c>
      <c r="CJ186" s="3">
        <v>232312</v>
      </c>
      <c r="CM186" s="2"/>
      <c r="CW186" s="2"/>
    </row>
    <row r="187" spans="1:101" ht="13.5" customHeight="1" x14ac:dyDescent="0.3">
      <c r="A187" s="2">
        <v>46197</v>
      </c>
      <c r="B187" s="3" t="s">
        <v>1922</v>
      </c>
      <c r="C187" s="3" t="s">
        <v>1923</v>
      </c>
      <c r="D187" s="3" t="s">
        <v>1924</v>
      </c>
      <c r="E187" s="3">
        <v>0</v>
      </c>
      <c r="F187" s="3">
        <v>0.23</v>
      </c>
      <c r="G187" s="3">
        <v>0</v>
      </c>
      <c r="H187" s="3">
        <v>258904</v>
      </c>
      <c r="I187" s="3">
        <v>9757.5400000000009</v>
      </c>
      <c r="J187" s="3">
        <v>2.1623999999999999</v>
      </c>
      <c r="K187" s="2"/>
      <c r="U187" s="2"/>
      <c r="AE187" s="2"/>
      <c r="AO187" s="2"/>
      <c r="AY187" s="2">
        <v>46197</v>
      </c>
      <c r="AZ187" s="3" t="s">
        <v>1548</v>
      </c>
      <c r="BA187" s="3" t="s">
        <v>275</v>
      </c>
      <c r="BB187" s="3" t="s">
        <v>1549</v>
      </c>
      <c r="BC187" s="3">
        <v>0</v>
      </c>
      <c r="BD187" s="3">
        <v>0.14000000000000001</v>
      </c>
      <c r="BE187" s="3">
        <v>0</v>
      </c>
      <c r="BF187" s="3">
        <v>172385</v>
      </c>
      <c r="BG187" s="3">
        <v>9991.81</v>
      </c>
      <c r="BH187" s="3">
        <v>0.64119999999999999</v>
      </c>
      <c r="BI187" s="2"/>
      <c r="BS187" s="2"/>
      <c r="CC187" s="2">
        <v>46197</v>
      </c>
      <c r="CD187" s="3" t="s">
        <v>2502</v>
      </c>
      <c r="CE187" s="3" t="s">
        <v>2500</v>
      </c>
      <c r="CF187" s="3" t="s">
        <v>2503</v>
      </c>
      <c r="CG187" s="3">
        <v>0</v>
      </c>
      <c r="CH187" s="3">
        <v>0.16</v>
      </c>
      <c r="CI187" s="3">
        <v>0</v>
      </c>
      <c r="CJ187" s="3">
        <v>232312</v>
      </c>
      <c r="CM187" s="2"/>
      <c r="CW187" s="2"/>
    </row>
    <row r="188" spans="1:101" ht="13.5" customHeight="1" x14ac:dyDescent="0.3">
      <c r="A188" s="2">
        <v>46197</v>
      </c>
      <c r="B188" s="3" t="s">
        <v>1925</v>
      </c>
      <c r="C188" s="3" t="s">
        <v>1926</v>
      </c>
      <c r="D188" s="3" t="s">
        <v>1927</v>
      </c>
      <c r="E188" s="3">
        <v>0</v>
      </c>
      <c r="F188" s="3">
        <v>0.23</v>
      </c>
      <c r="G188" s="3">
        <v>0</v>
      </c>
      <c r="H188" s="3">
        <v>258784</v>
      </c>
      <c r="I188" s="3">
        <v>9752.06</v>
      </c>
      <c r="J188" s="3">
        <v>1.8433999999999999</v>
      </c>
      <c r="K188" s="2"/>
      <c r="U188" s="2"/>
      <c r="AE188" s="2"/>
      <c r="AO188" s="2"/>
      <c r="AY188" s="2">
        <v>46197</v>
      </c>
      <c r="AZ188" s="3" t="s">
        <v>1550</v>
      </c>
      <c r="BA188" s="3" t="s">
        <v>1551</v>
      </c>
      <c r="BB188" s="3" t="s">
        <v>1552</v>
      </c>
      <c r="BC188" s="3">
        <v>0</v>
      </c>
      <c r="BD188" s="3">
        <v>0.14000000000000001</v>
      </c>
      <c r="BE188" s="3">
        <v>0</v>
      </c>
      <c r="BF188" s="3">
        <v>170980</v>
      </c>
      <c r="BI188" s="2"/>
      <c r="BS188" s="2"/>
      <c r="CC188" s="2">
        <v>46197</v>
      </c>
      <c r="CD188" s="3" t="s">
        <v>2504</v>
      </c>
      <c r="CE188" s="3" t="s">
        <v>2505</v>
      </c>
      <c r="CF188" s="3" t="s">
        <v>2506</v>
      </c>
      <c r="CG188" s="3">
        <v>0</v>
      </c>
      <c r="CH188" s="3">
        <v>0.16</v>
      </c>
      <c r="CI188" s="3">
        <v>0</v>
      </c>
      <c r="CJ188" s="3">
        <v>232228</v>
      </c>
      <c r="CM188" s="2"/>
      <c r="CW188" s="2"/>
    </row>
    <row r="189" spans="1:101" ht="13.5" customHeight="1" x14ac:dyDescent="0.3">
      <c r="A189" s="2">
        <v>46197</v>
      </c>
      <c r="B189" s="3" t="s">
        <v>1928</v>
      </c>
      <c r="C189" s="3" t="s">
        <v>1929</v>
      </c>
      <c r="D189" s="3" t="s">
        <v>1930</v>
      </c>
      <c r="E189" s="3">
        <v>0</v>
      </c>
      <c r="F189" s="3">
        <v>0.23</v>
      </c>
      <c r="G189" s="3">
        <v>0</v>
      </c>
      <c r="H189" s="3">
        <v>258669</v>
      </c>
      <c r="I189" s="3">
        <v>9747.6299999999992</v>
      </c>
      <c r="J189" s="3">
        <v>1.8519000000000001</v>
      </c>
      <c r="K189" s="2"/>
      <c r="U189" s="2"/>
      <c r="AE189" s="2"/>
      <c r="AO189" s="2"/>
      <c r="AY189" s="2">
        <v>46197</v>
      </c>
      <c r="AZ189" s="3" t="s">
        <v>31</v>
      </c>
      <c r="BA189" s="3" t="s">
        <v>29</v>
      </c>
      <c r="BB189" s="3" t="s">
        <v>32</v>
      </c>
      <c r="BC189" s="3">
        <v>0</v>
      </c>
      <c r="BD189" s="3">
        <v>0.13</v>
      </c>
      <c r="BE189" s="3">
        <v>0</v>
      </c>
      <c r="BF189" s="3">
        <v>167098</v>
      </c>
      <c r="BG189" s="3">
        <v>8888.56</v>
      </c>
      <c r="BH189" s="3">
        <v>7.8056000000000001</v>
      </c>
      <c r="BI189" s="2"/>
      <c r="BS189" s="2"/>
      <c r="CC189" s="2">
        <v>46197</v>
      </c>
      <c r="CD189" s="3" t="s">
        <v>2507</v>
      </c>
      <c r="CE189" s="3" t="s">
        <v>2505</v>
      </c>
      <c r="CF189" s="3" t="s">
        <v>2508</v>
      </c>
      <c r="CG189" s="3">
        <v>0</v>
      </c>
      <c r="CH189" s="3">
        <v>0.16</v>
      </c>
      <c r="CI189" s="3">
        <v>0</v>
      </c>
      <c r="CJ189" s="3">
        <v>232228</v>
      </c>
      <c r="CM189" s="2"/>
      <c r="CW189" s="2"/>
    </row>
    <row r="190" spans="1:101" ht="13.5" customHeight="1" x14ac:dyDescent="0.3">
      <c r="A190" s="2">
        <v>46197</v>
      </c>
      <c r="B190" s="3" t="s">
        <v>1931</v>
      </c>
      <c r="C190" s="3" t="s">
        <v>395</v>
      </c>
      <c r="D190" s="3" t="s">
        <v>1932</v>
      </c>
      <c r="E190" s="3">
        <v>0</v>
      </c>
      <c r="F190" s="3">
        <v>0.23</v>
      </c>
      <c r="G190" s="3">
        <v>0</v>
      </c>
      <c r="H190" s="3">
        <v>258625</v>
      </c>
      <c r="I190" s="3">
        <v>9744.8700000000008</v>
      </c>
      <c r="J190" s="3">
        <v>1.8576999999999999</v>
      </c>
      <c r="K190" s="2"/>
      <c r="U190" s="2"/>
      <c r="AE190" s="2"/>
      <c r="AO190" s="2"/>
      <c r="AY190" s="2">
        <v>46197</v>
      </c>
      <c r="AZ190" s="3" t="s">
        <v>1553</v>
      </c>
      <c r="BA190" s="3" t="s">
        <v>1554</v>
      </c>
      <c r="BB190" s="3" t="s">
        <v>1555</v>
      </c>
      <c r="BC190" s="3">
        <v>0</v>
      </c>
      <c r="BD190" s="3">
        <v>0.12</v>
      </c>
      <c r="BE190" s="3">
        <v>0</v>
      </c>
      <c r="BF190" s="3">
        <v>155351</v>
      </c>
      <c r="BG190" s="3">
        <v>10098.74</v>
      </c>
      <c r="BH190" s="3">
        <v>0.52969999999999995</v>
      </c>
      <c r="BI190" s="2"/>
      <c r="BS190" s="2"/>
      <c r="CC190" s="2">
        <v>46197</v>
      </c>
      <c r="CD190" s="3" t="s">
        <v>2509</v>
      </c>
      <c r="CE190" s="3" t="s">
        <v>2505</v>
      </c>
      <c r="CF190" s="3" t="s">
        <v>2510</v>
      </c>
      <c r="CG190" s="3">
        <v>0</v>
      </c>
      <c r="CH190" s="3">
        <v>0.16</v>
      </c>
      <c r="CI190" s="3">
        <v>0</v>
      </c>
      <c r="CJ190" s="3">
        <v>232228</v>
      </c>
      <c r="CM190" s="2"/>
      <c r="CW190" s="2"/>
    </row>
    <row r="191" spans="1:101" ht="13.5" customHeight="1" x14ac:dyDescent="0.3">
      <c r="A191" s="2">
        <v>46197</v>
      </c>
      <c r="B191" s="3" t="s">
        <v>1933</v>
      </c>
      <c r="C191" s="3" t="s">
        <v>422</v>
      </c>
      <c r="D191" s="3" t="s">
        <v>1934</v>
      </c>
      <c r="E191" s="3">
        <v>0</v>
      </c>
      <c r="F191" s="3">
        <v>0.23</v>
      </c>
      <c r="G191" s="3">
        <v>0</v>
      </c>
      <c r="H191" s="3">
        <v>258348</v>
      </c>
      <c r="I191" s="3">
        <v>9736.81</v>
      </c>
      <c r="J191" s="3">
        <v>2.1682999999999999</v>
      </c>
      <c r="K191" s="2"/>
      <c r="U191" s="2"/>
      <c r="AE191" s="2"/>
      <c r="AO191" s="2"/>
      <c r="AY191" s="2">
        <v>46197</v>
      </c>
      <c r="AZ191" s="3" t="s">
        <v>886</v>
      </c>
      <c r="BA191" s="3" t="s">
        <v>882</v>
      </c>
      <c r="BB191" s="3" t="s">
        <v>887</v>
      </c>
      <c r="BC191" s="3">
        <v>0</v>
      </c>
      <c r="BD191" s="3">
        <v>0.12</v>
      </c>
      <c r="BE191" s="3">
        <v>0</v>
      </c>
      <c r="BF191" s="3">
        <v>155265</v>
      </c>
      <c r="BG191" s="3">
        <v>10092.91</v>
      </c>
      <c r="BH191" s="3">
        <v>0.54830000000000001</v>
      </c>
      <c r="BI191" s="2"/>
      <c r="BS191" s="2"/>
      <c r="CC191" s="2">
        <v>46197</v>
      </c>
      <c r="CD191" s="3" t="s">
        <v>2511</v>
      </c>
      <c r="CE191" s="3" t="s">
        <v>2505</v>
      </c>
      <c r="CF191" s="3" t="s">
        <v>2512</v>
      </c>
      <c r="CG191" s="3">
        <v>0</v>
      </c>
      <c r="CH191" s="3">
        <v>0.16</v>
      </c>
      <c r="CI191" s="3">
        <v>0</v>
      </c>
      <c r="CJ191" s="3">
        <v>232228</v>
      </c>
      <c r="CM191" s="2"/>
      <c r="CW191" s="2"/>
    </row>
    <row r="192" spans="1:101" ht="13.5" customHeight="1" x14ac:dyDescent="0.3">
      <c r="A192" s="2">
        <v>46197</v>
      </c>
      <c r="B192" s="3" t="s">
        <v>1935</v>
      </c>
      <c r="C192" s="3" t="s">
        <v>1493</v>
      </c>
      <c r="D192" s="3" t="s">
        <v>1936</v>
      </c>
      <c r="E192" s="3">
        <v>0</v>
      </c>
      <c r="F192" s="3">
        <v>0.23</v>
      </c>
      <c r="G192" s="3">
        <v>0</v>
      </c>
      <c r="H192" s="3">
        <v>258246</v>
      </c>
      <c r="I192" s="3">
        <v>9731.44</v>
      </c>
      <c r="J192" s="3">
        <v>1.8929</v>
      </c>
      <c r="K192" s="2"/>
      <c r="U192" s="2"/>
      <c r="AE192" s="2"/>
      <c r="AO192" s="2"/>
      <c r="AY192" s="2">
        <v>46197</v>
      </c>
      <c r="AZ192" s="3" t="s">
        <v>1556</v>
      </c>
      <c r="BA192" s="3" t="s">
        <v>254</v>
      </c>
      <c r="BB192" s="3" t="s">
        <v>1557</v>
      </c>
      <c r="BC192" s="3">
        <v>0</v>
      </c>
      <c r="BD192" s="3">
        <v>0.12</v>
      </c>
      <c r="BE192" s="3">
        <v>0</v>
      </c>
      <c r="BF192" s="3">
        <v>154157</v>
      </c>
      <c r="BG192" s="3">
        <v>10020.459999999999</v>
      </c>
      <c r="BH192" s="3">
        <v>0.90490000000000004</v>
      </c>
      <c r="BI192" s="2"/>
      <c r="BS192" s="2"/>
      <c r="CC192" s="2">
        <v>46197</v>
      </c>
      <c r="CD192" s="3" t="s">
        <v>2513</v>
      </c>
      <c r="CE192" s="3" t="s">
        <v>2505</v>
      </c>
      <c r="CF192" s="3" t="s">
        <v>2514</v>
      </c>
      <c r="CG192" s="3">
        <v>0</v>
      </c>
      <c r="CH192" s="3">
        <v>0.16</v>
      </c>
      <c r="CI192" s="3">
        <v>0</v>
      </c>
      <c r="CJ192" s="3">
        <v>232228</v>
      </c>
      <c r="CM192" s="2"/>
      <c r="CW192" s="2"/>
    </row>
    <row r="193" spans="1:101" ht="13.5" customHeight="1" x14ac:dyDescent="0.3">
      <c r="A193" s="2">
        <v>46197</v>
      </c>
      <c r="B193" s="3" t="s">
        <v>1937</v>
      </c>
      <c r="C193" s="3" t="s">
        <v>1938</v>
      </c>
      <c r="D193" s="3" t="s">
        <v>1939</v>
      </c>
      <c r="E193" s="3">
        <v>0</v>
      </c>
      <c r="F193" s="3">
        <v>0.23</v>
      </c>
      <c r="G193" s="3">
        <v>0</v>
      </c>
      <c r="H193" s="3">
        <v>258133</v>
      </c>
      <c r="I193" s="3">
        <v>9727.4</v>
      </c>
      <c r="J193" s="3">
        <v>2.0373999999999999</v>
      </c>
      <c r="K193" s="2"/>
      <c r="U193" s="2"/>
      <c r="AE193" s="2"/>
      <c r="AO193" s="2"/>
      <c r="AY193" s="2">
        <v>46197</v>
      </c>
      <c r="AZ193" s="3" t="s">
        <v>1558</v>
      </c>
      <c r="BA193" s="3" t="s">
        <v>50</v>
      </c>
      <c r="BB193" s="3" t="s">
        <v>1559</v>
      </c>
      <c r="BC193" s="3">
        <v>0</v>
      </c>
      <c r="BD193" s="3">
        <v>0.12</v>
      </c>
      <c r="BE193" s="3">
        <v>0</v>
      </c>
      <c r="BF193" s="3">
        <v>149944</v>
      </c>
      <c r="BG193" s="3">
        <v>10064.07</v>
      </c>
      <c r="BH193" s="3">
        <v>2.0911</v>
      </c>
      <c r="BI193" s="2"/>
      <c r="BS193" s="2"/>
      <c r="CC193" s="2">
        <v>46197</v>
      </c>
      <c r="CD193" s="3" t="s">
        <v>2515</v>
      </c>
      <c r="CE193" s="3" t="s">
        <v>2505</v>
      </c>
      <c r="CF193" s="3" t="s">
        <v>2516</v>
      </c>
      <c r="CG193" s="3">
        <v>0</v>
      </c>
      <c r="CH193" s="3">
        <v>0.16</v>
      </c>
      <c r="CI193" s="3">
        <v>0</v>
      </c>
      <c r="CJ193" s="3">
        <v>232228</v>
      </c>
      <c r="CM193" s="2"/>
      <c r="CW193" s="2"/>
    </row>
    <row r="194" spans="1:101" ht="13.5" customHeight="1" x14ac:dyDescent="0.3">
      <c r="A194" s="2">
        <v>46197</v>
      </c>
      <c r="B194" s="3" t="s">
        <v>1940</v>
      </c>
      <c r="C194" s="3" t="s">
        <v>1941</v>
      </c>
      <c r="D194" s="3" t="s">
        <v>1942</v>
      </c>
      <c r="E194" s="3">
        <v>0</v>
      </c>
      <c r="F194" s="3">
        <v>0.23</v>
      </c>
      <c r="G194" s="3">
        <v>0</v>
      </c>
      <c r="H194" s="3">
        <v>258102</v>
      </c>
      <c r="I194" s="3">
        <v>9727.51</v>
      </c>
      <c r="J194" s="3">
        <v>2.2223000000000002</v>
      </c>
      <c r="K194" s="2"/>
      <c r="U194" s="2"/>
      <c r="AE194" s="2"/>
      <c r="AO194" s="2"/>
      <c r="AY194" s="2">
        <v>46197</v>
      </c>
      <c r="AZ194" s="3" t="s">
        <v>110</v>
      </c>
      <c r="BA194" s="3" t="s">
        <v>63</v>
      </c>
      <c r="BB194" s="3" t="s">
        <v>111</v>
      </c>
      <c r="BC194" s="3">
        <v>0</v>
      </c>
      <c r="BD194" s="3">
        <v>0.12</v>
      </c>
      <c r="BE194" s="3">
        <v>0</v>
      </c>
      <c r="BF194" s="3">
        <v>146825</v>
      </c>
      <c r="BG194" s="3">
        <v>8920.7000000000007</v>
      </c>
      <c r="BH194" s="3">
        <v>12.076700000000001</v>
      </c>
      <c r="BI194" s="2"/>
      <c r="BS194" s="2"/>
      <c r="CC194" s="2">
        <v>46197</v>
      </c>
      <c r="CD194" s="3" t="s">
        <v>2517</v>
      </c>
      <c r="CE194" s="3" t="s">
        <v>2505</v>
      </c>
      <c r="CF194" s="3" t="s">
        <v>2518</v>
      </c>
      <c r="CG194" s="3">
        <v>0</v>
      </c>
      <c r="CH194" s="3">
        <v>0.16</v>
      </c>
      <c r="CI194" s="3">
        <v>0</v>
      </c>
      <c r="CJ194" s="3">
        <v>232228</v>
      </c>
      <c r="CM194" s="2"/>
      <c r="CW194" s="2"/>
    </row>
    <row r="195" spans="1:101" ht="13.5" customHeight="1" x14ac:dyDescent="0.3">
      <c r="A195" s="2">
        <v>46197</v>
      </c>
      <c r="B195" s="3" t="s">
        <v>1943</v>
      </c>
      <c r="C195" s="3" t="s">
        <v>1810</v>
      </c>
      <c r="D195" s="3" t="s">
        <v>1944</v>
      </c>
      <c r="E195" s="3">
        <v>0</v>
      </c>
      <c r="F195" s="3">
        <v>0.23</v>
      </c>
      <c r="G195" s="3">
        <v>0</v>
      </c>
      <c r="H195" s="3">
        <v>257888</v>
      </c>
      <c r="I195" s="3">
        <v>9719.17</v>
      </c>
      <c r="J195" s="3">
        <v>3.0211999999999999</v>
      </c>
      <c r="K195" s="2"/>
      <c r="U195" s="2"/>
      <c r="AE195" s="2"/>
      <c r="AO195" s="2"/>
      <c r="AY195" s="2">
        <v>46197</v>
      </c>
      <c r="AZ195" s="3" t="s">
        <v>732</v>
      </c>
      <c r="BA195" s="3" t="s">
        <v>29</v>
      </c>
      <c r="BB195" s="3" t="s">
        <v>733</v>
      </c>
      <c r="BC195" s="3">
        <v>0</v>
      </c>
      <c r="BD195" s="3">
        <v>0.11</v>
      </c>
      <c r="BE195" s="3">
        <v>0</v>
      </c>
      <c r="BF195" s="3">
        <v>140352</v>
      </c>
      <c r="BG195" s="3">
        <v>7707.56</v>
      </c>
      <c r="BH195" s="3">
        <v>15.328900000000001</v>
      </c>
      <c r="BI195" s="2"/>
      <c r="BS195" s="2"/>
      <c r="CC195" s="2">
        <v>46197</v>
      </c>
      <c r="CD195" s="3" t="s">
        <v>2519</v>
      </c>
      <c r="CE195" s="3" t="s">
        <v>2505</v>
      </c>
      <c r="CF195" s="3" t="s">
        <v>2520</v>
      </c>
      <c r="CG195" s="3">
        <v>0</v>
      </c>
      <c r="CH195" s="3">
        <v>0.16</v>
      </c>
      <c r="CI195" s="3">
        <v>0</v>
      </c>
      <c r="CJ195" s="3">
        <v>232228</v>
      </c>
      <c r="CM195" s="2"/>
      <c r="CW195" s="2"/>
    </row>
    <row r="196" spans="1:101" ht="13.5" customHeight="1" x14ac:dyDescent="0.3">
      <c r="A196" s="2">
        <v>46197</v>
      </c>
      <c r="B196" s="3" t="s">
        <v>1945</v>
      </c>
      <c r="C196" s="3" t="s">
        <v>1946</v>
      </c>
      <c r="D196" s="3" t="s">
        <v>1947</v>
      </c>
      <c r="E196" s="3">
        <v>0</v>
      </c>
      <c r="F196" s="3">
        <v>0.23</v>
      </c>
      <c r="G196" s="3">
        <v>0</v>
      </c>
      <c r="H196" s="3">
        <v>257850</v>
      </c>
      <c r="I196" s="3">
        <v>9716.6299999999992</v>
      </c>
      <c r="J196" s="3">
        <v>3.0571000000000002</v>
      </c>
      <c r="K196" s="2"/>
      <c r="U196" s="2"/>
      <c r="AE196" s="2"/>
      <c r="AO196" s="2"/>
      <c r="AY196" s="2">
        <v>46197</v>
      </c>
      <c r="AZ196" s="3" t="s">
        <v>1560</v>
      </c>
      <c r="BA196" s="3" t="s">
        <v>263</v>
      </c>
      <c r="BB196" s="3" t="s">
        <v>1561</v>
      </c>
      <c r="BC196" s="3">
        <v>0</v>
      </c>
      <c r="BD196" s="3">
        <v>0.11</v>
      </c>
      <c r="BE196" s="3">
        <v>0</v>
      </c>
      <c r="BF196" s="3">
        <v>138317</v>
      </c>
      <c r="BG196" s="3">
        <v>9990.35</v>
      </c>
      <c r="BH196" s="3">
        <v>0.1928</v>
      </c>
      <c r="BI196" s="2"/>
      <c r="BS196" s="2"/>
      <c r="CC196" s="2">
        <v>46197</v>
      </c>
      <c r="CD196" s="3" t="s">
        <v>2521</v>
      </c>
      <c r="CE196" s="3" t="s">
        <v>2505</v>
      </c>
      <c r="CF196" s="3" t="s">
        <v>2522</v>
      </c>
      <c r="CG196" s="3">
        <v>0</v>
      </c>
      <c r="CH196" s="3">
        <v>0.16</v>
      </c>
      <c r="CI196" s="3">
        <v>0</v>
      </c>
      <c r="CJ196" s="3">
        <v>232228</v>
      </c>
      <c r="CM196" s="2"/>
      <c r="CW196" s="2"/>
    </row>
    <row r="197" spans="1:101" ht="13.5" customHeight="1" x14ac:dyDescent="0.3">
      <c r="A197" s="2">
        <v>46197</v>
      </c>
      <c r="B197" s="3" t="s">
        <v>1948</v>
      </c>
      <c r="C197" s="3" t="s">
        <v>1949</v>
      </c>
      <c r="D197" s="3" t="s">
        <v>1950</v>
      </c>
      <c r="E197" s="3">
        <v>0</v>
      </c>
      <c r="F197" s="3">
        <v>0.23</v>
      </c>
      <c r="G197" s="3">
        <v>0</v>
      </c>
      <c r="H197" s="3">
        <v>257794</v>
      </c>
      <c r="I197" s="3">
        <v>9715.3700000000008</v>
      </c>
      <c r="J197" s="3">
        <v>2.0777999999999999</v>
      </c>
      <c r="K197" s="2"/>
      <c r="U197" s="2"/>
      <c r="AE197" s="2"/>
      <c r="AO197" s="2"/>
      <c r="AY197" s="2">
        <v>46197</v>
      </c>
      <c r="AZ197" s="3" t="s">
        <v>135</v>
      </c>
      <c r="BA197" s="3" t="s">
        <v>50</v>
      </c>
      <c r="BB197" s="3" t="s">
        <v>136</v>
      </c>
      <c r="BC197" s="3">
        <v>0</v>
      </c>
      <c r="BD197" s="3">
        <v>0.1</v>
      </c>
      <c r="BE197" s="3">
        <v>0</v>
      </c>
      <c r="BF197" s="3">
        <v>123941</v>
      </c>
      <c r="BG197" s="3">
        <v>9752.51</v>
      </c>
      <c r="BH197" s="3">
        <v>1.8956</v>
      </c>
      <c r="BI197" s="2"/>
      <c r="BS197" s="2"/>
      <c r="CC197" s="2">
        <v>46197</v>
      </c>
      <c r="CD197" s="3" t="s">
        <v>2523</v>
      </c>
      <c r="CE197" s="3" t="s">
        <v>2505</v>
      </c>
      <c r="CF197" s="3" t="s">
        <v>2524</v>
      </c>
      <c r="CG197" s="3">
        <v>0</v>
      </c>
      <c r="CH197" s="3">
        <v>0.16</v>
      </c>
      <c r="CI197" s="3">
        <v>0</v>
      </c>
      <c r="CJ197" s="3">
        <v>232228</v>
      </c>
      <c r="CM197" s="2"/>
      <c r="CW197" s="2"/>
    </row>
    <row r="198" spans="1:101" ht="13.5" customHeight="1" x14ac:dyDescent="0.3">
      <c r="A198" s="2">
        <v>46197</v>
      </c>
      <c r="B198" s="3" t="s">
        <v>1951</v>
      </c>
      <c r="C198" s="3" t="s">
        <v>1923</v>
      </c>
      <c r="D198" s="3" t="s">
        <v>1952</v>
      </c>
      <c r="E198" s="3">
        <v>0</v>
      </c>
      <c r="F198" s="3">
        <v>0.23</v>
      </c>
      <c r="G198" s="3">
        <v>0</v>
      </c>
      <c r="H198" s="3">
        <v>257749</v>
      </c>
      <c r="I198" s="3">
        <v>9713.75</v>
      </c>
      <c r="J198" s="3">
        <v>2.0846</v>
      </c>
      <c r="K198" s="2"/>
      <c r="U198" s="2"/>
      <c r="AE198" s="2"/>
      <c r="AO198" s="2"/>
      <c r="AY198" s="2">
        <v>46197</v>
      </c>
      <c r="AZ198" s="3" t="s">
        <v>1562</v>
      </c>
      <c r="BA198" s="3" t="s">
        <v>1563</v>
      </c>
      <c r="BB198" s="3" t="s">
        <v>1564</v>
      </c>
      <c r="BC198" s="3">
        <v>0</v>
      </c>
      <c r="BD198" s="3">
        <v>0.09</v>
      </c>
      <c r="BE198" s="3">
        <v>0</v>
      </c>
      <c r="BF198" s="3">
        <v>111238</v>
      </c>
      <c r="BG198" s="3">
        <v>9639.14</v>
      </c>
      <c r="BH198" s="3">
        <v>3.3458000000000001</v>
      </c>
      <c r="BI198" s="2"/>
      <c r="BS198" s="2"/>
      <c r="CC198" s="2">
        <v>46197</v>
      </c>
      <c r="CD198" s="3" t="s">
        <v>2525</v>
      </c>
      <c r="CE198" s="3" t="s">
        <v>2526</v>
      </c>
      <c r="CF198" s="3" t="s">
        <v>2527</v>
      </c>
      <c r="CG198" s="3">
        <v>0</v>
      </c>
      <c r="CH198" s="3">
        <v>0.16</v>
      </c>
      <c r="CI198" s="3">
        <v>0</v>
      </c>
      <c r="CJ198" s="3">
        <v>232169</v>
      </c>
      <c r="CM198" s="2"/>
      <c r="CW198" s="2"/>
    </row>
    <row r="199" spans="1:101" ht="13.5" customHeight="1" x14ac:dyDescent="0.3">
      <c r="A199" s="2">
        <v>46197</v>
      </c>
      <c r="B199" s="3" t="s">
        <v>1953</v>
      </c>
      <c r="C199" s="3" t="s">
        <v>1392</v>
      </c>
      <c r="D199" s="3" t="s">
        <v>1954</v>
      </c>
      <c r="E199" s="3">
        <v>0</v>
      </c>
      <c r="F199" s="3">
        <v>0.23</v>
      </c>
      <c r="G199" s="3">
        <v>0</v>
      </c>
      <c r="H199" s="3">
        <v>257741</v>
      </c>
      <c r="I199" s="3">
        <v>9713.4500000000007</v>
      </c>
      <c r="J199" s="3">
        <v>2.0871</v>
      </c>
      <c r="K199" s="2"/>
      <c r="U199" s="2"/>
      <c r="AE199" s="2"/>
      <c r="AO199" s="2"/>
      <c r="AY199" s="2">
        <v>46197</v>
      </c>
      <c r="AZ199" s="3" t="s">
        <v>1565</v>
      </c>
      <c r="BA199" s="3" t="s">
        <v>1566</v>
      </c>
      <c r="BB199" s="3" t="s">
        <v>1567</v>
      </c>
      <c r="BC199" s="3">
        <v>0</v>
      </c>
      <c r="BD199" s="3">
        <v>0.09</v>
      </c>
      <c r="BE199" s="3">
        <v>0</v>
      </c>
      <c r="BF199" s="3">
        <v>110485</v>
      </c>
      <c r="BG199" s="3">
        <v>9576.0400000000009</v>
      </c>
      <c r="BH199" s="3">
        <v>2.5626000000000002</v>
      </c>
      <c r="BI199" s="2"/>
      <c r="BS199" s="2"/>
      <c r="CC199" s="2">
        <v>46197</v>
      </c>
      <c r="CD199" s="3" t="s">
        <v>2528</v>
      </c>
      <c r="CE199" s="3" t="s">
        <v>2529</v>
      </c>
      <c r="CF199" s="3" t="s">
        <v>2530</v>
      </c>
      <c r="CG199" s="3">
        <v>0</v>
      </c>
      <c r="CH199" s="3">
        <v>0.16</v>
      </c>
      <c r="CI199" s="3">
        <v>0</v>
      </c>
      <c r="CJ199" s="3">
        <v>232152</v>
      </c>
      <c r="CM199" s="2"/>
      <c r="CW199" s="2"/>
    </row>
    <row r="200" spans="1:101" ht="13.5" customHeight="1" x14ac:dyDescent="0.3">
      <c r="A200" s="2">
        <v>46197</v>
      </c>
      <c r="B200" s="3" t="s">
        <v>1955</v>
      </c>
      <c r="C200" s="3" t="s">
        <v>1956</v>
      </c>
      <c r="D200" s="3" t="s">
        <v>1957</v>
      </c>
      <c r="E200" s="3">
        <v>0</v>
      </c>
      <c r="F200" s="3">
        <v>0.23</v>
      </c>
      <c r="G200" s="3">
        <v>0</v>
      </c>
      <c r="H200" s="3">
        <v>257673</v>
      </c>
      <c r="I200" s="3">
        <v>9710.66</v>
      </c>
      <c r="J200" s="3">
        <v>3.2017000000000002</v>
      </c>
      <c r="K200" s="2"/>
      <c r="U200" s="2"/>
      <c r="AE200" s="2"/>
      <c r="AO200" s="2"/>
      <c r="AY200" s="2">
        <v>46197</v>
      </c>
      <c r="AZ200" s="3" t="s">
        <v>1568</v>
      </c>
      <c r="BA200" s="3" t="s">
        <v>29</v>
      </c>
      <c r="BB200" s="3" t="s">
        <v>1569</v>
      </c>
      <c r="BC200" s="3">
        <v>0</v>
      </c>
      <c r="BD200" s="3">
        <v>0.08</v>
      </c>
      <c r="BE200" s="3">
        <v>0</v>
      </c>
      <c r="BF200" s="3">
        <v>104488</v>
      </c>
      <c r="BG200" s="3">
        <v>9703.2800000000007</v>
      </c>
      <c r="BH200" s="3">
        <v>2.3613</v>
      </c>
      <c r="BI200" s="2"/>
      <c r="BS200" s="2"/>
      <c r="CC200" s="2">
        <v>46197</v>
      </c>
      <c r="CD200" s="3" t="s">
        <v>2531</v>
      </c>
      <c r="CE200" s="3" t="s">
        <v>2529</v>
      </c>
      <c r="CF200" s="3" t="s">
        <v>2532</v>
      </c>
      <c r="CG200" s="3">
        <v>0</v>
      </c>
      <c r="CH200" s="3">
        <v>0.16</v>
      </c>
      <c r="CI200" s="3">
        <v>0</v>
      </c>
      <c r="CJ200" s="3">
        <v>232152</v>
      </c>
      <c r="CM200" s="2"/>
      <c r="CW200" s="2"/>
    </row>
    <row r="201" spans="1:101" ht="13.5" customHeight="1" x14ac:dyDescent="0.3">
      <c r="A201" s="2">
        <v>46197</v>
      </c>
      <c r="B201" s="3" t="s">
        <v>1958</v>
      </c>
      <c r="C201" s="3" t="s">
        <v>1959</v>
      </c>
      <c r="D201" s="3" t="s">
        <v>1960</v>
      </c>
      <c r="E201" s="3">
        <v>0</v>
      </c>
      <c r="F201" s="3">
        <v>0.23</v>
      </c>
      <c r="G201" s="3">
        <v>0</v>
      </c>
      <c r="H201" s="3">
        <v>257510</v>
      </c>
      <c r="I201" s="3">
        <v>9705.93</v>
      </c>
      <c r="J201" s="3">
        <v>2.448</v>
      </c>
      <c r="K201" s="2"/>
      <c r="U201" s="2"/>
      <c r="AE201" s="2"/>
      <c r="AO201" s="2"/>
      <c r="AY201" s="2">
        <v>46197</v>
      </c>
      <c r="AZ201" s="3" t="s">
        <v>1570</v>
      </c>
      <c r="BA201" s="3" t="s">
        <v>1571</v>
      </c>
      <c r="BB201" s="3" t="s">
        <v>1572</v>
      </c>
      <c r="BC201" s="3">
        <v>0</v>
      </c>
      <c r="BD201" s="3">
        <v>0.08</v>
      </c>
      <c r="BE201" s="3">
        <v>0</v>
      </c>
      <c r="BF201" s="3">
        <v>103592</v>
      </c>
      <c r="BG201" s="3">
        <v>8979.27</v>
      </c>
      <c r="BH201" s="3">
        <v>4.8391000000000002</v>
      </c>
      <c r="BI201" s="2"/>
      <c r="BS201" s="2"/>
      <c r="CC201" s="2">
        <v>46197</v>
      </c>
      <c r="CD201" s="3" t="s">
        <v>2533</v>
      </c>
      <c r="CE201" s="3" t="s">
        <v>2529</v>
      </c>
      <c r="CF201" s="3" t="s">
        <v>2534</v>
      </c>
      <c r="CG201" s="3">
        <v>0</v>
      </c>
      <c r="CH201" s="3">
        <v>0.16</v>
      </c>
      <c r="CI201" s="3">
        <v>0</v>
      </c>
      <c r="CJ201" s="3">
        <v>232152</v>
      </c>
      <c r="CM201" s="2"/>
      <c r="CW201" s="2"/>
    </row>
    <row r="202" spans="1:101" ht="13.5" customHeight="1" x14ac:dyDescent="0.3">
      <c r="A202" s="2">
        <v>46197</v>
      </c>
      <c r="B202" s="3" t="s">
        <v>1961</v>
      </c>
      <c r="C202" s="3" t="s">
        <v>1962</v>
      </c>
      <c r="D202" s="3" t="s">
        <v>1963</v>
      </c>
      <c r="E202" s="3">
        <v>0</v>
      </c>
      <c r="F202" s="3">
        <v>0.23</v>
      </c>
      <c r="G202" s="3">
        <v>0</v>
      </c>
      <c r="H202" s="3">
        <v>257485</v>
      </c>
      <c r="I202" s="3">
        <v>9704.06</v>
      </c>
      <c r="J202" s="3">
        <v>2.1646000000000001</v>
      </c>
      <c r="K202" s="2"/>
      <c r="U202" s="2"/>
      <c r="AE202" s="2"/>
      <c r="AO202" s="2"/>
      <c r="AY202" s="2">
        <v>46197</v>
      </c>
      <c r="AZ202" s="3" t="s">
        <v>1573</v>
      </c>
      <c r="BA202" s="3" t="s">
        <v>1574</v>
      </c>
      <c r="BB202" s="3" t="s">
        <v>1575</v>
      </c>
      <c r="BC202" s="3">
        <v>0</v>
      </c>
      <c r="BD202" s="3">
        <v>0.08</v>
      </c>
      <c r="BE202" s="3">
        <v>0</v>
      </c>
      <c r="BF202" s="3">
        <v>99321</v>
      </c>
      <c r="BG202" s="3">
        <v>9932.27</v>
      </c>
      <c r="BH202" s="3">
        <v>1.1874</v>
      </c>
      <c r="BI202" s="2"/>
      <c r="BS202" s="2"/>
      <c r="CC202" s="2">
        <v>46197</v>
      </c>
      <c r="CD202" s="3" t="s">
        <v>2535</v>
      </c>
      <c r="CE202" s="3" t="s">
        <v>2529</v>
      </c>
      <c r="CF202" s="3" t="s">
        <v>2536</v>
      </c>
      <c r="CG202" s="3">
        <v>0</v>
      </c>
      <c r="CH202" s="3">
        <v>0.16</v>
      </c>
      <c r="CI202" s="3">
        <v>0</v>
      </c>
      <c r="CJ202" s="3">
        <v>232152</v>
      </c>
      <c r="CM202" s="2"/>
      <c r="CW202" s="2"/>
    </row>
    <row r="203" spans="1:101" ht="13.5" customHeight="1" x14ac:dyDescent="0.3">
      <c r="A203" s="2">
        <v>46197</v>
      </c>
      <c r="B203" s="3" t="s">
        <v>1964</v>
      </c>
      <c r="C203" s="3" t="s">
        <v>154</v>
      </c>
      <c r="D203" s="3" t="s">
        <v>1965</v>
      </c>
      <c r="E203" s="3">
        <v>0</v>
      </c>
      <c r="F203" s="3">
        <v>0.23</v>
      </c>
      <c r="G203" s="3">
        <v>0</v>
      </c>
      <c r="H203" s="3">
        <v>257438</v>
      </c>
      <c r="I203" s="3">
        <v>9702.2999999999993</v>
      </c>
      <c r="J203" s="3">
        <v>2.2932999999999999</v>
      </c>
      <c r="K203" s="2"/>
      <c r="U203" s="2"/>
      <c r="AE203" s="2"/>
      <c r="AO203" s="2"/>
      <c r="AY203" s="2">
        <v>46197</v>
      </c>
      <c r="AZ203" s="3" t="s">
        <v>1576</v>
      </c>
      <c r="BA203" s="3" t="s">
        <v>1577</v>
      </c>
      <c r="BB203" s="3" t="s">
        <v>1578</v>
      </c>
      <c r="BC203" s="3">
        <v>0</v>
      </c>
      <c r="BD203" s="3">
        <v>7.0000000000000007E-2</v>
      </c>
      <c r="BE203" s="3">
        <v>0</v>
      </c>
      <c r="BF203" s="3">
        <v>88529</v>
      </c>
      <c r="BG203" s="3">
        <v>10850.23</v>
      </c>
      <c r="BH203" s="3">
        <v>9.9299999999999999E-2</v>
      </c>
      <c r="BI203" s="2"/>
      <c r="BS203" s="2"/>
      <c r="CC203" s="2">
        <v>46197</v>
      </c>
      <c r="CD203" s="3" t="s">
        <v>2537</v>
      </c>
      <c r="CE203" s="3" t="s">
        <v>2529</v>
      </c>
      <c r="CF203" s="3" t="s">
        <v>2538</v>
      </c>
      <c r="CG203" s="3">
        <v>0</v>
      </c>
      <c r="CH203" s="3">
        <v>0.16</v>
      </c>
      <c r="CI203" s="3">
        <v>0</v>
      </c>
      <c r="CJ203" s="3">
        <v>232152</v>
      </c>
      <c r="CM203" s="2"/>
      <c r="CW203" s="2"/>
    </row>
    <row r="204" spans="1:101" ht="13.5" customHeight="1" x14ac:dyDescent="0.3">
      <c r="A204" s="2">
        <v>46197</v>
      </c>
      <c r="B204" s="3" t="s">
        <v>1966</v>
      </c>
      <c r="C204" s="3" t="s">
        <v>159</v>
      </c>
      <c r="D204" s="3" t="s">
        <v>1967</v>
      </c>
      <c r="E204" s="3">
        <v>0</v>
      </c>
      <c r="F204" s="3">
        <v>0.23</v>
      </c>
      <c r="G204" s="3">
        <v>0</v>
      </c>
      <c r="H204" s="3">
        <v>257349</v>
      </c>
      <c r="I204" s="3">
        <v>9698.08</v>
      </c>
      <c r="J204" s="3">
        <v>2.1219000000000001</v>
      </c>
      <c r="K204" s="2"/>
      <c r="U204" s="2"/>
      <c r="AE204" s="2"/>
      <c r="AO204" s="2"/>
      <c r="AY204" s="2">
        <v>46197</v>
      </c>
      <c r="AZ204" s="3" t="s">
        <v>1579</v>
      </c>
      <c r="BA204" s="3" t="s">
        <v>1242</v>
      </c>
      <c r="BB204" s="3" t="s">
        <v>1580</v>
      </c>
      <c r="BC204" s="3">
        <v>0</v>
      </c>
      <c r="BD204" s="3">
        <v>7.0000000000000007E-2</v>
      </c>
      <c r="BE204" s="3">
        <v>0</v>
      </c>
      <c r="BF204" s="3">
        <v>85967</v>
      </c>
      <c r="BI204" s="2"/>
      <c r="BS204" s="2"/>
      <c r="CC204" s="2">
        <v>46197</v>
      </c>
      <c r="CD204" s="3" t="s">
        <v>2539</v>
      </c>
      <c r="CE204" s="3" t="s">
        <v>2529</v>
      </c>
      <c r="CF204" s="3" t="s">
        <v>2540</v>
      </c>
      <c r="CG204" s="3">
        <v>0</v>
      </c>
      <c r="CH204" s="3">
        <v>0.16</v>
      </c>
      <c r="CI204" s="3">
        <v>0</v>
      </c>
      <c r="CJ204" s="3">
        <v>232152</v>
      </c>
      <c r="CM204" s="2"/>
      <c r="CW204" s="2"/>
    </row>
    <row r="205" spans="1:101" ht="13.5" customHeight="1" x14ac:dyDescent="0.3">
      <c r="A205" s="2">
        <v>46197</v>
      </c>
      <c r="B205" s="3" t="s">
        <v>1968</v>
      </c>
      <c r="C205" s="3" t="s">
        <v>862</v>
      </c>
      <c r="D205" s="3" t="s">
        <v>1969</v>
      </c>
      <c r="E205" s="3">
        <v>0</v>
      </c>
      <c r="F205" s="3">
        <v>0.23</v>
      </c>
      <c r="G205" s="3">
        <v>0</v>
      </c>
      <c r="H205" s="3">
        <v>257267</v>
      </c>
      <c r="I205" s="3">
        <v>9696.69</v>
      </c>
      <c r="J205" s="3">
        <v>2.4325000000000001</v>
      </c>
      <c r="K205" s="2"/>
      <c r="U205" s="2"/>
      <c r="AE205" s="2"/>
      <c r="AO205" s="2"/>
      <c r="AY205" s="2">
        <v>46197</v>
      </c>
      <c r="AZ205" s="3" t="s">
        <v>1581</v>
      </c>
      <c r="BA205" s="3" t="s">
        <v>351</v>
      </c>
      <c r="BB205" s="3" t="s">
        <v>1126</v>
      </c>
      <c r="BC205" s="3">
        <v>0</v>
      </c>
      <c r="BD205" s="3">
        <v>7.0000000000000007E-2</v>
      </c>
      <c r="BE205" s="3">
        <v>0</v>
      </c>
      <c r="BF205" s="3">
        <v>85351</v>
      </c>
      <c r="BI205" s="2"/>
      <c r="BS205" s="2"/>
      <c r="CC205" s="2">
        <v>46197</v>
      </c>
      <c r="CD205" s="3" t="s">
        <v>2541</v>
      </c>
      <c r="CE205" s="3" t="s">
        <v>2529</v>
      </c>
      <c r="CF205" s="3" t="s">
        <v>2542</v>
      </c>
      <c r="CG205" s="3">
        <v>0</v>
      </c>
      <c r="CH205" s="3">
        <v>0.16</v>
      </c>
      <c r="CI205" s="3">
        <v>0</v>
      </c>
      <c r="CJ205" s="3">
        <v>232152</v>
      </c>
      <c r="CM205" s="2"/>
      <c r="CW205" s="2"/>
    </row>
    <row r="206" spans="1:101" ht="13.5" customHeight="1" x14ac:dyDescent="0.3">
      <c r="A206" s="2">
        <v>46197</v>
      </c>
      <c r="B206" s="3" t="s">
        <v>509</v>
      </c>
      <c r="C206" s="3" t="s">
        <v>510</v>
      </c>
      <c r="D206" s="3" t="s">
        <v>511</v>
      </c>
      <c r="E206" s="3">
        <v>0</v>
      </c>
      <c r="F206" s="3">
        <v>0.23</v>
      </c>
      <c r="G206" s="3">
        <v>0</v>
      </c>
      <c r="H206" s="3">
        <v>257032</v>
      </c>
      <c r="I206" s="3">
        <v>9687.84</v>
      </c>
      <c r="J206" s="3">
        <v>2.6539000000000001</v>
      </c>
      <c r="K206" s="2"/>
      <c r="U206" s="2"/>
      <c r="AE206" s="2"/>
      <c r="AO206" s="2"/>
      <c r="AY206" s="2">
        <v>46197</v>
      </c>
      <c r="AZ206" s="3" t="s">
        <v>1582</v>
      </c>
      <c r="BA206" s="3" t="s">
        <v>29</v>
      </c>
      <c r="BB206" s="3" t="s">
        <v>1583</v>
      </c>
      <c r="BC206" s="3">
        <v>0</v>
      </c>
      <c r="BD206" s="3">
        <v>0.06</v>
      </c>
      <c r="BE206" s="3">
        <v>0</v>
      </c>
      <c r="BF206" s="3">
        <v>80485</v>
      </c>
      <c r="BG206" s="3">
        <v>9779.49</v>
      </c>
      <c r="BH206" s="3">
        <v>6.4259000000000004</v>
      </c>
      <c r="BI206" s="2"/>
      <c r="BS206" s="2"/>
      <c r="CC206" s="2">
        <v>46197</v>
      </c>
      <c r="CD206" s="3" t="s">
        <v>2543</v>
      </c>
      <c r="CE206" s="3" t="s">
        <v>2529</v>
      </c>
      <c r="CF206" s="3" t="s">
        <v>2544</v>
      </c>
      <c r="CG206" s="3">
        <v>0</v>
      </c>
      <c r="CH206" s="3">
        <v>0.16</v>
      </c>
      <c r="CI206" s="3">
        <v>0</v>
      </c>
      <c r="CJ206" s="3">
        <v>232152</v>
      </c>
      <c r="CM206" s="2"/>
      <c r="CW206" s="2"/>
    </row>
    <row r="207" spans="1:101" ht="13.5" customHeight="1" x14ac:dyDescent="0.3">
      <c r="A207" s="2">
        <v>46197</v>
      </c>
      <c r="B207" s="3" t="s">
        <v>1970</v>
      </c>
      <c r="C207" s="3" t="s">
        <v>1971</v>
      </c>
      <c r="D207" s="3" t="s">
        <v>1972</v>
      </c>
      <c r="E207" s="3">
        <v>0</v>
      </c>
      <c r="F207" s="3">
        <v>0.23</v>
      </c>
      <c r="G207" s="3">
        <v>0</v>
      </c>
      <c r="H207" s="3">
        <v>256911</v>
      </c>
      <c r="I207" s="3">
        <v>9682.42</v>
      </c>
      <c r="J207" s="3">
        <v>2.3235000000000001</v>
      </c>
      <c r="K207" s="2"/>
      <c r="U207" s="2"/>
      <c r="AE207" s="2"/>
      <c r="AO207" s="2"/>
      <c r="AY207" s="2">
        <v>46197</v>
      </c>
      <c r="AZ207" s="3" t="s">
        <v>1584</v>
      </c>
      <c r="BA207" s="3" t="s">
        <v>29</v>
      </c>
      <c r="BB207" s="3" t="s">
        <v>1585</v>
      </c>
      <c r="BC207" s="3">
        <v>0</v>
      </c>
      <c r="BD207" s="3">
        <v>0.06</v>
      </c>
      <c r="BE207" s="3">
        <v>0</v>
      </c>
      <c r="BF207" s="3">
        <v>79191</v>
      </c>
      <c r="BG207" s="3">
        <v>9938.09</v>
      </c>
      <c r="BH207" s="3">
        <v>0.45629999999999998</v>
      </c>
      <c r="BI207" s="2"/>
      <c r="BS207" s="2"/>
      <c r="CC207" s="2">
        <v>46197</v>
      </c>
      <c r="CD207" s="3" t="s">
        <v>2545</v>
      </c>
      <c r="CE207" s="3" t="s">
        <v>2546</v>
      </c>
      <c r="CF207" s="3" t="s">
        <v>2547</v>
      </c>
      <c r="CG207" s="3">
        <v>0</v>
      </c>
      <c r="CH207" s="3">
        <v>0.16</v>
      </c>
      <c r="CI207" s="3">
        <v>0</v>
      </c>
      <c r="CJ207" s="3">
        <v>231771</v>
      </c>
      <c r="CM207" s="2"/>
      <c r="CW207" s="2"/>
    </row>
    <row r="208" spans="1:101" ht="13.5" customHeight="1" x14ac:dyDescent="0.3">
      <c r="A208" s="2">
        <v>46197</v>
      </c>
      <c r="B208" s="3" t="s">
        <v>1973</v>
      </c>
      <c r="C208" s="3" t="s">
        <v>108</v>
      </c>
      <c r="D208" s="3" t="s">
        <v>1974</v>
      </c>
      <c r="E208" s="3">
        <v>0</v>
      </c>
      <c r="F208" s="3">
        <v>0.23</v>
      </c>
      <c r="G208" s="3">
        <v>0</v>
      </c>
      <c r="H208" s="3">
        <v>256426</v>
      </c>
      <c r="I208" s="3">
        <v>9664.11</v>
      </c>
      <c r="J208" s="3">
        <v>2.3344999999999998</v>
      </c>
      <c r="K208" s="2"/>
      <c r="U208" s="2"/>
      <c r="AE208" s="2"/>
      <c r="AO208" s="2"/>
      <c r="AY208" s="2">
        <v>46197</v>
      </c>
      <c r="AZ208" s="3" t="s">
        <v>1586</v>
      </c>
      <c r="BA208" s="3" t="s">
        <v>1587</v>
      </c>
      <c r="BB208" s="3" t="s">
        <v>1588</v>
      </c>
      <c r="BC208" s="3">
        <v>0</v>
      </c>
      <c r="BD208" s="3">
        <v>0.06</v>
      </c>
      <c r="BE208" s="3">
        <v>0</v>
      </c>
      <c r="BF208" s="3">
        <v>78713</v>
      </c>
      <c r="BG208" s="3">
        <v>10236.75</v>
      </c>
      <c r="BH208" s="3">
        <v>4.8315000000000001</v>
      </c>
      <c r="BI208" s="2"/>
      <c r="BS208" s="2"/>
      <c r="CC208" s="2">
        <v>46197</v>
      </c>
      <c r="CD208" s="3" t="s">
        <v>2548</v>
      </c>
      <c r="CE208" s="3" t="s">
        <v>2546</v>
      </c>
      <c r="CF208" s="3" t="s">
        <v>2549</v>
      </c>
      <c r="CG208" s="3">
        <v>0</v>
      </c>
      <c r="CH208" s="3">
        <v>0.16</v>
      </c>
      <c r="CI208" s="3">
        <v>0</v>
      </c>
      <c r="CJ208" s="3">
        <v>231771</v>
      </c>
      <c r="CM208" s="2"/>
      <c r="CW208" s="2"/>
    </row>
    <row r="209" spans="1:101" ht="13.5" customHeight="1" x14ac:dyDescent="0.3">
      <c r="A209" s="2">
        <v>46197</v>
      </c>
      <c r="B209" s="3" t="s">
        <v>1975</v>
      </c>
      <c r="C209" s="3" t="s">
        <v>1976</v>
      </c>
      <c r="D209" s="3" t="s">
        <v>1977</v>
      </c>
      <c r="E209" s="3">
        <v>0</v>
      </c>
      <c r="F209" s="3">
        <v>0.23</v>
      </c>
      <c r="G209" s="3">
        <v>0</v>
      </c>
      <c r="H209" s="3">
        <v>256303</v>
      </c>
      <c r="I209" s="3">
        <v>9660.36</v>
      </c>
      <c r="J209" s="3">
        <v>2.6753</v>
      </c>
      <c r="K209" s="2"/>
      <c r="U209" s="2"/>
      <c r="AE209" s="2"/>
      <c r="AO209" s="2"/>
      <c r="AY209" s="2">
        <v>46197</v>
      </c>
      <c r="AZ209" s="3" t="s">
        <v>1589</v>
      </c>
      <c r="BA209" s="3" t="s">
        <v>523</v>
      </c>
      <c r="BB209" s="3" t="s">
        <v>1590</v>
      </c>
      <c r="BC209" s="3">
        <v>0</v>
      </c>
      <c r="BD209" s="3">
        <v>0.06</v>
      </c>
      <c r="BE209" s="3">
        <v>0</v>
      </c>
      <c r="BF209" s="3">
        <v>77870</v>
      </c>
      <c r="BG209" s="3">
        <v>10124.42</v>
      </c>
      <c r="BH209" s="3">
        <v>1.4886999999999999</v>
      </c>
      <c r="BI209" s="2"/>
      <c r="BS209" s="2"/>
      <c r="CC209" s="2">
        <v>46197</v>
      </c>
      <c r="CD209" s="3" t="s">
        <v>2550</v>
      </c>
      <c r="CE209" s="3" t="s">
        <v>2546</v>
      </c>
      <c r="CF209" s="3" t="s">
        <v>2551</v>
      </c>
      <c r="CG209" s="3">
        <v>0</v>
      </c>
      <c r="CH209" s="3">
        <v>0.16</v>
      </c>
      <c r="CI209" s="3">
        <v>0</v>
      </c>
      <c r="CJ209" s="3">
        <v>231771</v>
      </c>
      <c r="CM209" s="2"/>
      <c r="CW209" s="2"/>
    </row>
    <row r="210" spans="1:101" ht="13.5" customHeight="1" x14ac:dyDescent="0.3">
      <c r="A210" s="2">
        <v>46197</v>
      </c>
      <c r="B210" s="3" t="s">
        <v>1978</v>
      </c>
      <c r="C210" s="3" t="s">
        <v>1979</v>
      </c>
      <c r="D210" s="3" t="s">
        <v>1980</v>
      </c>
      <c r="E210" s="3">
        <v>0</v>
      </c>
      <c r="F210" s="3">
        <v>0.23</v>
      </c>
      <c r="G210" s="3">
        <v>0</v>
      </c>
      <c r="H210" s="3">
        <v>255973</v>
      </c>
      <c r="I210" s="3">
        <v>9647.4699999999993</v>
      </c>
      <c r="J210" s="3">
        <v>2.2545999999999999</v>
      </c>
      <c r="K210" s="2"/>
      <c r="U210" s="2"/>
      <c r="AE210" s="2"/>
      <c r="AO210" s="2"/>
      <c r="AY210" s="2">
        <v>46197</v>
      </c>
      <c r="AZ210" s="3" t="s">
        <v>1591</v>
      </c>
      <c r="BA210" s="3" t="s">
        <v>934</v>
      </c>
      <c r="BB210" s="3" t="s">
        <v>1592</v>
      </c>
      <c r="BC210" s="3">
        <v>0</v>
      </c>
      <c r="BD210" s="3">
        <v>0.06</v>
      </c>
      <c r="BE210" s="3">
        <v>0</v>
      </c>
      <c r="BF210" s="3">
        <v>77577</v>
      </c>
      <c r="BG210" s="3">
        <v>10085.6</v>
      </c>
      <c r="BH210" s="3">
        <v>2.0194000000000001</v>
      </c>
      <c r="BI210" s="2"/>
      <c r="BS210" s="2"/>
      <c r="CC210" s="2">
        <v>46197</v>
      </c>
      <c r="CD210" s="3" t="s">
        <v>2552</v>
      </c>
      <c r="CE210" s="3" t="s">
        <v>2546</v>
      </c>
      <c r="CF210" s="3" t="s">
        <v>2553</v>
      </c>
      <c r="CG210" s="3">
        <v>0</v>
      </c>
      <c r="CH210" s="3">
        <v>0.16</v>
      </c>
      <c r="CI210" s="3">
        <v>0</v>
      </c>
      <c r="CJ210" s="3">
        <v>231771</v>
      </c>
      <c r="CM210" s="2"/>
      <c r="CW210" s="2"/>
    </row>
    <row r="211" spans="1:101" ht="13.5" customHeight="1" x14ac:dyDescent="0.3">
      <c r="A211" s="2">
        <v>46197</v>
      </c>
      <c r="B211" s="3" t="s">
        <v>1981</v>
      </c>
      <c r="C211" s="3" t="s">
        <v>1571</v>
      </c>
      <c r="D211" s="3" t="s">
        <v>1982</v>
      </c>
      <c r="E211" s="3">
        <v>0</v>
      </c>
      <c r="F211" s="3">
        <v>0.23</v>
      </c>
      <c r="G211" s="3">
        <v>0</v>
      </c>
      <c r="H211" s="3">
        <v>255925</v>
      </c>
      <c r="I211" s="3">
        <v>9645.39</v>
      </c>
      <c r="J211" s="3">
        <v>1.9025000000000001</v>
      </c>
      <c r="K211" s="2"/>
      <c r="U211" s="2"/>
      <c r="AE211" s="2"/>
      <c r="AO211" s="2"/>
      <c r="AY211" s="2">
        <v>46197</v>
      </c>
      <c r="AZ211" s="3" t="s">
        <v>1593</v>
      </c>
      <c r="BA211" s="3" t="s">
        <v>1594</v>
      </c>
      <c r="BB211" s="3" t="s">
        <v>1595</v>
      </c>
      <c r="BC211" s="3">
        <v>0</v>
      </c>
      <c r="BD211" s="3">
        <v>0.06</v>
      </c>
      <c r="BE211" s="3">
        <v>0</v>
      </c>
      <c r="BF211" s="3">
        <v>77541</v>
      </c>
      <c r="BG211" s="3">
        <v>10081.09</v>
      </c>
      <c r="BH211" s="3">
        <v>0.39950000000000002</v>
      </c>
      <c r="BI211" s="2"/>
      <c r="BS211" s="2"/>
      <c r="CC211" s="2">
        <v>46197</v>
      </c>
      <c r="CD211" s="3" t="s">
        <v>2554</v>
      </c>
      <c r="CE211" s="3" t="s">
        <v>2546</v>
      </c>
      <c r="CF211" s="3" t="s">
        <v>2555</v>
      </c>
      <c r="CG211" s="3">
        <v>0</v>
      </c>
      <c r="CH211" s="3">
        <v>0.16</v>
      </c>
      <c r="CI211" s="3">
        <v>0</v>
      </c>
      <c r="CJ211" s="3">
        <v>231771</v>
      </c>
      <c r="CM211" s="2"/>
      <c r="CW211" s="2"/>
    </row>
    <row r="212" spans="1:101" ht="13.5" customHeight="1" x14ac:dyDescent="0.3">
      <c r="A212" s="2">
        <v>46197</v>
      </c>
      <c r="B212" s="3" t="s">
        <v>1983</v>
      </c>
      <c r="C212" s="3" t="s">
        <v>304</v>
      </c>
      <c r="D212" s="3" t="s">
        <v>1984</v>
      </c>
      <c r="E212" s="3">
        <v>0</v>
      </c>
      <c r="F212" s="3">
        <v>0.23</v>
      </c>
      <c r="G212" s="3">
        <v>0</v>
      </c>
      <c r="H212" s="3">
        <v>255884</v>
      </c>
      <c r="I212" s="3">
        <v>9643.89</v>
      </c>
      <c r="J212" s="3">
        <v>3.4180000000000001</v>
      </c>
      <c r="K212" s="2"/>
      <c r="U212" s="2"/>
      <c r="AE212" s="2"/>
      <c r="AO212" s="2"/>
      <c r="AY212" s="2">
        <v>46197</v>
      </c>
      <c r="AZ212" s="3" t="s">
        <v>1596</v>
      </c>
      <c r="BA212" s="3" t="s">
        <v>569</v>
      </c>
      <c r="BB212" s="3" t="s">
        <v>1597</v>
      </c>
      <c r="BC212" s="3">
        <v>0</v>
      </c>
      <c r="BD212" s="3">
        <v>0.06</v>
      </c>
      <c r="BE212" s="3">
        <v>0</v>
      </c>
      <c r="BF212" s="3">
        <v>77132</v>
      </c>
      <c r="BG212" s="3">
        <v>10027.91</v>
      </c>
      <c r="BH212" s="3">
        <v>3.9424999999999999</v>
      </c>
      <c r="BI212" s="2"/>
      <c r="BS212" s="2"/>
      <c r="CC212" s="2">
        <v>46197</v>
      </c>
      <c r="CD212" s="3" t="s">
        <v>2556</v>
      </c>
      <c r="CE212" s="3" t="s">
        <v>2546</v>
      </c>
      <c r="CF212" s="3" t="s">
        <v>2557</v>
      </c>
      <c r="CG212" s="3">
        <v>0</v>
      </c>
      <c r="CH212" s="3">
        <v>0.16</v>
      </c>
      <c r="CI212" s="3">
        <v>0</v>
      </c>
      <c r="CJ212" s="3">
        <v>231771</v>
      </c>
      <c r="CM212" s="2"/>
      <c r="CW212" s="2"/>
    </row>
    <row r="213" spans="1:101" ht="13.5" customHeight="1" x14ac:dyDescent="0.3">
      <c r="A213" s="2">
        <v>46197</v>
      </c>
      <c r="B213" s="3" t="s">
        <v>1985</v>
      </c>
      <c r="C213" s="3" t="s">
        <v>1444</v>
      </c>
      <c r="D213" s="3" t="s">
        <v>1986</v>
      </c>
      <c r="E213" s="3">
        <v>0</v>
      </c>
      <c r="F213" s="3">
        <v>0.23</v>
      </c>
      <c r="G213" s="3">
        <v>0</v>
      </c>
      <c r="H213" s="3">
        <v>255694</v>
      </c>
      <c r="I213" s="3">
        <v>9636.01</v>
      </c>
      <c r="J213" s="3">
        <v>3.1696</v>
      </c>
      <c r="K213" s="2"/>
      <c r="U213" s="2"/>
      <c r="AE213" s="2"/>
      <c r="AO213" s="2"/>
      <c r="AY213" s="2">
        <v>46197</v>
      </c>
      <c r="AZ213" s="3" t="s">
        <v>1598</v>
      </c>
      <c r="BA213" s="3" t="s">
        <v>92</v>
      </c>
      <c r="BB213" s="3" t="s">
        <v>1599</v>
      </c>
      <c r="BC213" s="3">
        <v>0</v>
      </c>
      <c r="BD213" s="3">
        <v>0.06</v>
      </c>
      <c r="BE213" s="3">
        <v>0</v>
      </c>
      <c r="BF213" s="3">
        <v>77120</v>
      </c>
      <c r="BG213" s="3">
        <v>10026.49</v>
      </c>
      <c r="BH213" s="3">
        <v>1.7262999999999999</v>
      </c>
      <c r="BI213" s="2"/>
      <c r="BS213" s="2"/>
      <c r="CC213" s="2">
        <v>46197</v>
      </c>
      <c r="CD213" s="3" t="s">
        <v>2558</v>
      </c>
      <c r="CE213" s="3" t="s">
        <v>1082</v>
      </c>
      <c r="CF213" s="3" t="s">
        <v>2559</v>
      </c>
      <c r="CG213" s="3">
        <v>0</v>
      </c>
      <c r="CH213" s="3">
        <v>0.16</v>
      </c>
      <c r="CI213" s="3">
        <v>0</v>
      </c>
      <c r="CJ213" s="3">
        <v>231574</v>
      </c>
      <c r="CK213" s="3">
        <v>9864</v>
      </c>
      <c r="CL213" s="3">
        <v>1.45</v>
      </c>
      <c r="CM213" s="2"/>
      <c r="CW213" s="2"/>
    </row>
    <row r="214" spans="1:101" ht="13.5" customHeight="1" x14ac:dyDescent="0.3">
      <c r="A214" s="2">
        <v>46197</v>
      </c>
      <c r="B214" s="3" t="s">
        <v>1987</v>
      </c>
      <c r="C214" s="3" t="s">
        <v>1675</v>
      </c>
      <c r="D214" s="3" t="s">
        <v>1988</v>
      </c>
      <c r="E214" s="3">
        <v>0</v>
      </c>
      <c r="F214" s="3">
        <v>0.23</v>
      </c>
      <c r="G214" s="3">
        <v>0</v>
      </c>
      <c r="H214" s="3">
        <v>255635</v>
      </c>
      <c r="I214" s="3">
        <v>9633.39</v>
      </c>
      <c r="J214" s="3">
        <v>3.2858000000000001</v>
      </c>
      <c r="K214" s="2"/>
      <c r="U214" s="2"/>
      <c r="AE214" s="2"/>
      <c r="AO214" s="2"/>
      <c r="AY214" s="2">
        <v>46197</v>
      </c>
      <c r="AZ214" s="3" t="s">
        <v>1600</v>
      </c>
      <c r="BA214" s="3" t="s">
        <v>855</v>
      </c>
      <c r="BB214" s="3" t="s">
        <v>1601</v>
      </c>
      <c r="BC214" s="3">
        <v>0</v>
      </c>
      <c r="BD214" s="3">
        <v>0.06</v>
      </c>
      <c r="BE214" s="3">
        <v>0</v>
      </c>
      <c r="BF214" s="3">
        <v>76788</v>
      </c>
      <c r="BG214" s="3">
        <v>9983.58</v>
      </c>
      <c r="BH214" s="3">
        <v>1.4685999999999999</v>
      </c>
      <c r="BI214" s="2"/>
      <c r="BS214" s="2"/>
      <c r="CC214" s="2">
        <v>46197</v>
      </c>
      <c r="CD214" s="3" t="s">
        <v>2560</v>
      </c>
      <c r="CE214" s="3" t="s">
        <v>1134</v>
      </c>
      <c r="CF214" s="3" t="s">
        <v>2561</v>
      </c>
      <c r="CG214" s="3">
        <v>0</v>
      </c>
      <c r="CH214" s="3">
        <v>0.16</v>
      </c>
      <c r="CI214" s="3">
        <v>0</v>
      </c>
      <c r="CJ214" s="3">
        <v>231479</v>
      </c>
      <c r="CM214" s="2"/>
      <c r="CW214" s="2"/>
    </row>
    <row r="215" spans="1:101" ht="13.5" customHeight="1" x14ac:dyDescent="0.3">
      <c r="A215" s="2">
        <v>46197</v>
      </c>
      <c r="B215" s="3" t="s">
        <v>1989</v>
      </c>
      <c r="C215" s="3" t="s">
        <v>1288</v>
      </c>
      <c r="D215" s="3" t="s">
        <v>1990</v>
      </c>
      <c r="E215" s="3">
        <v>0</v>
      </c>
      <c r="F215" s="3">
        <v>0.23</v>
      </c>
      <c r="G215" s="3">
        <v>0</v>
      </c>
      <c r="H215" s="3">
        <v>255471</v>
      </c>
      <c r="I215" s="3">
        <v>9628</v>
      </c>
      <c r="J215" s="3">
        <v>2.6684000000000001</v>
      </c>
      <c r="K215" s="2"/>
      <c r="U215" s="2"/>
      <c r="AE215" s="2"/>
      <c r="AO215" s="2"/>
      <c r="AY215" s="2">
        <v>46197</v>
      </c>
      <c r="AZ215" s="3" t="s">
        <v>1602</v>
      </c>
      <c r="BA215" s="3" t="s">
        <v>257</v>
      </c>
      <c r="BB215" s="3" t="s">
        <v>1603</v>
      </c>
      <c r="BC215" s="3">
        <v>0</v>
      </c>
      <c r="BD215" s="3">
        <v>0.06</v>
      </c>
      <c r="BE215" s="3">
        <v>0</v>
      </c>
      <c r="BF215" s="3">
        <v>76699</v>
      </c>
      <c r="BG215" s="3">
        <v>9971.5499999999993</v>
      </c>
      <c r="BH215" s="3">
        <v>0.38450000000000001</v>
      </c>
      <c r="BI215" s="2"/>
      <c r="BS215" s="2"/>
      <c r="CC215" s="2">
        <v>46197</v>
      </c>
      <c r="CD215" s="3" t="s">
        <v>2562</v>
      </c>
      <c r="CE215" s="3" t="s">
        <v>2563</v>
      </c>
      <c r="CF215" s="3" t="s">
        <v>2564</v>
      </c>
      <c r="CG215" s="3">
        <v>0</v>
      </c>
      <c r="CH215" s="3">
        <v>0.16</v>
      </c>
      <c r="CI215" s="3">
        <v>0</v>
      </c>
      <c r="CJ215" s="3">
        <v>231350</v>
      </c>
      <c r="CM215" s="2"/>
      <c r="CW215" s="2"/>
    </row>
    <row r="216" spans="1:101" ht="13.5" customHeight="1" x14ac:dyDescent="0.3">
      <c r="A216" s="2">
        <v>46197</v>
      </c>
      <c r="B216" s="3" t="s">
        <v>1991</v>
      </c>
      <c r="C216" s="3" t="s">
        <v>1992</v>
      </c>
      <c r="D216" s="3" t="s">
        <v>1993</v>
      </c>
      <c r="E216" s="3">
        <v>0</v>
      </c>
      <c r="F216" s="3">
        <v>0.23</v>
      </c>
      <c r="G216" s="3">
        <v>0</v>
      </c>
      <c r="H216" s="3">
        <v>255437</v>
      </c>
      <c r="I216" s="3">
        <v>9626.2900000000009</v>
      </c>
      <c r="J216" s="3">
        <v>3.4035000000000002</v>
      </c>
      <c r="K216" s="2"/>
      <c r="U216" s="2"/>
      <c r="AE216" s="2"/>
      <c r="AO216" s="2"/>
      <c r="AY216" s="2">
        <v>46197</v>
      </c>
      <c r="AZ216" s="3" t="s">
        <v>1604</v>
      </c>
      <c r="BA216" s="3" t="s">
        <v>307</v>
      </c>
      <c r="BB216" s="3" t="s">
        <v>1605</v>
      </c>
      <c r="BC216" s="3">
        <v>0</v>
      </c>
      <c r="BD216" s="3">
        <v>0.06</v>
      </c>
      <c r="BE216" s="3">
        <v>0</v>
      </c>
      <c r="BF216" s="3">
        <v>76404</v>
      </c>
      <c r="BG216" s="3">
        <v>9932.7800000000007</v>
      </c>
      <c r="BH216" s="3">
        <v>2.3517000000000001</v>
      </c>
      <c r="BI216" s="2"/>
      <c r="BS216" s="2"/>
      <c r="CC216" s="2">
        <v>46197</v>
      </c>
      <c r="CD216" s="3" t="s">
        <v>2565</v>
      </c>
      <c r="CE216" s="3" t="s">
        <v>2566</v>
      </c>
      <c r="CF216" s="3" t="s">
        <v>2567</v>
      </c>
      <c r="CG216" s="3">
        <v>0</v>
      </c>
      <c r="CH216" s="3">
        <v>0.16</v>
      </c>
      <c r="CI216" s="3">
        <v>0</v>
      </c>
      <c r="CJ216" s="3">
        <v>231348</v>
      </c>
      <c r="CM216" s="2"/>
      <c r="CW216" s="2"/>
    </row>
    <row r="217" spans="1:101" ht="13.5" customHeight="1" x14ac:dyDescent="0.3">
      <c r="A217" s="2">
        <v>46197</v>
      </c>
      <c r="B217" s="3" t="s">
        <v>1994</v>
      </c>
      <c r="C217" s="3" t="s">
        <v>131</v>
      </c>
      <c r="D217" s="3" t="s">
        <v>1995</v>
      </c>
      <c r="E217" s="3">
        <v>0</v>
      </c>
      <c r="F217" s="3">
        <v>0.23</v>
      </c>
      <c r="G217" s="3">
        <v>0</v>
      </c>
      <c r="H217" s="3">
        <v>254731</v>
      </c>
      <c r="I217" s="3">
        <v>9600.51</v>
      </c>
      <c r="J217" s="3">
        <v>1.1745000000000001</v>
      </c>
      <c r="K217" s="2"/>
      <c r="U217" s="2"/>
      <c r="AE217" s="2"/>
      <c r="AO217" s="2"/>
      <c r="AY217" s="2">
        <v>46197</v>
      </c>
      <c r="AZ217" s="3" t="s">
        <v>1606</v>
      </c>
      <c r="BA217" s="3" t="s">
        <v>1607</v>
      </c>
      <c r="BB217" s="3" t="s">
        <v>1608</v>
      </c>
      <c r="BC217" s="3">
        <v>0</v>
      </c>
      <c r="BD217" s="3">
        <v>0.06</v>
      </c>
      <c r="BE217" s="3">
        <v>0</v>
      </c>
      <c r="BF217" s="3">
        <v>75138</v>
      </c>
      <c r="BG217" s="3">
        <v>9768.86</v>
      </c>
      <c r="BH217" s="3">
        <v>2.1825999999999999</v>
      </c>
      <c r="BI217" s="2"/>
      <c r="BS217" s="2"/>
      <c r="CC217" s="2">
        <v>46197</v>
      </c>
      <c r="CD217" s="3" t="s">
        <v>2568</v>
      </c>
      <c r="CE217" s="3" t="s">
        <v>2569</v>
      </c>
      <c r="CF217" s="3" t="s">
        <v>2570</v>
      </c>
      <c r="CG217" s="3">
        <v>0</v>
      </c>
      <c r="CH217" s="3">
        <v>0.16</v>
      </c>
      <c r="CI217" s="3">
        <v>0</v>
      </c>
      <c r="CJ217" s="3">
        <v>231278</v>
      </c>
      <c r="CM217" s="2"/>
      <c r="CW217" s="2"/>
    </row>
    <row r="218" spans="1:101" ht="13.5" customHeight="1" x14ac:dyDescent="0.3">
      <c r="A218" s="2">
        <v>46197</v>
      </c>
      <c r="B218" s="3" t="s">
        <v>1996</v>
      </c>
      <c r="C218" s="3" t="s">
        <v>547</v>
      </c>
      <c r="D218" s="3" t="s">
        <v>1997</v>
      </c>
      <c r="E218" s="3">
        <v>0</v>
      </c>
      <c r="F218" s="3">
        <v>0.23</v>
      </c>
      <c r="G218" s="3">
        <v>0</v>
      </c>
      <c r="H218" s="3">
        <v>254116</v>
      </c>
      <c r="I218" s="3">
        <v>9577.25</v>
      </c>
      <c r="J218" s="3">
        <v>3.7227000000000001</v>
      </c>
      <c r="K218" s="2"/>
      <c r="U218" s="2"/>
      <c r="AE218" s="2"/>
      <c r="AO218" s="2"/>
      <c r="AY218" s="2">
        <v>46197</v>
      </c>
      <c r="AZ218" s="3" t="s">
        <v>1300</v>
      </c>
      <c r="BA218" s="3" t="s">
        <v>1301</v>
      </c>
      <c r="BB218" s="3" t="s">
        <v>1302</v>
      </c>
      <c r="BC218" s="3">
        <v>0</v>
      </c>
      <c r="BD218" s="3">
        <v>0.06</v>
      </c>
      <c r="BE218" s="3">
        <v>0</v>
      </c>
      <c r="BF218" s="3">
        <v>74197</v>
      </c>
      <c r="BG218" s="3">
        <v>9646.19</v>
      </c>
      <c r="BH218" s="3">
        <v>3.3451</v>
      </c>
      <c r="BI218" s="2"/>
      <c r="BS218" s="2"/>
      <c r="CC218" s="2">
        <v>46197</v>
      </c>
      <c r="CD218" s="3" t="s">
        <v>2571</v>
      </c>
      <c r="CE218" s="3" t="s">
        <v>2569</v>
      </c>
      <c r="CF218" s="3" t="s">
        <v>2572</v>
      </c>
      <c r="CG218" s="3">
        <v>0</v>
      </c>
      <c r="CH218" s="3">
        <v>0.16</v>
      </c>
      <c r="CI218" s="3">
        <v>0</v>
      </c>
      <c r="CJ218" s="3">
        <v>231278</v>
      </c>
      <c r="CM218" s="2"/>
      <c r="CW218" s="2"/>
    </row>
    <row r="219" spans="1:101" ht="13.5" customHeight="1" x14ac:dyDescent="0.3">
      <c r="A219" s="2">
        <v>46197</v>
      </c>
      <c r="B219" s="3" t="s">
        <v>1998</v>
      </c>
      <c r="C219" s="3" t="s">
        <v>1594</v>
      </c>
      <c r="D219" s="3" t="s">
        <v>1999</v>
      </c>
      <c r="E219" s="3">
        <v>0</v>
      </c>
      <c r="F219" s="3">
        <v>0.23</v>
      </c>
      <c r="G219" s="3">
        <v>0</v>
      </c>
      <c r="H219" s="3">
        <v>254066</v>
      </c>
      <c r="I219" s="3">
        <v>9575.4500000000007</v>
      </c>
      <c r="J219" s="3">
        <v>3.3332999999999999</v>
      </c>
      <c r="K219" s="2"/>
      <c r="U219" s="2"/>
      <c r="AE219" s="2"/>
      <c r="AO219" s="2"/>
      <c r="AY219" s="2">
        <v>46197</v>
      </c>
      <c r="AZ219" s="3" t="s">
        <v>1609</v>
      </c>
      <c r="BA219" s="3" t="s">
        <v>1610</v>
      </c>
      <c r="BB219" s="3" t="s">
        <v>1611</v>
      </c>
      <c r="BC219" s="3">
        <v>0</v>
      </c>
      <c r="BD219" s="3">
        <v>0.05</v>
      </c>
      <c r="BE219" s="3">
        <v>0</v>
      </c>
      <c r="BF219" s="3">
        <v>69009</v>
      </c>
      <c r="BG219" s="3">
        <v>9968.93</v>
      </c>
      <c r="BH219" s="3">
        <v>0.24429999999999999</v>
      </c>
      <c r="BI219" s="2"/>
      <c r="BS219" s="2"/>
      <c r="CC219" s="2">
        <v>46197</v>
      </c>
      <c r="CD219" s="3" t="s">
        <v>2573</v>
      </c>
      <c r="CE219" s="3" t="s">
        <v>2574</v>
      </c>
      <c r="CF219" s="3" t="s">
        <v>2575</v>
      </c>
      <c r="CG219" s="3">
        <v>0</v>
      </c>
      <c r="CH219" s="3">
        <v>0.16</v>
      </c>
      <c r="CI219" s="3">
        <v>0</v>
      </c>
      <c r="CJ219" s="3">
        <v>231185</v>
      </c>
      <c r="CM219" s="2"/>
      <c r="CW219" s="2"/>
    </row>
    <row r="220" spans="1:101" ht="13.5" customHeight="1" x14ac:dyDescent="0.3">
      <c r="A220" s="2">
        <v>46197</v>
      </c>
      <c r="B220" s="3" t="s">
        <v>2000</v>
      </c>
      <c r="C220" s="3" t="s">
        <v>2001</v>
      </c>
      <c r="D220" s="3" t="s">
        <v>2002</v>
      </c>
      <c r="E220" s="3">
        <v>0</v>
      </c>
      <c r="F220" s="3">
        <v>0.23</v>
      </c>
      <c r="G220" s="3">
        <v>0</v>
      </c>
      <c r="H220" s="3">
        <v>254057</v>
      </c>
      <c r="I220" s="3">
        <v>9576.25</v>
      </c>
      <c r="J220" s="3">
        <v>3.4548999999999999</v>
      </c>
      <c r="K220" s="2"/>
      <c r="U220" s="2"/>
      <c r="AE220" s="2"/>
      <c r="AO220" s="2"/>
      <c r="AY220" s="2">
        <v>46197</v>
      </c>
      <c r="AZ220" s="3" t="s">
        <v>744</v>
      </c>
      <c r="BA220" s="3" t="s">
        <v>29</v>
      </c>
      <c r="BB220" s="3" t="s">
        <v>745</v>
      </c>
      <c r="BC220" s="3">
        <v>0</v>
      </c>
      <c r="BD220" s="3">
        <v>0.05</v>
      </c>
      <c r="BE220" s="3">
        <v>0</v>
      </c>
      <c r="BF220" s="3">
        <v>65374</v>
      </c>
      <c r="BG220" s="3">
        <v>8332.7199999999993</v>
      </c>
      <c r="BH220" s="3">
        <v>9.5428999999999995</v>
      </c>
      <c r="BI220" s="2"/>
      <c r="BS220" s="2"/>
      <c r="CC220" s="2">
        <v>46197</v>
      </c>
      <c r="CD220" s="3" t="s">
        <v>2576</v>
      </c>
      <c r="CE220" s="3" t="s">
        <v>2574</v>
      </c>
      <c r="CF220" s="3" t="s">
        <v>2577</v>
      </c>
      <c r="CG220" s="3">
        <v>0</v>
      </c>
      <c r="CH220" s="3">
        <v>0.16</v>
      </c>
      <c r="CI220" s="3">
        <v>0</v>
      </c>
      <c r="CJ220" s="3">
        <v>231185</v>
      </c>
      <c r="CM220" s="2"/>
      <c r="CW220" s="2"/>
    </row>
    <row r="221" spans="1:101" ht="13.5" customHeight="1" x14ac:dyDescent="0.3">
      <c r="A221" s="2">
        <v>46197</v>
      </c>
      <c r="B221" s="3" t="s">
        <v>2003</v>
      </c>
      <c r="C221" s="3" t="s">
        <v>2004</v>
      </c>
      <c r="D221" s="3" t="s">
        <v>2005</v>
      </c>
      <c r="E221" s="3">
        <v>0</v>
      </c>
      <c r="F221" s="3">
        <v>0.23</v>
      </c>
      <c r="G221" s="3">
        <v>0</v>
      </c>
      <c r="H221" s="3">
        <v>253737</v>
      </c>
      <c r="I221" s="3">
        <v>9563.76</v>
      </c>
      <c r="J221" s="3">
        <v>3.544</v>
      </c>
      <c r="K221" s="2"/>
      <c r="U221" s="2"/>
      <c r="AE221" s="2"/>
      <c r="AO221" s="2"/>
      <c r="AY221" s="2">
        <v>46197</v>
      </c>
      <c r="AZ221" s="3" t="s">
        <v>898</v>
      </c>
      <c r="BA221" s="3" t="s">
        <v>899</v>
      </c>
      <c r="BB221" s="3" t="s">
        <v>900</v>
      </c>
      <c r="BC221" s="3">
        <v>0</v>
      </c>
      <c r="BD221" s="3">
        <v>0.05</v>
      </c>
      <c r="BE221" s="3">
        <v>0</v>
      </c>
      <c r="BF221" s="3">
        <v>59053</v>
      </c>
      <c r="BG221" s="3">
        <v>10084.08</v>
      </c>
      <c r="BH221" s="3">
        <v>1.571</v>
      </c>
      <c r="BI221" s="2"/>
      <c r="BS221" s="2"/>
      <c r="CC221" s="2">
        <v>46197</v>
      </c>
      <c r="CD221" s="3" t="s">
        <v>2578</v>
      </c>
      <c r="CE221" s="3" t="s">
        <v>2574</v>
      </c>
      <c r="CF221" s="3" t="s">
        <v>2579</v>
      </c>
      <c r="CG221" s="3">
        <v>0</v>
      </c>
      <c r="CH221" s="3">
        <v>0.16</v>
      </c>
      <c r="CI221" s="3">
        <v>0</v>
      </c>
      <c r="CJ221" s="3">
        <v>231185</v>
      </c>
      <c r="CM221" s="2"/>
      <c r="CW221" s="2"/>
    </row>
    <row r="222" spans="1:101" ht="13.5" customHeight="1" x14ac:dyDescent="0.3">
      <c r="A222" s="2">
        <v>46197</v>
      </c>
      <c r="B222" s="3" t="s">
        <v>2006</v>
      </c>
      <c r="C222" s="3" t="s">
        <v>2007</v>
      </c>
      <c r="D222" s="3" t="s">
        <v>2008</v>
      </c>
      <c r="E222" s="3">
        <v>0</v>
      </c>
      <c r="F222" s="3">
        <v>0.23</v>
      </c>
      <c r="G222" s="3">
        <v>0</v>
      </c>
      <c r="H222" s="3">
        <v>253373</v>
      </c>
      <c r="I222" s="3">
        <v>9548.6299999999992</v>
      </c>
      <c r="J222" s="3">
        <v>3.5276999999999998</v>
      </c>
      <c r="K222" s="2"/>
      <c r="U222" s="2"/>
      <c r="AE222" s="2"/>
      <c r="AO222" s="2"/>
      <c r="AY222" s="2">
        <v>46197</v>
      </c>
      <c r="AZ222" s="3" t="s">
        <v>1612</v>
      </c>
      <c r="BA222" s="3" t="s">
        <v>1613</v>
      </c>
      <c r="BB222" s="3" t="s">
        <v>1614</v>
      </c>
      <c r="BC222" s="3">
        <v>0</v>
      </c>
      <c r="BD222" s="3">
        <v>0.05</v>
      </c>
      <c r="BE222" s="3">
        <v>0</v>
      </c>
      <c r="BF222" s="3">
        <v>58820</v>
      </c>
      <c r="BG222" s="3">
        <v>10044.379999999999</v>
      </c>
      <c r="BH222" s="3">
        <v>1.0250999999999999</v>
      </c>
      <c r="BI222" s="2"/>
      <c r="BS222" s="2"/>
      <c r="CC222" s="2">
        <v>46197</v>
      </c>
      <c r="CD222" s="3" t="s">
        <v>2580</v>
      </c>
      <c r="CE222" s="3" t="s">
        <v>2574</v>
      </c>
      <c r="CF222" s="3" t="s">
        <v>2581</v>
      </c>
      <c r="CG222" s="3">
        <v>0</v>
      </c>
      <c r="CH222" s="3">
        <v>0.16</v>
      </c>
      <c r="CI222" s="3">
        <v>0</v>
      </c>
      <c r="CJ222" s="3">
        <v>231185</v>
      </c>
      <c r="CM222" s="2"/>
      <c r="CW222" s="2"/>
    </row>
    <row r="223" spans="1:101" ht="13.5" customHeight="1" x14ac:dyDescent="0.3">
      <c r="A223" s="2">
        <v>46197</v>
      </c>
      <c r="B223" s="3" t="s">
        <v>2009</v>
      </c>
      <c r="C223" s="3" t="s">
        <v>547</v>
      </c>
      <c r="D223" s="3" t="s">
        <v>2010</v>
      </c>
      <c r="E223" s="3">
        <v>0</v>
      </c>
      <c r="F223" s="3">
        <v>0.23</v>
      </c>
      <c r="G223" s="3">
        <v>0</v>
      </c>
      <c r="H223" s="3">
        <v>253274</v>
      </c>
      <c r="I223" s="3">
        <v>9545.16</v>
      </c>
      <c r="J223" s="3">
        <v>3.8075999999999999</v>
      </c>
      <c r="K223" s="2"/>
      <c r="U223" s="2"/>
      <c r="AE223" s="2"/>
      <c r="AO223" s="2"/>
      <c r="AY223" s="2">
        <v>46197</v>
      </c>
      <c r="AZ223" s="3" t="s">
        <v>1615</v>
      </c>
      <c r="BA223" s="3" t="s">
        <v>1616</v>
      </c>
      <c r="BB223" s="3" t="s">
        <v>1617</v>
      </c>
      <c r="BC223" s="3">
        <v>0</v>
      </c>
      <c r="BD223" s="3">
        <v>0.05</v>
      </c>
      <c r="BE223" s="3">
        <v>0</v>
      </c>
      <c r="BF223" s="3">
        <v>58568</v>
      </c>
      <c r="BG223" s="3">
        <v>10000.23</v>
      </c>
      <c r="BH223" s="3">
        <v>0.94620000000000004</v>
      </c>
      <c r="BI223" s="2"/>
      <c r="BS223" s="2"/>
      <c r="CC223" s="2">
        <v>46197</v>
      </c>
      <c r="CD223" s="3" t="s">
        <v>2582</v>
      </c>
      <c r="CE223" s="3" t="s">
        <v>2574</v>
      </c>
      <c r="CF223" s="3" t="s">
        <v>2583</v>
      </c>
      <c r="CG223" s="3">
        <v>0</v>
      </c>
      <c r="CH223" s="3">
        <v>0.16</v>
      </c>
      <c r="CI223" s="3">
        <v>0</v>
      </c>
      <c r="CJ223" s="3">
        <v>231185</v>
      </c>
      <c r="CM223" s="2"/>
      <c r="CW223" s="2"/>
    </row>
    <row r="224" spans="1:101" ht="13.5" customHeight="1" x14ac:dyDescent="0.3">
      <c r="A224" s="2">
        <v>46197</v>
      </c>
      <c r="B224" s="3" t="s">
        <v>2011</v>
      </c>
      <c r="C224" s="3" t="s">
        <v>523</v>
      </c>
      <c r="D224" s="3" t="s">
        <v>2012</v>
      </c>
      <c r="E224" s="3">
        <v>0</v>
      </c>
      <c r="F224" s="3">
        <v>0.23</v>
      </c>
      <c r="G224" s="3">
        <v>0</v>
      </c>
      <c r="H224" s="3">
        <v>253129</v>
      </c>
      <c r="I224" s="3">
        <v>9539.43</v>
      </c>
      <c r="J224" s="3">
        <v>3.4298000000000002</v>
      </c>
      <c r="K224" s="2"/>
      <c r="U224" s="2"/>
      <c r="AE224" s="2"/>
      <c r="AO224" s="2"/>
      <c r="AY224" s="2">
        <v>46197</v>
      </c>
      <c r="AZ224" s="3" t="s">
        <v>1618</v>
      </c>
      <c r="BA224" s="3" t="s">
        <v>1619</v>
      </c>
      <c r="BB224" s="3" t="s">
        <v>1620</v>
      </c>
      <c r="BC224" s="3">
        <v>0</v>
      </c>
      <c r="BD224" s="3">
        <v>0.05</v>
      </c>
      <c r="BE224" s="3">
        <v>0</v>
      </c>
      <c r="BF224" s="3">
        <v>58448</v>
      </c>
      <c r="BG224" s="3">
        <v>9980.24</v>
      </c>
      <c r="BH224" s="3">
        <v>1.2381</v>
      </c>
      <c r="BI224" s="2"/>
      <c r="BS224" s="2"/>
      <c r="CC224" s="2">
        <v>46197</v>
      </c>
      <c r="CD224" s="3" t="s">
        <v>2584</v>
      </c>
      <c r="CE224" s="3" t="s">
        <v>2469</v>
      </c>
      <c r="CF224" s="3" t="s">
        <v>2585</v>
      </c>
      <c r="CG224" s="3">
        <v>0</v>
      </c>
      <c r="CH224" s="3">
        <v>0.16</v>
      </c>
      <c r="CI224" s="3">
        <v>0</v>
      </c>
      <c r="CJ224" s="3">
        <v>231010</v>
      </c>
      <c r="CM224" s="2"/>
      <c r="CW224" s="2"/>
    </row>
    <row r="225" spans="1:101" ht="13.5" customHeight="1" x14ac:dyDescent="0.3">
      <c r="A225" s="2">
        <v>46197</v>
      </c>
      <c r="B225" s="3" t="s">
        <v>2013</v>
      </c>
      <c r="C225" s="3" t="s">
        <v>792</v>
      </c>
      <c r="D225" s="3" t="s">
        <v>2014</v>
      </c>
      <c r="E225" s="3">
        <v>0</v>
      </c>
      <c r="F225" s="3">
        <v>0.23</v>
      </c>
      <c r="G225" s="3">
        <v>0</v>
      </c>
      <c r="H225" s="3">
        <v>252363</v>
      </c>
      <c r="I225" s="3">
        <v>9511.43</v>
      </c>
      <c r="J225" s="3">
        <v>3.6341999999999999</v>
      </c>
      <c r="K225" s="2"/>
      <c r="U225" s="2"/>
      <c r="AE225" s="2"/>
      <c r="AO225" s="2"/>
      <c r="AY225" s="2">
        <v>46197</v>
      </c>
      <c r="AZ225" s="3" t="s">
        <v>1621</v>
      </c>
      <c r="BA225" s="3" t="s">
        <v>1622</v>
      </c>
      <c r="BB225" s="3" t="s">
        <v>1623</v>
      </c>
      <c r="BC225" s="3">
        <v>0</v>
      </c>
      <c r="BD225" s="3">
        <v>0.05</v>
      </c>
      <c r="BE225" s="3">
        <v>0</v>
      </c>
      <c r="BF225" s="3">
        <v>58432</v>
      </c>
      <c r="BG225" s="3">
        <v>9977.5400000000009</v>
      </c>
      <c r="BH225" s="3">
        <v>1.2301</v>
      </c>
      <c r="BI225" s="2"/>
      <c r="BS225" s="2"/>
      <c r="CC225" s="2">
        <v>46197</v>
      </c>
      <c r="CD225" s="3" t="s">
        <v>2586</v>
      </c>
      <c r="CE225" s="3" t="s">
        <v>2469</v>
      </c>
      <c r="CF225" s="3" t="s">
        <v>2587</v>
      </c>
      <c r="CG225" s="3">
        <v>0</v>
      </c>
      <c r="CH225" s="3">
        <v>0.16</v>
      </c>
      <c r="CI225" s="3">
        <v>0</v>
      </c>
      <c r="CJ225" s="3">
        <v>231010</v>
      </c>
      <c r="CM225" s="2"/>
      <c r="CW225" s="2"/>
    </row>
    <row r="226" spans="1:101" ht="13.5" customHeight="1" x14ac:dyDescent="0.3">
      <c r="A226" s="2">
        <v>46197</v>
      </c>
      <c r="B226" s="3" t="s">
        <v>2015</v>
      </c>
      <c r="C226" s="3" t="s">
        <v>2016</v>
      </c>
      <c r="D226" s="3" t="s">
        <v>2017</v>
      </c>
      <c r="E226" s="3">
        <v>0</v>
      </c>
      <c r="F226" s="3">
        <v>0.23</v>
      </c>
      <c r="G226" s="3">
        <v>0</v>
      </c>
      <c r="H226" s="3">
        <v>252349</v>
      </c>
      <c r="I226" s="3">
        <v>9510.92</v>
      </c>
      <c r="J226" s="3">
        <v>3.6541000000000001</v>
      </c>
      <c r="K226" s="2"/>
      <c r="U226" s="2"/>
      <c r="AE226" s="2"/>
      <c r="AO226" s="2"/>
      <c r="AY226" s="2">
        <v>46197</v>
      </c>
      <c r="AZ226" s="3" t="s">
        <v>1624</v>
      </c>
      <c r="BA226" s="3" t="s">
        <v>1625</v>
      </c>
      <c r="BB226" s="3" t="s">
        <v>1626</v>
      </c>
      <c r="BC226" s="3">
        <v>0</v>
      </c>
      <c r="BD226" s="3">
        <v>0.05</v>
      </c>
      <c r="BE226" s="3">
        <v>0</v>
      </c>
      <c r="BF226" s="3">
        <v>58378</v>
      </c>
      <c r="BG226" s="3">
        <v>9116.24</v>
      </c>
      <c r="BH226" s="3">
        <v>7.4950999999999999</v>
      </c>
      <c r="BI226" s="2"/>
      <c r="BS226" s="2"/>
      <c r="CC226" s="2">
        <v>46197</v>
      </c>
      <c r="CD226" s="3" t="s">
        <v>2588</v>
      </c>
      <c r="CE226" s="3" t="s">
        <v>2529</v>
      </c>
      <c r="CF226" s="3" t="s">
        <v>2589</v>
      </c>
      <c r="CG226" s="3">
        <v>0</v>
      </c>
      <c r="CH226" s="3">
        <v>0.16</v>
      </c>
      <c r="CI226" s="3">
        <v>0</v>
      </c>
      <c r="CJ226" s="3">
        <v>230926</v>
      </c>
      <c r="CM226" s="2"/>
      <c r="CW226" s="2"/>
    </row>
    <row r="227" spans="1:101" ht="13.5" customHeight="1" x14ac:dyDescent="0.3">
      <c r="A227" s="2">
        <v>46197</v>
      </c>
      <c r="B227" s="3" t="s">
        <v>2018</v>
      </c>
      <c r="C227" s="3" t="s">
        <v>131</v>
      </c>
      <c r="D227" s="3" t="s">
        <v>2019</v>
      </c>
      <c r="E227" s="3">
        <v>0</v>
      </c>
      <c r="F227" s="3">
        <v>0.23</v>
      </c>
      <c r="G227" s="3">
        <v>0</v>
      </c>
      <c r="H227" s="3">
        <v>252304</v>
      </c>
      <c r="I227" s="3">
        <v>9509.4699999999993</v>
      </c>
      <c r="J227" s="3">
        <v>1.4146000000000001</v>
      </c>
      <c r="K227" s="2"/>
      <c r="U227" s="2"/>
      <c r="AE227" s="2"/>
      <c r="AO227" s="2"/>
      <c r="AY227" s="2">
        <v>46197</v>
      </c>
      <c r="AZ227" s="3" t="s">
        <v>217</v>
      </c>
      <c r="BA227" s="3" t="s">
        <v>218</v>
      </c>
      <c r="BB227" s="3" t="s">
        <v>771</v>
      </c>
      <c r="BC227" s="3">
        <v>0</v>
      </c>
      <c r="BD227" s="3">
        <v>0.05</v>
      </c>
      <c r="BE227" s="3">
        <v>0</v>
      </c>
      <c r="BF227" s="3">
        <v>58360</v>
      </c>
      <c r="BG227" s="3">
        <v>9983.6200000000008</v>
      </c>
      <c r="BH227" s="3">
        <v>4.8555000000000001</v>
      </c>
      <c r="BI227" s="2"/>
      <c r="BS227" s="2"/>
      <c r="CC227" s="2">
        <v>46197</v>
      </c>
      <c r="CD227" s="3" t="s">
        <v>2590</v>
      </c>
      <c r="CE227" s="3" t="s">
        <v>2529</v>
      </c>
      <c r="CF227" s="3" t="s">
        <v>2591</v>
      </c>
      <c r="CG227" s="3">
        <v>0</v>
      </c>
      <c r="CH227" s="3">
        <v>0.16</v>
      </c>
      <c r="CI227" s="3">
        <v>0</v>
      </c>
      <c r="CJ227" s="3">
        <v>230926</v>
      </c>
      <c r="CM227" s="2"/>
      <c r="CW227" s="2"/>
    </row>
    <row r="228" spans="1:101" ht="13.5" customHeight="1" x14ac:dyDescent="0.3">
      <c r="A228" s="2">
        <v>46197</v>
      </c>
      <c r="B228" s="3" t="s">
        <v>2020</v>
      </c>
      <c r="C228" s="3" t="s">
        <v>501</v>
      </c>
      <c r="D228" s="3" t="s">
        <v>2021</v>
      </c>
      <c r="E228" s="3">
        <v>0</v>
      </c>
      <c r="F228" s="3">
        <v>0.23</v>
      </c>
      <c r="G228" s="3">
        <v>0</v>
      </c>
      <c r="H228" s="3">
        <v>251121</v>
      </c>
      <c r="I228" s="3">
        <v>9463.06</v>
      </c>
      <c r="J228" s="3">
        <v>3.9188999999999998</v>
      </c>
      <c r="K228" s="2"/>
      <c r="U228" s="2"/>
      <c r="AE228" s="2"/>
      <c r="AO228" s="2"/>
      <c r="AY228" s="2">
        <v>46197</v>
      </c>
      <c r="AZ228" s="3" t="s">
        <v>1627</v>
      </c>
      <c r="BA228" s="3" t="s">
        <v>1628</v>
      </c>
      <c r="BB228" s="3" t="s">
        <v>1629</v>
      </c>
      <c r="BC228" s="3">
        <v>0</v>
      </c>
      <c r="BD228" s="3">
        <v>0.05</v>
      </c>
      <c r="BE228" s="3">
        <v>0</v>
      </c>
      <c r="BF228" s="3">
        <v>58246</v>
      </c>
      <c r="BG228" s="3">
        <v>9946.34</v>
      </c>
      <c r="BH228" s="3">
        <v>1.1815</v>
      </c>
      <c r="BI228" s="2"/>
      <c r="BS228" s="2"/>
      <c r="CC228" s="2">
        <v>46197</v>
      </c>
      <c r="CD228" s="3" t="s">
        <v>2592</v>
      </c>
      <c r="CE228" s="3" t="s">
        <v>2488</v>
      </c>
      <c r="CF228" s="3" t="s">
        <v>2593</v>
      </c>
      <c r="CG228" s="3">
        <v>0</v>
      </c>
      <c r="CH228" s="3">
        <v>0.16</v>
      </c>
      <c r="CI228" s="3">
        <v>0</v>
      </c>
      <c r="CJ228" s="3">
        <v>230923</v>
      </c>
      <c r="CM228" s="2"/>
      <c r="CW228" s="2"/>
    </row>
    <row r="229" spans="1:101" ht="13.5" customHeight="1" x14ac:dyDescent="0.3">
      <c r="A229" s="2">
        <v>46197</v>
      </c>
      <c r="B229" s="3" t="s">
        <v>2022</v>
      </c>
      <c r="C229" s="3" t="s">
        <v>789</v>
      </c>
      <c r="D229" s="3" t="s">
        <v>2023</v>
      </c>
      <c r="E229" s="3">
        <v>0</v>
      </c>
      <c r="F229" s="3">
        <v>0.23</v>
      </c>
      <c r="G229" s="3">
        <v>0</v>
      </c>
      <c r="H229" s="3">
        <v>250765</v>
      </c>
      <c r="I229" s="3">
        <v>9450.4</v>
      </c>
      <c r="J229" s="3">
        <v>3.9083000000000001</v>
      </c>
      <c r="K229" s="2"/>
      <c r="U229" s="2"/>
      <c r="AE229" s="2"/>
      <c r="AO229" s="2"/>
      <c r="AY229" s="2">
        <v>46197</v>
      </c>
      <c r="AZ229" s="3" t="s">
        <v>1630</v>
      </c>
      <c r="BA229" s="3" t="s">
        <v>185</v>
      </c>
      <c r="BB229" s="3" t="s">
        <v>1631</v>
      </c>
      <c r="BC229" s="3">
        <v>0</v>
      </c>
      <c r="BD229" s="3">
        <v>0.05</v>
      </c>
      <c r="BE229" s="3">
        <v>0</v>
      </c>
      <c r="BF229" s="3">
        <v>58070</v>
      </c>
      <c r="BG229" s="3">
        <v>9915.7800000000007</v>
      </c>
      <c r="BH229" s="3">
        <v>1.0730999999999999</v>
      </c>
      <c r="BI229" s="2"/>
      <c r="BS229" s="2"/>
      <c r="CC229" s="2">
        <v>46197</v>
      </c>
      <c r="CD229" s="3" t="s">
        <v>2594</v>
      </c>
      <c r="CE229" s="3" t="s">
        <v>2488</v>
      </c>
      <c r="CF229" s="3" t="s">
        <v>2595</v>
      </c>
      <c r="CG229" s="3">
        <v>0</v>
      </c>
      <c r="CH229" s="3">
        <v>0.16</v>
      </c>
      <c r="CI229" s="3">
        <v>0</v>
      </c>
      <c r="CJ229" s="3">
        <v>230923</v>
      </c>
      <c r="CM229" s="2"/>
      <c r="CW229" s="2"/>
    </row>
    <row r="230" spans="1:101" ht="13.5" customHeight="1" x14ac:dyDescent="0.3">
      <c r="A230" s="2">
        <v>46197</v>
      </c>
      <c r="B230" s="3" t="s">
        <v>153</v>
      </c>
      <c r="C230" s="3" t="s">
        <v>154</v>
      </c>
      <c r="D230" s="3" t="s">
        <v>2024</v>
      </c>
      <c r="E230" s="3">
        <v>0</v>
      </c>
      <c r="F230" s="3">
        <v>0.22</v>
      </c>
      <c r="G230" s="3">
        <v>0</v>
      </c>
      <c r="H230" s="3">
        <v>250088</v>
      </c>
      <c r="I230" s="3">
        <v>9427.08</v>
      </c>
      <c r="J230" s="3">
        <v>4.9724000000000004</v>
      </c>
      <c r="K230" s="2"/>
      <c r="U230" s="2"/>
      <c r="AE230" s="2"/>
      <c r="AO230" s="2"/>
      <c r="AY230" s="2">
        <v>46197</v>
      </c>
      <c r="AZ230" s="3" t="s">
        <v>1632</v>
      </c>
      <c r="BA230" s="3" t="s">
        <v>621</v>
      </c>
      <c r="BB230" s="3" t="s">
        <v>1633</v>
      </c>
      <c r="BC230" s="3">
        <v>0</v>
      </c>
      <c r="BD230" s="3">
        <v>0.05</v>
      </c>
      <c r="BE230" s="3">
        <v>0</v>
      </c>
      <c r="BF230" s="3">
        <v>58062</v>
      </c>
      <c r="BG230" s="3">
        <v>9914.56</v>
      </c>
      <c r="BH230" s="3">
        <v>1.3758999999999999</v>
      </c>
      <c r="BI230" s="2"/>
      <c r="BS230" s="2"/>
      <c r="CC230" s="2">
        <v>46197</v>
      </c>
      <c r="CD230" s="3" t="s">
        <v>2596</v>
      </c>
      <c r="CE230" s="3" t="s">
        <v>2488</v>
      </c>
      <c r="CF230" s="3" t="s">
        <v>2597</v>
      </c>
      <c r="CG230" s="3">
        <v>0</v>
      </c>
      <c r="CH230" s="3">
        <v>0.16</v>
      </c>
      <c r="CI230" s="3">
        <v>0</v>
      </c>
      <c r="CJ230" s="3">
        <v>230923</v>
      </c>
      <c r="CM230" s="2"/>
      <c r="CW230" s="2"/>
    </row>
    <row r="231" spans="1:101" ht="13.5" customHeight="1" x14ac:dyDescent="0.3">
      <c r="A231" s="2">
        <v>46197</v>
      </c>
      <c r="B231" s="3" t="s">
        <v>2025</v>
      </c>
      <c r="C231" s="3" t="s">
        <v>563</v>
      </c>
      <c r="D231" s="3" t="s">
        <v>2026</v>
      </c>
      <c r="E231" s="3">
        <v>0</v>
      </c>
      <c r="F231" s="3">
        <v>0.22</v>
      </c>
      <c r="G231" s="3">
        <v>0</v>
      </c>
      <c r="H231" s="3">
        <v>249065</v>
      </c>
      <c r="I231" s="3">
        <v>9386.1200000000008</v>
      </c>
      <c r="J231" s="3">
        <v>12.125299999999999</v>
      </c>
      <c r="K231" s="2"/>
      <c r="U231" s="2"/>
      <c r="AE231" s="2"/>
      <c r="AO231" s="2"/>
      <c r="AY231" s="2">
        <v>46197</v>
      </c>
      <c r="AZ231" s="3" t="s">
        <v>1634</v>
      </c>
      <c r="BA231" s="3" t="s">
        <v>1635</v>
      </c>
      <c r="BB231" s="3" t="s">
        <v>1636</v>
      </c>
      <c r="BC231" s="3">
        <v>0</v>
      </c>
      <c r="BD231" s="3">
        <v>0.05</v>
      </c>
      <c r="BE231" s="3">
        <v>0</v>
      </c>
      <c r="BF231" s="3">
        <v>57954</v>
      </c>
      <c r="BG231" s="3">
        <v>9896.73</v>
      </c>
      <c r="BH231" s="3">
        <v>1.3781000000000001</v>
      </c>
      <c r="BI231" s="2"/>
      <c r="BS231" s="2"/>
      <c r="CC231" s="2">
        <v>46197</v>
      </c>
      <c r="CD231" s="3" t="s">
        <v>2598</v>
      </c>
      <c r="CE231" s="3" t="s">
        <v>2488</v>
      </c>
      <c r="CF231" s="3" t="s">
        <v>2599</v>
      </c>
      <c r="CG231" s="3">
        <v>0</v>
      </c>
      <c r="CH231" s="3">
        <v>0.16</v>
      </c>
      <c r="CI231" s="3">
        <v>0</v>
      </c>
      <c r="CJ231" s="3">
        <v>230923</v>
      </c>
      <c r="CM231" s="2"/>
      <c r="CW231" s="2"/>
    </row>
    <row r="232" spans="1:101" ht="13.5" customHeight="1" x14ac:dyDescent="0.3">
      <c r="A232" s="2">
        <v>46197</v>
      </c>
      <c r="B232" s="3" t="s">
        <v>2027</v>
      </c>
      <c r="C232" s="3" t="s">
        <v>2028</v>
      </c>
      <c r="D232" s="3" t="s">
        <v>2029</v>
      </c>
      <c r="E232" s="3">
        <v>0</v>
      </c>
      <c r="F232" s="3">
        <v>0.22</v>
      </c>
      <c r="G232" s="3">
        <v>0</v>
      </c>
      <c r="H232" s="3">
        <v>248460</v>
      </c>
      <c r="I232" s="3">
        <v>9364.6299999999992</v>
      </c>
      <c r="J232" s="3">
        <v>3.1505999999999998</v>
      </c>
      <c r="K232" s="2"/>
      <c r="U232" s="2"/>
      <c r="AE232" s="2"/>
      <c r="AO232" s="2"/>
      <c r="AY232" s="2">
        <v>46197</v>
      </c>
      <c r="AZ232" s="3" t="s">
        <v>1637</v>
      </c>
      <c r="BA232" s="3" t="s">
        <v>148</v>
      </c>
      <c r="BB232" s="3" t="s">
        <v>1638</v>
      </c>
      <c r="BC232" s="3">
        <v>0</v>
      </c>
      <c r="BD232" s="3">
        <v>0.05</v>
      </c>
      <c r="BE232" s="3">
        <v>0</v>
      </c>
      <c r="BF232" s="3">
        <v>57939</v>
      </c>
      <c r="BG232" s="3">
        <v>9893.49</v>
      </c>
      <c r="BH232" s="3">
        <v>1.3030999999999999</v>
      </c>
      <c r="BI232" s="2"/>
      <c r="BS232" s="2"/>
      <c r="CC232" s="2">
        <v>46197</v>
      </c>
      <c r="CD232" s="3" t="s">
        <v>2600</v>
      </c>
      <c r="CE232" s="3" t="s">
        <v>2488</v>
      </c>
      <c r="CF232" s="3" t="s">
        <v>2601</v>
      </c>
      <c r="CG232" s="3">
        <v>0</v>
      </c>
      <c r="CH232" s="3">
        <v>0.16</v>
      </c>
      <c r="CI232" s="3">
        <v>0</v>
      </c>
      <c r="CJ232" s="3">
        <v>230775</v>
      </c>
      <c r="CM232" s="2"/>
      <c r="CW232" s="2"/>
    </row>
    <row r="233" spans="1:101" ht="13.5" customHeight="1" x14ac:dyDescent="0.3">
      <c r="A233" s="2">
        <v>46197</v>
      </c>
      <c r="B233" s="3" t="s">
        <v>2030</v>
      </c>
      <c r="C233" s="3" t="s">
        <v>1288</v>
      </c>
      <c r="D233" s="3" t="s">
        <v>2031</v>
      </c>
      <c r="E233" s="3">
        <v>0</v>
      </c>
      <c r="F233" s="3">
        <v>0.22</v>
      </c>
      <c r="G233" s="3">
        <v>0</v>
      </c>
      <c r="H233" s="3">
        <v>248308</v>
      </c>
      <c r="I233" s="3">
        <v>9358.07</v>
      </c>
      <c r="J233" s="3">
        <v>3.3090999999999999</v>
      </c>
      <c r="K233" s="2"/>
      <c r="U233" s="2"/>
      <c r="AE233" s="2"/>
      <c r="AO233" s="2"/>
      <c r="AY233" s="2">
        <v>46197</v>
      </c>
      <c r="AZ233" s="3" t="s">
        <v>1639</v>
      </c>
      <c r="BA233" s="3" t="s">
        <v>413</v>
      </c>
      <c r="BB233" s="3" t="s">
        <v>1640</v>
      </c>
      <c r="BC233" s="3">
        <v>0</v>
      </c>
      <c r="BD233" s="3">
        <v>0.05</v>
      </c>
      <c r="BE233" s="3">
        <v>0</v>
      </c>
      <c r="BF233" s="3">
        <v>57935</v>
      </c>
      <c r="BG233" s="3">
        <v>9892.4699999999993</v>
      </c>
      <c r="BH233" s="3">
        <v>1.3401000000000001</v>
      </c>
      <c r="BI233" s="2"/>
      <c r="BS233" s="2"/>
      <c r="CC233" s="2">
        <v>46197</v>
      </c>
      <c r="CD233" s="3" t="s">
        <v>2602</v>
      </c>
      <c r="CE233" s="3" t="s">
        <v>2488</v>
      </c>
      <c r="CF233" s="3" t="s">
        <v>2603</v>
      </c>
      <c r="CG233" s="3">
        <v>0</v>
      </c>
      <c r="CH233" s="3">
        <v>0.16</v>
      </c>
      <c r="CI233" s="3">
        <v>0</v>
      </c>
      <c r="CJ233" s="3">
        <v>230775</v>
      </c>
      <c r="CM233" s="2"/>
      <c r="CW233" s="2"/>
    </row>
    <row r="234" spans="1:101" ht="13.5" customHeight="1" x14ac:dyDescent="0.3">
      <c r="A234" s="2">
        <v>46197</v>
      </c>
      <c r="B234" s="3" t="s">
        <v>2032</v>
      </c>
      <c r="C234" s="3" t="s">
        <v>523</v>
      </c>
      <c r="D234" s="3" t="s">
        <v>2033</v>
      </c>
      <c r="E234" s="3">
        <v>0</v>
      </c>
      <c r="F234" s="3">
        <v>0.22</v>
      </c>
      <c r="G234" s="3">
        <v>0</v>
      </c>
      <c r="H234" s="3">
        <v>247468</v>
      </c>
      <c r="I234" s="3">
        <v>9326.9699999999993</v>
      </c>
      <c r="J234" s="3">
        <v>12.135300000000001</v>
      </c>
      <c r="K234" s="2"/>
      <c r="U234" s="2"/>
      <c r="AE234" s="2"/>
      <c r="AO234" s="2"/>
      <c r="AY234" s="2">
        <v>46197</v>
      </c>
      <c r="AZ234" s="3" t="s">
        <v>1641</v>
      </c>
      <c r="BA234" s="3" t="s">
        <v>1642</v>
      </c>
      <c r="BB234" s="3" t="s">
        <v>1643</v>
      </c>
      <c r="BC234" s="3">
        <v>0</v>
      </c>
      <c r="BD234" s="3">
        <v>0.05</v>
      </c>
      <c r="BE234" s="3">
        <v>0</v>
      </c>
      <c r="BF234" s="3">
        <v>57882</v>
      </c>
      <c r="BG234" s="3">
        <v>9884.9599999999991</v>
      </c>
      <c r="BH234" s="3">
        <v>1.5267999999999999</v>
      </c>
      <c r="BI234" s="2"/>
      <c r="BS234" s="2"/>
      <c r="CC234" s="2">
        <v>46197</v>
      </c>
      <c r="CD234" s="3" t="s">
        <v>2604</v>
      </c>
      <c r="CE234" s="3" t="s">
        <v>368</v>
      </c>
      <c r="CF234" s="3" t="s">
        <v>2605</v>
      </c>
      <c r="CG234" s="3">
        <v>0</v>
      </c>
      <c r="CH234" s="3">
        <v>0.16</v>
      </c>
      <c r="CI234" s="3">
        <v>0</v>
      </c>
      <c r="CJ234" s="3">
        <v>230493</v>
      </c>
      <c r="CM234" s="2"/>
      <c r="CW234" s="2"/>
    </row>
    <row r="235" spans="1:101" ht="13.5" customHeight="1" x14ac:dyDescent="0.3">
      <c r="A235" s="2">
        <v>46197</v>
      </c>
      <c r="B235" s="3" t="s">
        <v>2034</v>
      </c>
      <c r="C235" s="3" t="s">
        <v>798</v>
      </c>
      <c r="D235" s="3" t="s">
        <v>2035</v>
      </c>
      <c r="E235" s="3">
        <v>0</v>
      </c>
      <c r="F235" s="3">
        <v>0.22</v>
      </c>
      <c r="G235" s="3">
        <v>0</v>
      </c>
      <c r="H235" s="3">
        <v>243803</v>
      </c>
      <c r="I235" s="3">
        <v>9042.1299999999992</v>
      </c>
      <c r="J235" s="3">
        <v>7.5880999999999998</v>
      </c>
      <c r="K235" s="2"/>
      <c r="U235" s="2"/>
      <c r="AE235" s="2"/>
      <c r="AO235" s="2"/>
      <c r="AY235" s="2">
        <v>46197</v>
      </c>
      <c r="AZ235" s="3" t="s">
        <v>1644</v>
      </c>
      <c r="BA235" s="3" t="s">
        <v>1061</v>
      </c>
      <c r="BB235" s="3" t="s">
        <v>1645</v>
      </c>
      <c r="BC235" s="3">
        <v>0</v>
      </c>
      <c r="BD235" s="3">
        <v>0.05</v>
      </c>
      <c r="BE235" s="3">
        <v>0</v>
      </c>
      <c r="BF235" s="3">
        <v>57847</v>
      </c>
      <c r="BG235" s="3">
        <v>9878.02</v>
      </c>
      <c r="BH235" s="3">
        <v>1.1409</v>
      </c>
      <c r="BI235" s="2"/>
      <c r="BS235" s="2"/>
      <c r="CC235" s="2">
        <v>46197</v>
      </c>
      <c r="CD235" s="3" t="s">
        <v>2606</v>
      </c>
      <c r="CE235" s="3" t="s">
        <v>2607</v>
      </c>
      <c r="CF235" s="3" t="s">
        <v>2608</v>
      </c>
      <c r="CG235" s="3">
        <v>0</v>
      </c>
      <c r="CH235" s="3">
        <v>0.16</v>
      </c>
      <c r="CI235" s="3">
        <v>0</v>
      </c>
      <c r="CJ235" s="3">
        <v>230493</v>
      </c>
      <c r="CM235" s="2"/>
      <c r="CW235" s="2"/>
    </row>
    <row r="236" spans="1:101" ht="13.5" customHeight="1" x14ac:dyDescent="0.3">
      <c r="A236" s="2">
        <v>46197</v>
      </c>
      <c r="B236" s="3" t="s">
        <v>2036</v>
      </c>
      <c r="C236" s="3" t="s">
        <v>1903</v>
      </c>
      <c r="D236" s="3" t="s">
        <v>2037</v>
      </c>
      <c r="E236" s="3">
        <v>0</v>
      </c>
      <c r="F236" s="3">
        <v>0.22</v>
      </c>
      <c r="G236" s="3">
        <v>0</v>
      </c>
      <c r="H236" s="3">
        <v>242893</v>
      </c>
      <c r="I236" s="3">
        <v>9158.6200000000008</v>
      </c>
      <c r="J236" s="3">
        <v>7.5179999999999998</v>
      </c>
      <c r="K236" s="2"/>
      <c r="U236" s="2"/>
      <c r="AE236" s="2"/>
      <c r="AO236" s="2"/>
      <c r="AY236" s="2">
        <v>46197</v>
      </c>
      <c r="AZ236" s="3" t="s">
        <v>1646</v>
      </c>
      <c r="BA236" s="3" t="s">
        <v>1647</v>
      </c>
      <c r="BB236" s="3" t="s">
        <v>1648</v>
      </c>
      <c r="BC236" s="3">
        <v>0</v>
      </c>
      <c r="BD236" s="3">
        <v>0.05</v>
      </c>
      <c r="BE236" s="3">
        <v>0</v>
      </c>
      <c r="BF236" s="3">
        <v>57756</v>
      </c>
      <c r="BG236" s="3">
        <v>9862.56</v>
      </c>
      <c r="BH236" s="3">
        <v>1.5759000000000001</v>
      </c>
      <c r="BI236" s="2"/>
      <c r="BS236" s="2"/>
      <c r="CC236" s="2">
        <v>46197</v>
      </c>
      <c r="CD236" s="3" t="s">
        <v>2609</v>
      </c>
      <c r="CE236" s="3" t="s">
        <v>368</v>
      </c>
      <c r="CF236" s="3" t="s">
        <v>2610</v>
      </c>
      <c r="CG236" s="3">
        <v>0</v>
      </c>
      <c r="CH236" s="3">
        <v>0.16</v>
      </c>
      <c r="CI236" s="3">
        <v>0</v>
      </c>
      <c r="CJ236" s="3">
        <v>230493</v>
      </c>
      <c r="CM236" s="2"/>
      <c r="CW236" s="2"/>
    </row>
    <row r="237" spans="1:101" ht="13.5" customHeight="1" x14ac:dyDescent="0.3">
      <c r="A237" s="2">
        <v>46197</v>
      </c>
      <c r="B237" s="3" t="s">
        <v>2038</v>
      </c>
      <c r="C237" s="3" t="s">
        <v>200</v>
      </c>
      <c r="D237" s="3" t="s">
        <v>2039</v>
      </c>
      <c r="E237" s="3">
        <v>0</v>
      </c>
      <c r="F237" s="3">
        <v>0.22</v>
      </c>
      <c r="G237" s="3">
        <v>0</v>
      </c>
      <c r="H237" s="3">
        <v>240729</v>
      </c>
      <c r="I237" s="3">
        <v>9072.5400000000009</v>
      </c>
      <c r="J237" s="3">
        <v>4.6547000000000001</v>
      </c>
      <c r="K237" s="2"/>
      <c r="U237" s="2"/>
      <c r="AE237" s="2"/>
      <c r="AO237" s="2"/>
      <c r="AY237" s="2">
        <v>46197</v>
      </c>
      <c r="AZ237" s="3" t="s">
        <v>1649</v>
      </c>
      <c r="BA237" s="3" t="s">
        <v>1439</v>
      </c>
      <c r="BB237" s="3" t="s">
        <v>1650</v>
      </c>
      <c r="BC237" s="3">
        <v>0</v>
      </c>
      <c r="BD237" s="3">
        <v>0.05</v>
      </c>
      <c r="BE237" s="3">
        <v>0</v>
      </c>
      <c r="BF237" s="3">
        <v>57737</v>
      </c>
      <c r="BG237" s="3">
        <v>9859.49</v>
      </c>
      <c r="BH237" s="3">
        <v>1.0864</v>
      </c>
      <c r="BI237" s="2"/>
      <c r="BS237" s="2"/>
      <c r="CC237" s="2">
        <v>46197</v>
      </c>
      <c r="CD237" s="3" t="s">
        <v>2611</v>
      </c>
      <c r="CE237" s="3" t="s">
        <v>2607</v>
      </c>
      <c r="CF237" s="3" t="s">
        <v>2612</v>
      </c>
      <c r="CG237" s="3">
        <v>0</v>
      </c>
      <c r="CH237" s="3">
        <v>0.16</v>
      </c>
      <c r="CI237" s="3">
        <v>0</v>
      </c>
      <c r="CJ237" s="3">
        <v>230493</v>
      </c>
      <c r="CM237" s="2"/>
      <c r="CW237" s="2"/>
    </row>
    <row r="238" spans="1:101" ht="13.5" customHeight="1" x14ac:dyDescent="0.3">
      <c r="A238" s="2">
        <v>46197</v>
      </c>
      <c r="B238" s="3" t="s">
        <v>2040</v>
      </c>
      <c r="C238" s="3" t="s">
        <v>2041</v>
      </c>
      <c r="D238" s="3" t="s">
        <v>2042</v>
      </c>
      <c r="E238" s="3">
        <v>0</v>
      </c>
      <c r="F238" s="3">
        <v>0.22</v>
      </c>
      <c r="G238" s="3">
        <v>0</v>
      </c>
      <c r="H238" s="3">
        <v>240388</v>
      </c>
      <c r="I238" s="3">
        <v>10066.31</v>
      </c>
      <c r="J238" s="3">
        <v>0.28299999999999997</v>
      </c>
      <c r="K238" s="2"/>
      <c r="U238" s="2"/>
      <c r="AE238" s="2"/>
      <c r="AO238" s="2"/>
      <c r="AY238" s="2">
        <v>46197</v>
      </c>
      <c r="AZ238" s="3" t="s">
        <v>1651</v>
      </c>
      <c r="BA238" s="3" t="s">
        <v>1652</v>
      </c>
      <c r="BB238" s="3" t="s">
        <v>1653</v>
      </c>
      <c r="BC238" s="3">
        <v>0</v>
      </c>
      <c r="BD238" s="3">
        <v>0.05</v>
      </c>
      <c r="BE238" s="3">
        <v>0</v>
      </c>
      <c r="BF238" s="3">
        <v>57697</v>
      </c>
      <c r="BG238" s="3">
        <v>9852.4599999999991</v>
      </c>
      <c r="BH238" s="3">
        <v>1.4490000000000001</v>
      </c>
      <c r="BI238" s="2"/>
      <c r="BS238" s="2"/>
      <c r="CC238" s="2">
        <v>46197</v>
      </c>
      <c r="CD238" s="3" t="s">
        <v>2613</v>
      </c>
      <c r="CE238" s="3" t="s">
        <v>2234</v>
      </c>
      <c r="CF238" s="3" t="s">
        <v>2614</v>
      </c>
      <c r="CG238" s="3">
        <v>0</v>
      </c>
      <c r="CH238" s="3">
        <v>0.15</v>
      </c>
      <c r="CI238" s="3">
        <v>0</v>
      </c>
      <c r="CJ238" s="3">
        <v>219846</v>
      </c>
      <c r="CK238" s="3">
        <v>9316.48</v>
      </c>
      <c r="CL238" s="3">
        <v>3.1093999999999999</v>
      </c>
      <c r="CM238" s="2"/>
      <c r="CW238" s="2"/>
    </row>
    <row r="239" spans="1:101" ht="13.5" customHeight="1" x14ac:dyDescent="0.3">
      <c r="A239" s="2">
        <v>46197</v>
      </c>
      <c r="B239" s="3" t="s">
        <v>735</v>
      </c>
      <c r="C239" s="3" t="s">
        <v>29</v>
      </c>
      <c r="D239" s="3" t="s">
        <v>736</v>
      </c>
      <c r="E239" s="3">
        <v>0</v>
      </c>
      <c r="F239" s="3">
        <v>0.22</v>
      </c>
      <c r="G239" s="3">
        <v>0</v>
      </c>
      <c r="H239" s="3">
        <v>240350</v>
      </c>
      <c r="I239" s="3">
        <v>8397.8700000000008</v>
      </c>
      <c r="J239" s="3">
        <v>16.5593</v>
      </c>
      <c r="K239" s="2"/>
      <c r="U239" s="2"/>
      <c r="AE239" s="2"/>
      <c r="AO239" s="2"/>
      <c r="AY239" s="2">
        <v>46197</v>
      </c>
      <c r="AZ239" s="3" t="s">
        <v>1654</v>
      </c>
      <c r="BA239" s="3" t="s">
        <v>615</v>
      </c>
      <c r="BB239" s="3" t="s">
        <v>1655</v>
      </c>
      <c r="BC239" s="3">
        <v>0</v>
      </c>
      <c r="BD239" s="3">
        <v>0.05</v>
      </c>
      <c r="BE239" s="3">
        <v>0</v>
      </c>
      <c r="BF239" s="3">
        <v>57683</v>
      </c>
      <c r="BG239" s="3">
        <v>9849.2099999999991</v>
      </c>
      <c r="BH239" s="3">
        <v>1.204</v>
      </c>
      <c r="BI239" s="2"/>
      <c r="BS239" s="2"/>
      <c r="CC239" s="2">
        <v>46197</v>
      </c>
      <c r="CD239" s="3" t="s">
        <v>2615</v>
      </c>
      <c r="CE239" s="3" t="s">
        <v>131</v>
      </c>
      <c r="CF239" s="3" t="s">
        <v>2616</v>
      </c>
      <c r="CG239" s="3">
        <v>0</v>
      </c>
      <c r="CH239" s="3">
        <v>0.14000000000000001</v>
      </c>
      <c r="CI239" s="3">
        <v>0</v>
      </c>
      <c r="CJ239" s="3">
        <v>207746</v>
      </c>
      <c r="CK239" s="3">
        <v>8849.36</v>
      </c>
      <c r="CL239" s="3">
        <v>3.0956000000000001</v>
      </c>
      <c r="CM239" s="2"/>
      <c r="CW239" s="2"/>
    </row>
    <row r="240" spans="1:101" ht="13.5" customHeight="1" x14ac:dyDescent="0.3">
      <c r="A240" s="2">
        <v>46197</v>
      </c>
      <c r="B240" s="3" t="s">
        <v>2043</v>
      </c>
      <c r="C240" s="3" t="s">
        <v>2044</v>
      </c>
      <c r="D240" s="3" t="s">
        <v>2045</v>
      </c>
      <c r="E240" s="3">
        <v>0</v>
      </c>
      <c r="F240" s="3">
        <v>0.22</v>
      </c>
      <c r="G240" s="3">
        <v>0</v>
      </c>
      <c r="H240" s="3">
        <v>240037</v>
      </c>
      <c r="I240" s="3">
        <v>9047.58</v>
      </c>
      <c r="J240" s="3">
        <v>4.7968999999999999</v>
      </c>
      <c r="K240" s="2"/>
      <c r="U240" s="2"/>
      <c r="AE240" s="2"/>
      <c r="AO240" s="2"/>
      <c r="AY240" s="2">
        <v>46197</v>
      </c>
      <c r="AZ240" s="3" t="s">
        <v>1656</v>
      </c>
      <c r="BA240" s="3" t="s">
        <v>501</v>
      </c>
      <c r="BB240" s="3" t="s">
        <v>1657</v>
      </c>
      <c r="BC240" s="3">
        <v>0</v>
      </c>
      <c r="BD240" s="3">
        <v>0.05</v>
      </c>
      <c r="BE240" s="3">
        <v>0</v>
      </c>
      <c r="BF240" s="3">
        <v>57645</v>
      </c>
      <c r="BG240" s="3">
        <v>9843.6200000000008</v>
      </c>
      <c r="BH240" s="3">
        <v>1.6168</v>
      </c>
      <c r="BI240" s="2"/>
      <c r="BS240" s="2"/>
      <c r="CC240" s="2">
        <v>46197</v>
      </c>
      <c r="CD240" s="3" t="s">
        <v>2617</v>
      </c>
      <c r="CE240" s="3" t="s">
        <v>2618</v>
      </c>
      <c r="CF240" s="3" t="s">
        <v>2619</v>
      </c>
      <c r="CG240" s="3">
        <v>0</v>
      </c>
      <c r="CH240" s="3">
        <v>0.13</v>
      </c>
      <c r="CI240" s="3">
        <v>0</v>
      </c>
      <c r="CJ240" s="3">
        <v>187126</v>
      </c>
      <c r="CK240" s="3">
        <v>10219.66</v>
      </c>
      <c r="CL240" s="3">
        <v>1.3084</v>
      </c>
      <c r="CM240" s="2"/>
      <c r="CW240" s="2"/>
    </row>
    <row r="241" spans="1:101" ht="13.5" customHeight="1" x14ac:dyDescent="0.3">
      <c r="A241" s="2">
        <v>46197</v>
      </c>
      <c r="B241" s="3" t="s">
        <v>2046</v>
      </c>
      <c r="C241" s="3" t="s">
        <v>1392</v>
      </c>
      <c r="D241" s="3" t="s">
        <v>2047</v>
      </c>
      <c r="E241" s="3">
        <v>0</v>
      </c>
      <c r="F241" s="3">
        <v>0.22</v>
      </c>
      <c r="G241" s="3">
        <v>0</v>
      </c>
      <c r="H241" s="3">
        <v>239984</v>
      </c>
      <c r="I241" s="3">
        <v>10049.43</v>
      </c>
      <c r="J241" s="3">
        <v>0.2707</v>
      </c>
      <c r="K241" s="2"/>
      <c r="U241" s="2"/>
      <c r="AE241" s="2"/>
      <c r="AO241" s="2"/>
      <c r="AY241" s="2">
        <v>46197</v>
      </c>
      <c r="AZ241" s="3" t="s">
        <v>1658</v>
      </c>
      <c r="BA241" s="3" t="s">
        <v>1659</v>
      </c>
      <c r="BB241" s="3" t="s">
        <v>1660</v>
      </c>
      <c r="BC241" s="3">
        <v>0</v>
      </c>
      <c r="BD241" s="3">
        <v>0.05</v>
      </c>
      <c r="BE241" s="3">
        <v>0</v>
      </c>
      <c r="BF241" s="3">
        <v>57619</v>
      </c>
      <c r="BG241" s="3">
        <v>9838.7099999999991</v>
      </c>
      <c r="BH241" s="3">
        <v>1.6114999999999999</v>
      </c>
      <c r="BI241" s="2"/>
      <c r="BS241" s="2"/>
      <c r="CC241" s="2">
        <v>46197</v>
      </c>
      <c r="CD241" s="3" t="s">
        <v>1467</v>
      </c>
      <c r="CE241" s="3" t="s">
        <v>50</v>
      </c>
      <c r="CF241" s="3" t="s">
        <v>2620</v>
      </c>
      <c r="CG241" s="3">
        <v>0</v>
      </c>
      <c r="CH241" s="3">
        <v>0.13</v>
      </c>
      <c r="CI241" s="3">
        <v>0</v>
      </c>
      <c r="CJ241" s="3">
        <v>184713</v>
      </c>
      <c r="CK241" s="3">
        <v>9835.5300000000007</v>
      </c>
      <c r="CL241" s="3">
        <v>3.0026999999999999</v>
      </c>
      <c r="CM241" s="2"/>
      <c r="CW241" s="2"/>
    </row>
    <row r="242" spans="1:101" ht="13.5" customHeight="1" x14ac:dyDescent="0.3">
      <c r="A242" s="2">
        <v>46197</v>
      </c>
      <c r="B242" s="3" t="s">
        <v>2048</v>
      </c>
      <c r="C242" s="3" t="s">
        <v>1373</v>
      </c>
      <c r="D242" s="3" t="s">
        <v>2049</v>
      </c>
      <c r="E242" s="3">
        <v>0</v>
      </c>
      <c r="F242" s="3">
        <v>0.22</v>
      </c>
      <c r="G242" s="3">
        <v>0</v>
      </c>
      <c r="H242" s="3">
        <v>239404</v>
      </c>
      <c r="I242" s="3">
        <v>9021.24</v>
      </c>
      <c r="J242" s="3">
        <v>6.2469999999999999</v>
      </c>
      <c r="K242" s="2"/>
      <c r="U242" s="2"/>
      <c r="AE242" s="2"/>
      <c r="AO242" s="2"/>
      <c r="AY242" s="2">
        <v>46197</v>
      </c>
      <c r="AZ242" s="3" t="s">
        <v>1661</v>
      </c>
      <c r="BA242" s="3" t="s">
        <v>1529</v>
      </c>
      <c r="BB242" s="3" t="s">
        <v>1662</v>
      </c>
      <c r="BC242" s="3">
        <v>0</v>
      </c>
      <c r="BD242" s="3">
        <v>0.05</v>
      </c>
      <c r="BE242" s="3">
        <v>0</v>
      </c>
      <c r="BF242" s="3">
        <v>57545</v>
      </c>
      <c r="BG242" s="3">
        <v>9826.57</v>
      </c>
      <c r="BH242" s="3">
        <v>1.5057</v>
      </c>
      <c r="BI242" s="2"/>
      <c r="BS242" s="2"/>
      <c r="CC242" s="2">
        <v>46197</v>
      </c>
      <c r="CD242" s="3" t="s">
        <v>744</v>
      </c>
      <c r="CE242" s="3" t="s">
        <v>29</v>
      </c>
      <c r="CF242" s="3" t="s">
        <v>2621</v>
      </c>
      <c r="CG242" s="3">
        <v>0</v>
      </c>
      <c r="CH242" s="3">
        <v>0.12</v>
      </c>
      <c r="CI242" s="3">
        <v>0</v>
      </c>
      <c r="CJ242" s="3">
        <v>183238</v>
      </c>
      <c r="CK242" s="3">
        <v>8332.7199999999993</v>
      </c>
      <c r="CL242" s="3">
        <v>9.5428999999999995</v>
      </c>
      <c r="CM242" s="2"/>
      <c r="CW242" s="2"/>
    </row>
    <row r="243" spans="1:101" ht="13.5" customHeight="1" x14ac:dyDescent="0.3">
      <c r="A243" s="2">
        <v>46197</v>
      </c>
      <c r="B243" s="3" t="s">
        <v>2050</v>
      </c>
      <c r="C243" s="3" t="s">
        <v>2016</v>
      </c>
      <c r="D243" s="3" t="s">
        <v>2051</v>
      </c>
      <c r="E243" s="3">
        <v>0</v>
      </c>
      <c r="F243" s="3">
        <v>0.21</v>
      </c>
      <c r="G243" s="3">
        <v>0</v>
      </c>
      <c r="H243" s="3">
        <v>239194</v>
      </c>
      <c r="I243" s="3">
        <v>10015.469999999999</v>
      </c>
      <c r="J243" s="3">
        <v>1.8683000000000001</v>
      </c>
      <c r="K243" s="2"/>
      <c r="U243" s="2"/>
      <c r="AE243" s="2"/>
      <c r="AO243" s="2"/>
      <c r="AY243" s="2">
        <v>46197</v>
      </c>
      <c r="AZ243" s="3" t="s">
        <v>1663</v>
      </c>
      <c r="BA243" s="3" t="s">
        <v>1664</v>
      </c>
      <c r="BB243" s="3" t="s">
        <v>1665</v>
      </c>
      <c r="BC243" s="3">
        <v>0</v>
      </c>
      <c r="BD243" s="3">
        <v>0.05</v>
      </c>
      <c r="BE243" s="3">
        <v>0</v>
      </c>
      <c r="BF243" s="3">
        <v>57534</v>
      </c>
      <c r="BG243" s="3">
        <v>9824.86</v>
      </c>
      <c r="BH243" s="3">
        <v>1.526</v>
      </c>
      <c r="BI243" s="2"/>
      <c r="BS243" s="2"/>
      <c r="CC243" s="2">
        <v>46197</v>
      </c>
      <c r="CD243" s="3" t="s">
        <v>2622</v>
      </c>
      <c r="CE243" s="3" t="s">
        <v>2623</v>
      </c>
      <c r="CF243" s="3" t="s">
        <v>2624</v>
      </c>
      <c r="CG243" s="3">
        <v>0</v>
      </c>
      <c r="CH243" s="3">
        <v>0.12</v>
      </c>
      <c r="CI243" s="3">
        <v>0</v>
      </c>
      <c r="CJ243" s="3">
        <v>181096</v>
      </c>
      <c r="CK243" s="3">
        <v>9642.7199999999993</v>
      </c>
      <c r="CL243" s="3">
        <v>3.5091000000000001</v>
      </c>
      <c r="CM243" s="2"/>
      <c r="CW243" s="2"/>
    </row>
    <row r="244" spans="1:101" ht="13.5" customHeight="1" x14ac:dyDescent="0.3">
      <c r="A244" s="2">
        <v>46197</v>
      </c>
      <c r="B244" s="3" t="s">
        <v>2052</v>
      </c>
      <c r="C244" s="3" t="s">
        <v>1392</v>
      </c>
      <c r="D244" s="3" t="s">
        <v>2053</v>
      </c>
      <c r="E244" s="3">
        <v>0</v>
      </c>
      <c r="F244" s="3">
        <v>0.21</v>
      </c>
      <c r="G244" s="3">
        <v>0</v>
      </c>
      <c r="H244" s="3">
        <v>238968</v>
      </c>
      <c r="I244" s="3">
        <v>10007.120000000001</v>
      </c>
      <c r="J244" s="3">
        <v>0.1333</v>
      </c>
      <c r="K244" s="2"/>
      <c r="U244" s="2"/>
      <c r="AE244" s="2"/>
      <c r="AO244" s="2"/>
      <c r="AY244" s="2">
        <v>46197</v>
      </c>
      <c r="AZ244" s="3" t="s">
        <v>1666</v>
      </c>
      <c r="BA244" s="3" t="s">
        <v>1055</v>
      </c>
      <c r="BB244" s="3" t="s">
        <v>1667</v>
      </c>
      <c r="BC244" s="3">
        <v>0</v>
      </c>
      <c r="BD244" s="3">
        <v>0.05</v>
      </c>
      <c r="BE244" s="3">
        <v>0</v>
      </c>
      <c r="BF244" s="3">
        <v>57452</v>
      </c>
      <c r="BG244" s="3">
        <v>9810.3700000000008</v>
      </c>
      <c r="BH244" s="3">
        <v>1.423</v>
      </c>
      <c r="BI244" s="2"/>
      <c r="BS244" s="2"/>
      <c r="CC244" s="2">
        <v>46197</v>
      </c>
      <c r="CD244" s="3" t="s">
        <v>97</v>
      </c>
      <c r="CE244" s="3" t="s">
        <v>98</v>
      </c>
      <c r="CF244" s="3" t="s">
        <v>2625</v>
      </c>
      <c r="CG244" s="3">
        <v>0</v>
      </c>
      <c r="CH244" s="3">
        <v>0.12</v>
      </c>
      <c r="CI244" s="3">
        <v>0</v>
      </c>
      <c r="CJ244" s="3">
        <v>179042</v>
      </c>
      <c r="CK244" s="3">
        <v>8473.98</v>
      </c>
      <c r="CL244" s="3">
        <v>4.0532000000000004</v>
      </c>
      <c r="CM244" s="2"/>
      <c r="CW244" s="2"/>
    </row>
    <row r="245" spans="1:101" ht="13.5" customHeight="1" x14ac:dyDescent="0.3">
      <c r="A245" s="2">
        <v>46197</v>
      </c>
      <c r="B245" s="3" t="s">
        <v>1570</v>
      </c>
      <c r="C245" s="3" t="s">
        <v>1571</v>
      </c>
      <c r="D245" s="3" t="s">
        <v>1572</v>
      </c>
      <c r="E245" s="3">
        <v>0</v>
      </c>
      <c r="F245" s="3">
        <v>0.21</v>
      </c>
      <c r="G245" s="3">
        <v>0</v>
      </c>
      <c r="H245" s="3">
        <v>238235</v>
      </c>
      <c r="I245" s="3">
        <v>8979.27</v>
      </c>
      <c r="J245" s="3">
        <v>4.8391000000000002</v>
      </c>
      <c r="K245" s="2"/>
      <c r="U245" s="2"/>
      <c r="AE245" s="2"/>
      <c r="AO245" s="2"/>
      <c r="AY245" s="2">
        <v>46197</v>
      </c>
      <c r="AZ245" s="3" t="s">
        <v>1668</v>
      </c>
      <c r="BA245" s="3" t="s">
        <v>50</v>
      </c>
      <c r="BB245" s="3" t="s">
        <v>1669</v>
      </c>
      <c r="BC245" s="3">
        <v>0</v>
      </c>
      <c r="BD245" s="3">
        <v>0.04</v>
      </c>
      <c r="BE245" s="3">
        <v>0</v>
      </c>
      <c r="BF245" s="3">
        <v>55236</v>
      </c>
      <c r="BG245" s="3">
        <v>10008.85</v>
      </c>
      <c r="BH245" s="3">
        <v>0.69499999999999995</v>
      </c>
      <c r="BI245" s="2"/>
      <c r="BS245" s="2"/>
      <c r="CC245" s="2">
        <v>46197</v>
      </c>
      <c r="CD245" s="3" t="s">
        <v>2626</v>
      </c>
      <c r="CE245" s="3" t="s">
        <v>2627</v>
      </c>
      <c r="CF245" s="3" t="s">
        <v>2628</v>
      </c>
      <c r="CG245" s="3">
        <v>0</v>
      </c>
      <c r="CH245" s="3">
        <v>0.11</v>
      </c>
      <c r="CI245" s="3">
        <v>0</v>
      </c>
      <c r="CJ245" s="3">
        <v>166262</v>
      </c>
      <c r="CK245" s="3">
        <v>9566.69</v>
      </c>
      <c r="CL245" s="3">
        <v>2.0154000000000001</v>
      </c>
      <c r="CM245" s="2"/>
      <c r="CW245" s="2"/>
    </row>
    <row r="246" spans="1:101" ht="13.5" customHeight="1" x14ac:dyDescent="0.3">
      <c r="A246" s="2">
        <v>46197</v>
      </c>
      <c r="B246" s="3" t="s">
        <v>2054</v>
      </c>
      <c r="C246" s="3" t="s">
        <v>2055</v>
      </c>
      <c r="D246" s="3" t="s">
        <v>2056</v>
      </c>
      <c r="E246" s="3">
        <v>0</v>
      </c>
      <c r="F246" s="3">
        <v>0.21</v>
      </c>
      <c r="G246" s="3">
        <v>0</v>
      </c>
      <c r="H246" s="3">
        <v>236786</v>
      </c>
      <c r="I246" s="3">
        <v>9699.2900000000009</v>
      </c>
      <c r="J246" s="3">
        <v>2.3511000000000002</v>
      </c>
      <c r="K246" s="2"/>
      <c r="U246" s="2"/>
      <c r="AE246" s="2"/>
      <c r="AO246" s="2"/>
      <c r="AY246" s="2">
        <v>46197</v>
      </c>
      <c r="AZ246" s="3" t="s">
        <v>843</v>
      </c>
      <c r="BA246" s="3" t="s">
        <v>29</v>
      </c>
      <c r="BB246" s="3" t="s">
        <v>844</v>
      </c>
      <c r="BC246" s="3">
        <v>0</v>
      </c>
      <c r="BD246" s="3">
        <v>0.04</v>
      </c>
      <c r="BE246" s="3">
        <v>0</v>
      </c>
      <c r="BF246" s="3">
        <v>54058</v>
      </c>
      <c r="BG246" s="3">
        <v>9898.7199999999993</v>
      </c>
      <c r="BH246" s="3">
        <v>0.94179999999999997</v>
      </c>
      <c r="BI246" s="2"/>
      <c r="BS246" s="2"/>
      <c r="CC246" s="2">
        <v>46197</v>
      </c>
      <c r="CD246" s="3" t="s">
        <v>44</v>
      </c>
      <c r="CE246" s="3" t="s">
        <v>29</v>
      </c>
      <c r="CF246" s="3" t="s">
        <v>2629</v>
      </c>
      <c r="CG246" s="3">
        <v>0</v>
      </c>
      <c r="CH246" s="3">
        <v>0.11</v>
      </c>
      <c r="CI246" s="3">
        <v>0</v>
      </c>
      <c r="CJ246" s="3">
        <v>154960</v>
      </c>
      <c r="CK246" s="3">
        <v>9650.58</v>
      </c>
      <c r="CL246" s="3">
        <v>5.3255999999999997</v>
      </c>
      <c r="CM246" s="2"/>
      <c r="CW246" s="2"/>
    </row>
    <row r="247" spans="1:101" ht="13.5" customHeight="1" x14ac:dyDescent="0.3">
      <c r="A247" s="2">
        <v>46197</v>
      </c>
      <c r="B247" s="3" t="s">
        <v>2057</v>
      </c>
      <c r="C247" s="3" t="s">
        <v>1373</v>
      </c>
      <c r="D247" s="3" t="s">
        <v>2058</v>
      </c>
      <c r="E247" s="3">
        <v>0</v>
      </c>
      <c r="F247" s="3">
        <v>0.21</v>
      </c>
      <c r="G247" s="3">
        <v>0</v>
      </c>
      <c r="H247" s="3">
        <v>235337</v>
      </c>
      <c r="I247" s="3">
        <v>8869.0300000000007</v>
      </c>
      <c r="J247" s="3">
        <v>5.0221</v>
      </c>
      <c r="K247" s="2"/>
      <c r="U247" s="2"/>
      <c r="AE247" s="2"/>
      <c r="AO247" s="2"/>
      <c r="AY247" s="2">
        <v>46197</v>
      </c>
      <c r="AZ247" s="3" t="s">
        <v>33</v>
      </c>
      <c r="BA247" s="3" t="s">
        <v>29</v>
      </c>
      <c r="BB247" s="3" t="s">
        <v>34</v>
      </c>
      <c r="BC247" s="3">
        <v>0</v>
      </c>
      <c r="BD247" s="3">
        <v>0.04</v>
      </c>
      <c r="BE247" s="3">
        <v>0</v>
      </c>
      <c r="BF247" s="3">
        <v>53465</v>
      </c>
      <c r="BG247" s="3">
        <v>9228.02</v>
      </c>
      <c r="BH247" s="3">
        <v>7.3311999999999999</v>
      </c>
      <c r="BI247" s="2"/>
      <c r="BS247" s="2"/>
      <c r="CC247" s="2">
        <v>46197</v>
      </c>
      <c r="CD247" s="3" t="s">
        <v>741</v>
      </c>
      <c r="CE247" s="3" t="s">
        <v>29</v>
      </c>
      <c r="CF247" s="3" t="s">
        <v>2630</v>
      </c>
      <c r="CG247" s="3">
        <v>0</v>
      </c>
      <c r="CH247" s="3">
        <v>0.1</v>
      </c>
      <c r="CI247" s="3">
        <v>0</v>
      </c>
      <c r="CJ247" s="3">
        <v>151329</v>
      </c>
      <c r="CK247" s="3">
        <v>8057.91</v>
      </c>
      <c r="CL247" s="3">
        <v>13.7516</v>
      </c>
      <c r="CM247" s="2"/>
      <c r="CW247" s="2"/>
    </row>
    <row r="248" spans="1:101" ht="13.5" customHeight="1" x14ac:dyDescent="0.3">
      <c r="A248" s="2">
        <v>46197</v>
      </c>
      <c r="B248" s="3" t="s">
        <v>2059</v>
      </c>
      <c r="C248" s="3" t="s">
        <v>321</v>
      </c>
      <c r="D248" s="3" t="s">
        <v>2060</v>
      </c>
      <c r="E248" s="3">
        <v>0</v>
      </c>
      <c r="F248" s="3">
        <v>0.2</v>
      </c>
      <c r="G248" s="3">
        <v>0</v>
      </c>
      <c r="H248" s="3">
        <v>222283</v>
      </c>
      <c r="I248" s="3">
        <v>8377.25</v>
      </c>
      <c r="J248" s="3">
        <v>9.3994999999999997</v>
      </c>
      <c r="K248" s="2"/>
      <c r="U248" s="2"/>
      <c r="AE248" s="2"/>
      <c r="AO248" s="2"/>
      <c r="AY248" s="2">
        <v>46197</v>
      </c>
      <c r="AZ248" s="3" t="s">
        <v>1670</v>
      </c>
      <c r="BA248" s="3" t="s">
        <v>1288</v>
      </c>
      <c r="BB248" s="3" t="s">
        <v>1671</v>
      </c>
      <c r="BC248" s="3">
        <v>0</v>
      </c>
      <c r="BD248" s="3">
        <v>0.04</v>
      </c>
      <c r="BE248" s="3">
        <v>0</v>
      </c>
      <c r="BF248" s="3">
        <v>51651</v>
      </c>
      <c r="BG248" s="3">
        <v>9593.11</v>
      </c>
      <c r="BH248" s="3">
        <v>2.7469999999999999</v>
      </c>
      <c r="BI248" s="2"/>
      <c r="BS248" s="2"/>
      <c r="CC248" s="2">
        <v>46197</v>
      </c>
      <c r="CD248" s="3" t="s">
        <v>2631</v>
      </c>
      <c r="CE248" s="3" t="s">
        <v>2632</v>
      </c>
      <c r="CF248" s="3" t="s">
        <v>2633</v>
      </c>
      <c r="CG248" s="3">
        <v>0</v>
      </c>
      <c r="CH248" s="3">
        <v>0.1</v>
      </c>
      <c r="CI248" s="3">
        <v>0</v>
      </c>
      <c r="CJ248" s="3">
        <v>141151</v>
      </c>
      <c r="CK248" s="3">
        <v>10021.35</v>
      </c>
      <c r="CL248" s="3">
        <v>0.2009</v>
      </c>
      <c r="CM248" s="2"/>
      <c r="CW248" s="2"/>
    </row>
    <row r="249" spans="1:101" ht="13.5" customHeight="1" x14ac:dyDescent="0.3">
      <c r="A249" s="2">
        <v>46197</v>
      </c>
      <c r="B249" s="3" t="s">
        <v>2061</v>
      </c>
      <c r="C249" s="3" t="s">
        <v>98</v>
      </c>
      <c r="D249" s="3" t="s">
        <v>2062</v>
      </c>
      <c r="E249" s="3">
        <v>0</v>
      </c>
      <c r="F249" s="3">
        <v>0.2</v>
      </c>
      <c r="G249" s="3">
        <v>0</v>
      </c>
      <c r="H249" s="3">
        <v>219689</v>
      </c>
      <c r="I249" s="3">
        <v>8278.75</v>
      </c>
      <c r="J249" s="3">
        <v>4.5263</v>
      </c>
      <c r="K249" s="2"/>
      <c r="U249" s="2"/>
      <c r="AE249" s="2"/>
      <c r="AO249" s="2"/>
      <c r="AY249" s="2">
        <v>46197</v>
      </c>
      <c r="AZ249" s="3" t="s">
        <v>737</v>
      </c>
      <c r="BA249" s="3" t="s">
        <v>29</v>
      </c>
      <c r="BB249" s="3" t="s">
        <v>738</v>
      </c>
      <c r="BC249" s="3">
        <v>0</v>
      </c>
      <c r="BD249" s="3">
        <v>0.03</v>
      </c>
      <c r="BE249" s="3">
        <v>0</v>
      </c>
      <c r="BF249" s="3">
        <v>42967</v>
      </c>
      <c r="BG249" s="3">
        <v>5880</v>
      </c>
      <c r="BH249" s="3">
        <v>18.049099999999999</v>
      </c>
      <c r="BI249" s="2"/>
      <c r="BS249" s="2"/>
      <c r="CC249" s="2">
        <v>46197</v>
      </c>
      <c r="CD249" s="3" t="s">
        <v>2634</v>
      </c>
      <c r="CE249" s="3" t="s">
        <v>1992</v>
      </c>
      <c r="CF249" s="3" t="s">
        <v>2635</v>
      </c>
      <c r="CG249" s="3">
        <v>0</v>
      </c>
      <c r="CH249" s="3">
        <v>0.1</v>
      </c>
      <c r="CI249" s="3">
        <v>0</v>
      </c>
      <c r="CJ249" s="3">
        <v>140820</v>
      </c>
      <c r="CK249" s="3">
        <v>9997.44</v>
      </c>
      <c r="CL249" s="3">
        <v>2.6941000000000002</v>
      </c>
      <c r="CM249" s="2"/>
      <c r="CW249" s="2"/>
    </row>
    <row r="250" spans="1:101" ht="13.5" customHeight="1" x14ac:dyDescent="0.3">
      <c r="A250" s="2">
        <v>46197</v>
      </c>
      <c r="B250" s="3" t="s">
        <v>2063</v>
      </c>
      <c r="C250" s="3" t="s">
        <v>98</v>
      </c>
      <c r="D250" s="3" t="s">
        <v>2064</v>
      </c>
      <c r="E250" s="3">
        <v>0</v>
      </c>
      <c r="F250" s="3">
        <v>0.2</v>
      </c>
      <c r="G250" s="3">
        <v>0</v>
      </c>
      <c r="H250" s="3">
        <v>217201</v>
      </c>
      <c r="I250" s="3">
        <v>8185.73</v>
      </c>
      <c r="J250" s="3">
        <v>4.7671999999999999</v>
      </c>
      <c r="K250" s="2"/>
      <c r="U250" s="2"/>
      <c r="AE250" s="2"/>
      <c r="AO250" s="2"/>
      <c r="AY250" s="2">
        <v>46197</v>
      </c>
      <c r="AZ250" s="3" t="s">
        <v>1672</v>
      </c>
      <c r="BA250" s="3" t="s">
        <v>50</v>
      </c>
      <c r="BB250" s="3" t="s">
        <v>1673</v>
      </c>
      <c r="BC250" s="3">
        <v>0</v>
      </c>
      <c r="BD250" s="3">
        <v>0.03</v>
      </c>
      <c r="BE250" s="3">
        <v>0</v>
      </c>
      <c r="BF250" s="3">
        <v>37019</v>
      </c>
      <c r="BG250" s="3">
        <v>10027.049999999999</v>
      </c>
      <c r="BH250" s="3">
        <v>1.6355</v>
      </c>
      <c r="BI250" s="2"/>
      <c r="BS250" s="2"/>
      <c r="CC250" s="2">
        <v>46197</v>
      </c>
      <c r="CD250" s="3" t="s">
        <v>2636</v>
      </c>
      <c r="CE250" s="3" t="s">
        <v>553</v>
      </c>
      <c r="CF250" s="3" t="s">
        <v>2637</v>
      </c>
      <c r="CG250" s="3">
        <v>0</v>
      </c>
      <c r="CH250" s="3">
        <v>0.09</v>
      </c>
      <c r="CI250" s="3">
        <v>0</v>
      </c>
      <c r="CJ250" s="3">
        <v>127655</v>
      </c>
      <c r="CK250" s="3">
        <v>9060.98</v>
      </c>
      <c r="CL250" s="3">
        <v>4.3715999999999999</v>
      </c>
      <c r="CM250" s="2"/>
      <c r="CW250" s="2"/>
    </row>
    <row r="251" spans="1:101" ht="13.5" customHeight="1" x14ac:dyDescent="0.3">
      <c r="A251" s="2">
        <v>46197</v>
      </c>
      <c r="B251" s="3" t="s">
        <v>2065</v>
      </c>
      <c r="C251" s="3" t="s">
        <v>312</v>
      </c>
      <c r="D251" s="3" t="s">
        <v>2066</v>
      </c>
      <c r="E251" s="3">
        <v>0</v>
      </c>
      <c r="F251" s="3">
        <v>0.19</v>
      </c>
      <c r="G251" s="3">
        <v>0</v>
      </c>
      <c r="H251" s="3">
        <v>215756</v>
      </c>
      <c r="I251" s="3">
        <v>8134.9</v>
      </c>
      <c r="J251" s="3">
        <v>13.6983</v>
      </c>
      <c r="K251" s="2"/>
      <c r="U251" s="2"/>
      <c r="AE251" s="2"/>
      <c r="AO251" s="2"/>
      <c r="AY251" s="2">
        <v>46197</v>
      </c>
      <c r="AZ251" s="3" t="s">
        <v>1674</v>
      </c>
      <c r="BA251" s="3" t="s">
        <v>1675</v>
      </c>
      <c r="BB251" s="3" t="s">
        <v>1676</v>
      </c>
      <c r="BC251" s="3">
        <v>0</v>
      </c>
      <c r="BD251" s="3">
        <v>0.03</v>
      </c>
      <c r="BE251" s="3">
        <v>0</v>
      </c>
      <c r="BF251" s="3">
        <v>36641</v>
      </c>
      <c r="BG251" s="3">
        <v>9526.7800000000007</v>
      </c>
      <c r="BH251" s="3">
        <v>2.6074999999999999</v>
      </c>
      <c r="BI251" s="2"/>
      <c r="BS251" s="2"/>
      <c r="CC251" s="2">
        <v>46197</v>
      </c>
      <c r="CD251" s="3" t="s">
        <v>2638</v>
      </c>
      <c r="CE251" s="3" t="s">
        <v>113</v>
      </c>
      <c r="CF251" s="3" t="s">
        <v>2639</v>
      </c>
      <c r="CG251" s="3">
        <v>0</v>
      </c>
      <c r="CH251" s="3">
        <v>0.08</v>
      </c>
      <c r="CI251" s="3">
        <v>0</v>
      </c>
      <c r="CJ251" s="3">
        <v>110933</v>
      </c>
      <c r="CK251" s="3">
        <v>9450.2999999999993</v>
      </c>
      <c r="CL251" s="3">
        <v>2.7387999999999999</v>
      </c>
      <c r="CM251" s="2"/>
      <c r="CW251" s="2"/>
    </row>
    <row r="252" spans="1:101" ht="13.5" customHeight="1" x14ac:dyDescent="0.3">
      <c r="A252" s="2">
        <v>46197</v>
      </c>
      <c r="B252" s="3" t="s">
        <v>2067</v>
      </c>
      <c r="C252" s="3" t="s">
        <v>792</v>
      </c>
      <c r="D252" s="3" t="s">
        <v>2068</v>
      </c>
      <c r="E252" s="3">
        <v>0</v>
      </c>
      <c r="F252" s="3">
        <v>0.19</v>
      </c>
      <c r="G252" s="3">
        <v>0</v>
      </c>
      <c r="H252" s="3">
        <v>213973</v>
      </c>
      <c r="I252" s="3">
        <v>10079.6</v>
      </c>
      <c r="J252" s="3">
        <v>1.6745000000000001</v>
      </c>
      <c r="K252" s="2"/>
      <c r="U252" s="2"/>
      <c r="AE252" s="2"/>
      <c r="AO252" s="2"/>
      <c r="AY252" s="2">
        <v>46197</v>
      </c>
      <c r="AZ252" s="3" t="s">
        <v>1677</v>
      </c>
      <c r="BA252" s="3" t="s">
        <v>1288</v>
      </c>
      <c r="BB252" s="3" t="s">
        <v>1678</v>
      </c>
      <c r="BC252" s="3">
        <v>0</v>
      </c>
      <c r="BD252" s="3">
        <v>0.03</v>
      </c>
      <c r="BE252" s="3">
        <v>0</v>
      </c>
      <c r="BF252" s="3">
        <v>36628</v>
      </c>
      <c r="BG252" s="3">
        <v>9523.94</v>
      </c>
      <c r="BH252" s="3">
        <v>2.9068999999999998</v>
      </c>
      <c r="BI252" s="2"/>
      <c r="BS252" s="2"/>
      <c r="CC252" s="2">
        <v>46197</v>
      </c>
      <c r="CD252" s="3" t="s">
        <v>2640</v>
      </c>
      <c r="CE252" s="3" t="s">
        <v>801</v>
      </c>
      <c r="CF252" s="3" t="s">
        <v>2641</v>
      </c>
      <c r="CG252" s="3">
        <v>0</v>
      </c>
      <c r="CH252" s="3">
        <v>0.08</v>
      </c>
      <c r="CI252" s="3">
        <v>0</v>
      </c>
      <c r="CJ252" s="3">
        <v>110562</v>
      </c>
      <c r="CK252" s="3">
        <v>9419.09</v>
      </c>
      <c r="CL252" s="3">
        <v>5.0377999999999998</v>
      </c>
      <c r="CM252" s="2"/>
      <c r="CW252" s="2"/>
    </row>
    <row r="253" spans="1:101" ht="13.5" customHeight="1" x14ac:dyDescent="0.3">
      <c r="A253" s="2">
        <v>46197</v>
      </c>
      <c r="B253" s="3" t="s">
        <v>2069</v>
      </c>
      <c r="C253" s="3" t="s">
        <v>1878</v>
      </c>
      <c r="D253" s="3" t="s">
        <v>2070</v>
      </c>
      <c r="E253" s="3">
        <v>0</v>
      </c>
      <c r="F253" s="3">
        <v>0.19</v>
      </c>
      <c r="G253" s="3">
        <v>0</v>
      </c>
      <c r="H253" s="3">
        <v>207729</v>
      </c>
      <c r="I253" s="3">
        <v>9784.9699999999993</v>
      </c>
      <c r="J253" s="3">
        <v>3.0463</v>
      </c>
      <c r="K253" s="2"/>
      <c r="U253" s="2"/>
      <c r="AE253" s="2"/>
      <c r="AO253" s="2"/>
      <c r="AY253" s="2">
        <v>46197</v>
      </c>
      <c r="AZ253" s="3" t="s">
        <v>753</v>
      </c>
      <c r="BA253" s="3" t="s">
        <v>29</v>
      </c>
      <c r="BB253" s="3" t="s">
        <v>754</v>
      </c>
      <c r="BC253" s="3">
        <v>0</v>
      </c>
      <c r="BD253" s="3">
        <v>0.03</v>
      </c>
      <c r="BE253" s="3">
        <v>0</v>
      </c>
      <c r="BF253" s="3">
        <v>36293</v>
      </c>
      <c r="BG253" s="3">
        <v>7831.26</v>
      </c>
      <c r="BH253" s="3">
        <v>9.1460000000000008</v>
      </c>
      <c r="BI253" s="2"/>
      <c r="BS253" s="2"/>
      <c r="CC253" s="2">
        <v>46197</v>
      </c>
      <c r="CD253" s="3" t="s">
        <v>103</v>
      </c>
      <c r="CE253" s="3" t="s">
        <v>63</v>
      </c>
      <c r="CF253" s="3" t="s">
        <v>2642</v>
      </c>
      <c r="CG253" s="3">
        <v>0</v>
      </c>
      <c r="CH253" s="3">
        <v>7.0000000000000007E-2</v>
      </c>
      <c r="CI253" s="3">
        <v>0</v>
      </c>
      <c r="CJ253" s="3">
        <v>106384</v>
      </c>
      <c r="CK253" s="3">
        <v>9602.49</v>
      </c>
      <c r="CL253" s="3">
        <v>12.1774</v>
      </c>
      <c r="CM253" s="2"/>
      <c r="CW253" s="2"/>
    </row>
    <row r="254" spans="1:101" ht="13.5" customHeight="1" x14ac:dyDescent="0.3">
      <c r="A254" s="2">
        <v>46197</v>
      </c>
      <c r="B254" s="3" t="s">
        <v>115</v>
      </c>
      <c r="C254" s="3" t="s">
        <v>29</v>
      </c>
      <c r="D254" s="3" t="s">
        <v>116</v>
      </c>
      <c r="E254" s="3">
        <v>0</v>
      </c>
      <c r="F254" s="3">
        <v>0.19</v>
      </c>
      <c r="G254" s="3">
        <v>0</v>
      </c>
      <c r="H254" s="3">
        <v>207037</v>
      </c>
      <c r="I254" s="3">
        <v>9088.81</v>
      </c>
      <c r="J254" s="3">
        <v>4.6387</v>
      </c>
      <c r="K254" s="2"/>
      <c r="U254" s="2"/>
      <c r="AE254" s="2"/>
      <c r="AO254" s="2"/>
      <c r="AY254" s="2">
        <v>46197</v>
      </c>
      <c r="AZ254" s="3" t="s">
        <v>128</v>
      </c>
      <c r="BA254" s="3" t="s">
        <v>50</v>
      </c>
      <c r="BB254" s="3" t="s">
        <v>129</v>
      </c>
      <c r="BC254" s="3">
        <v>0</v>
      </c>
      <c r="BD254" s="3">
        <v>0.03</v>
      </c>
      <c r="BE254" s="3">
        <v>0</v>
      </c>
      <c r="BF254" s="3">
        <v>36182</v>
      </c>
      <c r="BG254" s="3">
        <v>10008.629999999999</v>
      </c>
      <c r="BH254" s="3">
        <v>0.93910000000000005</v>
      </c>
      <c r="BI254" s="2"/>
      <c r="BS254" s="2"/>
      <c r="CC254" s="2">
        <v>46197</v>
      </c>
      <c r="CD254" s="3" t="s">
        <v>79</v>
      </c>
      <c r="CE254" s="3" t="s">
        <v>29</v>
      </c>
      <c r="CF254" s="3" t="s">
        <v>2643</v>
      </c>
      <c r="CG254" s="3">
        <v>0</v>
      </c>
      <c r="CH254" s="3">
        <v>7.0000000000000007E-2</v>
      </c>
      <c r="CI254" s="3">
        <v>0</v>
      </c>
      <c r="CJ254" s="3">
        <v>103428</v>
      </c>
      <c r="CK254" s="3">
        <v>8990.59</v>
      </c>
      <c r="CL254" s="3">
        <v>16.330300000000001</v>
      </c>
      <c r="CM254" s="2"/>
      <c r="CW254" s="2"/>
    </row>
    <row r="255" spans="1:101" ht="13.5" customHeight="1" x14ac:dyDescent="0.3">
      <c r="A255" s="2">
        <v>46197</v>
      </c>
      <c r="B255" s="3" t="s">
        <v>2071</v>
      </c>
      <c r="C255" s="3" t="s">
        <v>1304</v>
      </c>
      <c r="D255" s="3" t="s">
        <v>2072</v>
      </c>
      <c r="E255" s="3">
        <v>0</v>
      </c>
      <c r="F255" s="3">
        <v>0.19</v>
      </c>
      <c r="G255" s="3">
        <v>0</v>
      </c>
      <c r="H255" s="3">
        <v>206696</v>
      </c>
      <c r="I255" s="3">
        <v>9860.1200000000008</v>
      </c>
      <c r="J255" s="3">
        <v>1.4173</v>
      </c>
      <c r="K255" s="2"/>
      <c r="U255" s="2"/>
      <c r="AE255" s="2"/>
      <c r="AO255" s="2"/>
      <c r="AY255" s="2">
        <v>46197</v>
      </c>
      <c r="AZ255" s="3" t="s">
        <v>1679</v>
      </c>
      <c r="BA255" s="3" t="s">
        <v>913</v>
      </c>
      <c r="BB255" s="3" t="s">
        <v>1680</v>
      </c>
      <c r="BC255" s="3">
        <v>0</v>
      </c>
      <c r="BD255" s="3">
        <v>0.02</v>
      </c>
      <c r="BE255" s="3">
        <v>0</v>
      </c>
      <c r="BF255" s="3">
        <v>29517</v>
      </c>
      <c r="BG255" s="3">
        <v>10099.98</v>
      </c>
      <c r="BH255" s="3">
        <v>5.0834999999999999</v>
      </c>
      <c r="BI255" s="2"/>
      <c r="BS255" s="2"/>
      <c r="CC255" s="2">
        <v>46197</v>
      </c>
      <c r="CD255" s="3" t="s">
        <v>2644</v>
      </c>
      <c r="CE255" s="3" t="s">
        <v>2645</v>
      </c>
      <c r="CF255" s="3" t="s">
        <v>2646</v>
      </c>
      <c r="CG255" s="3">
        <v>0</v>
      </c>
      <c r="CH255" s="3">
        <v>0.06</v>
      </c>
      <c r="CI255" s="3">
        <v>0</v>
      </c>
      <c r="CJ255" s="3">
        <v>95293</v>
      </c>
      <c r="CK255" s="3">
        <v>10148.129999999999</v>
      </c>
      <c r="CL255" s="3">
        <v>1.1431</v>
      </c>
      <c r="CM255" s="2"/>
      <c r="CW255" s="2"/>
    </row>
    <row r="256" spans="1:101" ht="13.5" customHeight="1" x14ac:dyDescent="0.3">
      <c r="A256" s="2">
        <v>46197</v>
      </c>
      <c r="B256" s="3" t="s">
        <v>2073</v>
      </c>
      <c r="C256" s="3" t="s">
        <v>2074</v>
      </c>
      <c r="D256" s="3" t="s">
        <v>2075</v>
      </c>
      <c r="E256" s="3">
        <v>0</v>
      </c>
      <c r="F256" s="3">
        <v>0.18</v>
      </c>
      <c r="G256" s="3">
        <v>0</v>
      </c>
      <c r="H256" s="3">
        <v>205716</v>
      </c>
      <c r="I256" s="3">
        <v>7752.86</v>
      </c>
      <c r="J256" s="3">
        <v>17.213200000000001</v>
      </c>
      <c r="K256" s="2"/>
      <c r="U256" s="2"/>
      <c r="AE256" s="2"/>
      <c r="AO256" s="2"/>
      <c r="AY256" s="2">
        <v>46197</v>
      </c>
      <c r="AZ256" s="3" t="s">
        <v>1681</v>
      </c>
      <c r="BA256" s="3" t="s">
        <v>1682</v>
      </c>
      <c r="BB256" s="3" t="s">
        <v>1683</v>
      </c>
      <c r="BC256" s="3">
        <v>0</v>
      </c>
      <c r="BD256" s="3">
        <v>0.02</v>
      </c>
      <c r="BE256" s="3">
        <v>0</v>
      </c>
      <c r="BF256" s="3">
        <v>29113</v>
      </c>
      <c r="BI256" s="2"/>
      <c r="BS256" s="2"/>
      <c r="CC256" s="2">
        <v>46197</v>
      </c>
      <c r="CD256" s="3" t="s">
        <v>2647</v>
      </c>
      <c r="CE256" s="3" t="s">
        <v>1313</v>
      </c>
      <c r="CF256" s="3" t="s">
        <v>2648</v>
      </c>
      <c r="CG256" s="3">
        <v>0</v>
      </c>
      <c r="CH256" s="3">
        <v>0.06</v>
      </c>
      <c r="CI256" s="3">
        <v>0</v>
      </c>
      <c r="CJ256" s="3">
        <v>94493</v>
      </c>
      <c r="CK256" s="3">
        <v>10063.23</v>
      </c>
      <c r="CL256" s="3">
        <v>0.89559999999999995</v>
      </c>
      <c r="CM256" s="2"/>
      <c r="CW256" s="2"/>
    </row>
    <row r="257" spans="1:101" ht="13.5" customHeight="1" x14ac:dyDescent="0.3">
      <c r="A257" s="2">
        <v>46197</v>
      </c>
      <c r="B257" s="3" t="s">
        <v>121</v>
      </c>
      <c r="C257" s="3" t="s">
        <v>122</v>
      </c>
      <c r="D257" s="3" t="s">
        <v>123</v>
      </c>
      <c r="E257" s="3">
        <v>0</v>
      </c>
      <c r="F257" s="3">
        <v>0.18</v>
      </c>
      <c r="G257" s="3">
        <v>0</v>
      </c>
      <c r="H257" s="3">
        <v>204874</v>
      </c>
      <c r="I257" s="3">
        <v>9650.7999999999993</v>
      </c>
      <c r="J257" s="3">
        <v>2.1233</v>
      </c>
      <c r="K257" s="2"/>
      <c r="U257" s="2"/>
      <c r="AE257" s="2"/>
      <c r="AO257" s="2"/>
      <c r="AY257" s="2">
        <v>46197</v>
      </c>
      <c r="AZ257" s="3" t="s">
        <v>1684</v>
      </c>
      <c r="BA257" s="3" t="s">
        <v>351</v>
      </c>
      <c r="BB257" s="3" t="s">
        <v>1126</v>
      </c>
      <c r="BC257" s="3">
        <v>0</v>
      </c>
      <c r="BD257" s="3">
        <v>0.02</v>
      </c>
      <c r="BE257" s="3">
        <v>0</v>
      </c>
      <c r="BF257" s="3">
        <v>29096</v>
      </c>
      <c r="BI257" s="2"/>
      <c r="BS257" s="2"/>
      <c r="CC257" s="2">
        <v>46197</v>
      </c>
      <c r="CD257" s="3" t="s">
        <v>2649</v>
      </c>
      <c r="CE257" s="3" t="s">
        <v>1566</v>
      </c>
      <c r="CF257" s="3" t="s">
        <v>2650</v>
      </c>
      <c r="CG257" s="3">
        <v>0</v>
      </c>
      <c r="CH257" s="3">
        <v>0.06</v>
      </c>
      <c r="CI257" s="3">
        <v>0</v>
      </c>
      <c r="CJ257" s="3">
        <v>94170</v>
      </c>
      <c r="CK257" s="3">
        <v>10028.6</v>
      </c>
      <c r="CL257" s="3">
        <v>0.2676</v>
      </c>
      <c r="CM257" s="2"/>
      <c r="CW257" s="2"/>
    </row>
    <row r="258" spans="1:101" ht="13.5" customHeight="1" x14ac:dyDescent="0.3">
      <c r="A258" s="2">
        <v>46197</v>
      </c>
      <c r="B258" s="3" t="s">
        <v>2076</v>
      </c>
      <c r="C258" s="3" t="s">
        <v>98</v>
      </c>
      <c r="D258" s="3" t="s">
        <v>2077</v>
      </c>
      <c r="E258" s="3">
        <v>0</v>
      </c>
      <c r="F258" s="3">
        <v>0.18</v>
      </c>
      <c r="G258" s="3">
        <v>0</v>
      </c>
      <c r="H258" s="3">
        <v>201676</v>
      </c>
      <c r="I258" s="3">
        <v>7600.17</v>
      </c>
      <c r="J258" s="3">
        <v>6.4435000000000002</v>
      </c>
      <c r="K258" s="2"/>
      <c r="U258" s="2"/>
      <c r="AE258" s="2"/>
      <c r="AO258" s="2"/>
      <c r="AY258" s="2">
        <v>46197</v>
      </c>
      <c r="AZ258" s="3" t="s">
        <v>1685</v>
      </c>
      <c r="BA258" s="3" t="s">
        <v>1686</v>
      </c>
      <c r="BB258" s="3" t="s">
        <v>1687</v>
      </c>
      <c r="BC258" s="3">
        <v>0</v>
      </c>
      <c r="BD258" s="3">
        <v>0.02</v>
      </c>
      <c r="BE258" s="3">
        <v>0</v>
      </c>
      <c r="BF258" s="3">
        <v>29087</v>
      </c>
      <c r="BI258" s="2"/>
      <c r="BS258" s="2"/>
      <c r="CC258" s="2">
        <v>46197</v>
      </c>
      <c r="CD258" s="3" t="s">
        <v>2651</v>
      </c>
      <c r="CE258" s="3" t="s">
        <v>547</v>
      </c>
      <c r="CF258" s="3" t="s">
        <v>2652</v>
      </c>
      <c r="CG258" s="3">
        <v>0</v>
      </c>
      <c r="CH258" s="3">
        <v>0.06</v>
      </c>
      <c r="CI258" s="3">
        <v>0</v>
      </c>
      <c r="CJ258" s="3">
        <v>92612</v>
      </c>
      <c r="CK258" s="3">
        <v>9861.9</v>
      </c>
      <c r="CL258" s="3">
        <v>2.9359000000000002</v>
      </c>
      <c r="CM258" s="2"/>
      <c r="CW258" s="2"/>
    </row>
    <row r="259" spans="1:101" ht="13.5" customHeight="1" x14ac:dyDescent="0.3">
      <c r="A259" s="2">
        <v>46197</v>
      </c>
      <c r="B259" s="3" t="s">
        <v>2078</v>
      </c>
      <c r="C259" s="3" t="s">
        <v>2079</v>
      </c>
      <c r="D259" s="3" t="s">
        <v>2080</v>
      </c>
      <c r="E259" s="3">
        <v>0</v>
      </c>
      <c r="F259" s="3">
        <v>0.18</v>
      </c>
      <c r="G259" s="3">
        <v>0</v>
      </c>
      <c r="H259" s="3">
        <v>199700</v>
      </c>
      <c r="I259" s="3">
        <v>10032.24</v>
      </c>
      <c r="J259" s="3">
        <v>1.8743000000000001</v>
      </c>
      <c r="K259" s="2"/>
      <c r="U259" s="2"/>
      <c r="AE259" s="2"/>
      <c r="AO259" s="2"/>
      <c r="AY259" s="2">
        <v>46197</v>
      </c>
      <c r="AZ259" s="3" t="s">
        <v>1688</v>
      </c>
      <c r="BA259" s="3" t="s">
        <v>1686</v>
      </c>
      <c r="BB259" s="3" t="s">
        <v>1687</v>
      </c>
      <c r="BC259" s="3">
        <v>0</v>
      </c>
      <c r="BD259" s="3">
        <v>0.02</v>
      </c>
      <c r="BE259" s="3">
        <v>0</v>
      </c>
      <c r="BF259" s="3">
        <v>29087</v>
      </c>
      <c r="BI259" s="2"/>
      <c r="BS259" s="2"/>
      <c r="CC259" s="2">
        <v>46197</v>
      </c>
      <c r="CD259" s="3" t="s">
        <v>918</v>
      </c>
      <c r="CE259" s="3" t="s">
        <v>919</v>
      </c>
      <c r="CF259" s="3" t="s">
        <v>920</v>
      </c>
      <c r="CG259" s="3">
        <v>0</v>
      </c>
      <c r="CH259" s="3">
        <v>0.06</v>
      </c>
      <c r="CI259" s="3">
        <v>0</v>
      </c>
      <c r="CJ259" s="3">
        <v>89613</v>
      </c>
      <c r="CK259" s="3">
        <v>10045.59</v>
      </c>
      <c r="CL259" s="3">
        <v>5.0137999999999998</v>
      </c>
      <c r="CM259" s="2"/>
      <c r="CW259" s="2"/>
    </row>
    <row r="260" spans="1:101" ht="13.5" customHeight="1" x14ac:dyDescent="0.3">
      <c r="A260" s="2">
        <v>46197</v>
      </c>
      <c r="B260" s="3" t="s">
        <v>62</v>
      </c>
      <c r="C260" s="3" t="s">
        <v>63</v>
      </c>
      <c r="D260" s="3" t="s">
        <v>64</v>
      </c>
      <c r="E260" s="3">
        <v>0</v>
      </c>
      <c r="F260" s="3">
        <v>0.18</v>
      </c>
      <c r="G260" s="3">
        <v>0</v>
      </c>
      <c r="H260" s="3">
        <v>198074</v>
      </c>
      <c r="I260" s="3">
        <v>8294.31</v>
      </c>
      <c r="J260" s="3">
        <v>13.3939</v>
      </c>
      <c r="K260" s="2"/>
      <c r="U260" s="2"/>
      <c r="AE260" s="2"/>
      <c r="AO260" s="2"/>
      <c r="AY260" s="2">
        <v>46197</v>
      </c>
      <c r="AZ260" s="3" t="s">
        <v>1689</v>
      </c>
      <c r="BA260" s="3" t="s">
        <v>1410</v>
      </c>
      <c r="BB260" s="3" t="s">
        <v>589</v>
      </c>
      <c r="BC260" s="3">
        <v>0</v>
      </c>
      <c r="BD260" s="3">
        <v>0.02</v>
      </c>
      <c r="BE260" s="3">
        <v>0</v>
      </c>
      <c r="BF260" s="3">
        <v>29069</v>
      </c>
      <c r="BI260" s="2"/>
      <c r="BS260" s="2"/>
      <c r="CC260" s="2">
        <v>46197</v>
      </c>
      <c r="CD260" s="3" t="s">
        <v>2653</v>
      </c>
      <c r="CE260" s="3" t="s">
        <v>108</v>
      </c>
      <c r="CF260" s="3" t="s">
        <v>2654</v>
      </c>
      <c r="CG260" s="3">
        <v>0</v>
      </c>
      <c r="CH260" s="3">
        <v>0.06</v>
      </c>
      <c r="CI260" s="3">
        <v>0</v>
      </c>
      <c r="CJ260" s="3">
        <v>89586</v>
      </c>
      <c r="CK260" s="3">
        <v>9938.02</v>
      </c>
      <c r="CL260" s="3">
        <v>0.8165</v>
      </c>
      <c r="CM260" s="2"/>
      <c r="CW260" s="2"/>
    </row>
    <row r="261" spans="1:101" ht="13.5" customHeight="1" x14ac:dyDescent="0.3">
      <c r="A261" s="2">
        <v>46197</v>
      </c>
      <c r="B261" s="3" t="s">
        <v>2081</v>
      </c>
      <c r="C261" s="3" t="s">
        <v>98</v>
      </c>
      <c r="D261" s="3" t="s">
        <v>2082</v>
      </c>
      <c r="E261" s="3">
        <v>0</v>
      </c>
      <c r="F261" s="3">
        <v>0.18</v>
      </c>
      <c r="G261" s="3">
        <v>0</v>
      </c>
      <c r="H261" s="3">
        <v>196857</v>
      </c>
      <c r="I261" s="3">
        <v>7135.01</v>
      </c>
      <c r="J261" s="3">
        <v>7.8856999999999999</v>
      </c>
      <c r="K261" s="2"/>
      <c r="U261" s="2"/>
      <c r="AE261" s="2"/>
      <c r="AO261" s="2"/>
      <c r="AY261" s="2">
        <v>46197</v>
      </c>
      <c r="AZ261" s="3" t="s">
        <v>1690</v>
      </c>
      <c r="BA261" s="3" t="s">
        <v>1410</v>
      </c>
      <c r="BB261" s="3" t="s">
        <v>589</v>
      </c>
      <c r="BC261" s="3">
        <v>0</v>
      </c>
      <c r="BD261" s="3">
        <v>0.02</v>
      </c>
      <c r="BE261" s="3">
        <v>0</v>
      </c>
      <c r="BF261" s="3">
        <v>29069</v>
      </c>
      <c r="BI261" s="2"/>
      <c r="BS261" s="2"/>
      <c r="CC261" s="2">
        <v>46197</v>
      </c>
      <c r="CD261" s="3" t="s">
        <v>912</v>
      </c>
      <c r="CE261" s="3" t="s">
        <v>913</v>
      </c>
      <c r="CF261" s="3" t="s">
        <v>914</v>
      </c>
      <c r="CG261" s="3">
        <v>0</v>
      </c>
      <c r="CH261" s="3">
        <v>0.06</v>
      </c>
      <c r="CI261" s="3">
        <v>0</v>
      </c>
      <c r="CJ261" s="3">
        <v>84964</v>
      </c>
      <c r="CK261" s="3">
        <v>10053.51</v>
      </c>
      <c r="CL261" s="3">
        <v>4.9748000000000001</v>
      </c>
      <c r="CM261" s="2"/>
      <c r="CW261" s="2"/>
    </row>
    <row r="262" spans="1:101" ht="13.5" customHeight="1" x14ac:dyDescent="0.3">
      <c r="A262" s="2">
        <v>46197</v>
      </c>
      <c r="B262" s="3" t="s">
        <v>1471</v>
      </c>
      <c r="C262" s="3" t="s">
        <v>98</v>
      </c>
      <c r="D262" s="3" t="s">
        <v>1472</v>
      </c>
      <c r="E262" s="3">
        <v>0</v>
      </c>
      <c r="F262" s="3">
        <v>0.17</v>
      </c>
      <c r="G262" s="3">
        <v>0</v>
      </c>
      <c r="H262" s="3">
        <v>193289</v>
      </c>
      <c r="I262" s="3">
        <v>7285.89</v>
      </c>
      <c r="J262" s="3">
        <v>7.4020999999999999</v>
      </c>
      <c r="K262" s="2"/>
      <c r="U262" s="2"/>
      <c r="AE262" s="2"/>
      <c r="AO262" s="2"/>
      <c r="AY262" s="2">
        <v>46197</v>
      </c>
      <c r="AZ262" s="3" t="s">
        <v>1691</v>
      </c>
      <c r="BA262" s="3" t="s">
        <v>1692</v>
      </c>
      <c r="BB262" s="3" t="s">
        <v>1416</v>
      </c>
      <c r="BC262" s="3">
        <v>0</v>
      </c>
      <c r="BD262" s="3">
        <v>0.02</v>
      </c>
      <c r="BE262" s="3">
        <v>0</v>
      </c>
      <c r="BF262" s="3">
        <v>29056</v>
      </c>
      <c r="BI262" s="2"/>
      <c r="BS262" s="2"/>
      <c r="CC262" s="2">
        <v>46197</v>
      </c>
      <c r="CD262" s="3" t="s">
        <v>115</v>
      </c>
      <c r="CE262" s="3" t="s">
        <v>29</v>
      </c>
      <c r="CF262" s="3" t="s">
        <v>2655</v>
      </c>
      <c r="CG262" s="3">
        <v>0</v>
      </c>
      <c r="CH262" s="3">
        <v>0.05</v>
      </c>
      <c r="CI262" s="3">
        <v>0</v>
      </c>
      <c r="CJ262" s="3">
        <v>79371</v>
      </c>
      <c r="CK262" s="3">
        <v>9088.81</v>
      </c>
      <c r="CL262" s="3">
        <v>4.6387</v>
      </c>
      <c r="CM262" s="2"/>
      <c r="CW262" s="2"/>
    </row>
    <row r="263" spans="1:101" ht="13.5" customHeight="1" x14ac:dyDescent="0.3">
      <c r="A263" s="2">
        <v>46197</v>
      </c>
      <c r="B263" s="3" t="s">
        <v>2083</v>
      </c>
      <c r="C263" s="3" t="s">
        <v>131</v>
      </c>
      <c r="D263" s="3" t="s">
        <v>2084</v>
      </c>
      <c r="E263" s="3">
        <v>0</v>
      </c>
      <c r="F263" s="3">
        <v>0.17</v>
      </c>
      <c r="G263" s="3">
        <v>0</v>
      </c>
      <c r="H263" s="3">
        <v>189473</v>
      </c>
      <c r="I263" s="3">
        <v>9783.27</v>
      </c>
      <c r="J263" s="3">
        <v>0.68899999999999995</v>
      </c>
      <c r="K263" s="2"/>
      <c r="U263" s="2"/>
      <c r="AE263" s="2"/>
      <c r="AO263" s="2"/>
      <c r="AY263" s="2">
        <v>46197</v>
      </c>
      <c r="AZ263" s="3" t="s">
        <v>1693</v>
      </c>
      <c r="BA263" s="3" t="s">
        <v>1415</v>
      </c>
      <c r="BB263" s="3" t="s">
        <v>1416</v>
      </c>
      <c r="BC263" s="3">
        <v>0</v>
      </c>
      <c r="BD263" s="3">
        <v>0.02</v>
      </c>
      <c r="BE263" s="3">
        <v>0</v>
      </c>
      <c r="BF263" s="3">
        <v>29056</v>
      </c>
      <c r="BI263" s="2"/>
      <c r="BS263" s="2"/>
      <c r="CC263" s="2">
        <v>46197</v>
      </c>
      <c r="CD263" s="3" t="s">
        <v>2189</v>
      </c>
      <c r="CE263" s="3" t="s">
        <v>131</v>
      </c>
      <c r="CF263" s="3" t="s">
        <v>2656</v>
      </c>
      <c r="CG263" s="3">
        <v>0</v>
      </c>
      <c r="CH263" s="3">
        <v>0.05</v>
      </c>
      <c r="CI263" s="3">
        <v>0</v>
      </c>
      <c r="CJ263" s="3">
        <v>73618</v>
      </c>
      <c r="CK263" s="3">
        <v>9223.08</v>
      </c>
      <c r="CL263" s="3">
        <v>2.1360999999999999</v>
      </c>
      <c r="CM263" s="2"/>
      <c r="CW263" s="2"/>
    </row>
    <row r="264" spans="1:101" ht="13.5" customHeight="1" x14ac:dyDescent="0.3">
      <c r="A264" s="2">
        <v>46197</v>
      </c>
      <c r="B264" s="3" t="s">
        <v>2085</v>
      </c>
      <c r="C264" s="3" t="s">
        <v>931</v>
      </c>
      <c r="D264" s="3" t="s">
        <v>2086</v>
      </c>
      <c r="E264" s="3">
        <v>0</v>
      </c>
      <c r="F264" s="3">
        <v>0.17</v>
      </c>
      <c r="G264" s="3">
        <v>0</v>
      </c>
      <c r="H264" s="3">
        <v>185199</v>
      </c>
      <c r="I264" s="3">
        <v>9971.7900000000009</v>
      </c>
      <c r="J264" s="3">
        <v>2.5922000000000001</v>
      </c>
      <c r="K264" s="2"/>
      <c r="U264" s="2"/>
      <c r="AE264" s="2"/>
      <c r="AO264" s="2"/>
      <c r="AY264" s="2">
        <v>46197</v>
      </c>
      <c r="AZ264" s="3" t="s">
        <v>1694</v>
      </c>
      <c r="BA264" s="3" t="s">
        <v>523</v>
      </c>
      <c r="BB264" s="3" t="s">
        <v>1695</v>
      </c>
      <c r="BC264" s="3">
        <v>0</v>
      </c>
      <c r="BD264" s="3">
        <v>0.02</v>
      </c>
      <c r="BE264" s="3">
        <v>0</v>
      </c>
      <c r="BF264" s="3">
        <v>23489</v>
      </c>
      <c r="BG264" s="3">
        <v>10180.23</v>
      </c>
      <c r="BH264" s="3">
        <v>6.1351000000000004</v>
      </c>
      <c r="BI264" s="2"/>
      <c r="BS264" s="2"/>
      <c r="CC264" s="2">
        <v>46197</v>
      </c>
      <c r="CD264" s="3" t="s">
        <v>2657</v>
      </c>
      <c r="CE264" s="3" t="s">
        <v>2658</v>
      </c>
      <c r="CF264" s="3" t="s">
        <v>2659</v>
      </c>
      <c r="CG264" s="3">
        <v>0</v>
      </c>
      <c r="CH264" s="3">
        <v>0.05</v>
      </c>
      <c r="CI264" s="3">
        <v>0</v>
      </c>
      <c r="CJ264" s="3">
        <v>72495</v>
      </c>
      <c r="CK264" s="3">
        <v>10293.5</v>
      </c>
      <c r="CL264" s="3">
        <v>1.3311999999999999</v>
      </c>
      <c r="CM264" s="2"/>
      <c r="CW264" s="2"/>
    </row>
    <row r="265" spans="1:101" ht="13.5" customHeight="1" x14ac:dyDescent="0.3">
      <c r="A265" s="2">
        <v>46197</v>
      </c>
      <c r="B265" s="3" t="s">
        <v>2087</v>
      </c>
      <c r="C265" s="3" t="s">
        <v>1563</v>
      </c>
      <c r="D265" s="3" t="s">
        <v>2088</v>
      </c>
      <c r="E265" s="3">
        <v>0</v>
      </c>
      <c r="F265" s="3">
        <v>0.16</v>
      </c>
      <c r="G265" s="3">
        <v>0</v>
      </c>
      <c r="H265" s="3">
        <v>183443</v>
      </c>
      <c r="I265" s="3">
        <v>9876.91</v>
      </c>
      <c r="J265" s="3">
        <v>2.4371</v>
      </c>
      <c r="K265" s="2"/>
      <c r="U265" s="2"/>
      <c r="AE265" s="2"/>
      <c r="AO265" s="2"/>
      <c r="AY265" s="2">
        <v>46197</v>
      </c>
      <c r="AZ265" s="3" t="s">
        <v>1696</v>
      </c>
      <c r="BA265" s="3" t="s">
        <v>1288</v>
      </c>
      <c r="BB265" s="3" t="s">
        <v>1697</v>
      </c>
      <c r="BC265" s="3">
        <v>0</v>
      </c>
      <c r="BD265" s="3">
        <v>0.02</v>
      </c>
      <c r="BE265" s="3">
        <v>0</v>
      </c>
      <c r="BF265" s="3">
        <v>22595</v>
      </c>
      <c r="BG265" s="3">
        <v>9792.5300000000007</v>
      </c>
      <c r="BH265" s="3">
        <v>2.2713000000000001</v>
      </c>
      <c r="BI265" s="2"/>
      <c r="BS265" s="2"/>
      <c r="CC265" s="2">
        <v>46197</v>
      </c>
      <c r="CD265" s="3" t="s">
        <v>735</v>
      </c>
      <c r="CE265" s="3" t="s">
        <v>29</v>
      </c>
      <c r="CF265" s="3" t="s">
        <v>2660</v>
      </c>
      <c r="CG265" s="3">
        <v>0</v>
      </c>
      <c r="CH265" s="3">
        <v>0.05</v>
      </c>
      <c r="CI265" s="3">
        <v>0</v>
      </c>
      <c r="CJ265" s="3">
        <v>70599</v>
      </c>
      <c r="CK265" s="3">
        <v>8397.8700000000008</v>
      </c>
      <c r="CL265" s="3">
        <v>16.5593</v>
      </c>
      <c r="CM265" s="2"/>
      <c r="CW265" s="2"/>
    </row>
    <row r="266" spans="1:101" ht="13.5" customHeight="1" x14ac:dyDescent="0.3">
      <c r="A266" s="2">
        <v>46197</v>
      </c>
      <c r="B266" s="3" t="s">
        <v>2089</v>
      </c>
      <c r="C266" s="3" t="s">
        <v>2090</v>
      </c>
      <c r="D266" s="3" t="s">
        <v>2091</v>
      </c>
      <c r="E266" s="3">
        <v>0</v>
      </c>
      <c r="F266" s="3">
        <v>0.16</v>
      </c>
      <c r="G266" s="3">
        <v>0</v>
      </c>
      <c r="H266" s="3">
        <v>182327</v>
      </c>
      <c r="I266" s="3">
        <v>9677.2099999999991</v>
      </c>
      <c r="J266" s="3">
        <v>3.2122999999999999</v>
      </c>
      <c r="K266" s="2"/>
      <c r="U266" s="2"/>
      <c r="AE266" s="2"/>
      <c r="AO266" s="2"/>
      <c r="AY266" s="2">
        <v>46197</v>
      </c>
      <c r="AZ266" s="3" t="s">
        <v>1391</v>
      </c>
      <c r="BA266" s="3" t="s">
        <v>1392</v>
      </c>
      <c r="BB266" s="3" t="s">
        <v>1393</v>
      </c>
      <c r="BC266" s="3">
        <v>0</v>
      </c>
      <c r="BD266" s="3">
        <v>0.01</v>
      </c>
      <c r="BE266" s="3">
        <v>0</v>
      </c>
      <c r="BF266" s="3">
        <v>15465</v>
      </c>
      <c r="BG266" s="3">
        <v>9892.11</v>
      </c>
      <c r="BH266" s="3">
        <v>0.70479999999999998</v>
      </c>
      <c r="BI266" s="2"/>
      <c r="BS266" s="2"/>
      <c r="CC266" s="2">
        <v>46197</v>
      </c>
      <c r="CD266" s="3" t="s">
        <v>2661</v>
      </c>
      <c r="CE266" s="3" t="s">
        <v>2662</v>
      </c>
      <c r="CF266" s="3" t="s">
        <v>2663</v>
      </c>
      <c r="CG266" s="3">
        <v>0</v>
      </c>
      <c r="CH266" s="3">
        <v>0.05</v>
      </c>
      <c r="CI266" s="3">
        <v>0</v>
      </c>
      <c r="CJ266" s="3">
        <v>69619</v>
      </c>
      <c r="CK266" s="3">
        <v>9884.51</v>
      </c>
      <c r="CL266" s="3">
        <v>1.5542</v>
      </c>
      <c r="CM266" s="2"/>
      <c r="CW266" s="2"/>
    </row>
    <row r="267" spans="1:101" ht="13.5" customHeight="1" x14ac:dyDescent="0.3">
      <c r="A267" s="2">
        <v>46197</v>
      </c>
      <c r="B267" s="3" t="s">
        <v>2092</v>
      </c>
      <c r="C267" s="3" t="s">
        <v>321</v>
      </c>
      <c r="D267" s="3" t="s">
        <v>2093</v>
      </c>
      <c r="E267" s="3">
        <v>0</v>
      </c>
      <c r="F267" s="3">
        <v>0.16</v>
      </c>
      <c r="G267" s="3">
        <v>0</v>
      </c>
      <c r="H267" s="3">
        <v>175235</v>
      </c>
      <c r="I267" s="3">
        <v>6606.6</v>
      </c>
      <c r="J267" s="3">
        <v>15.5997</v>
      </c>
      <c r="K267" s="2"/>
      <c r="U267" s="2"/>
      <c r="AE267" s="2"/>
      <c r="AO267" s="2"/>
      <c r="AY267" s="2">
        <v>46197</v>
      </c>
      <c r="AZ267" s="3" t="s">
        <v>1698</v>
      </c>
      <c r="BA267" s="3" t="s">
        <v>1699</v>
      </c>
      <c r="BB267" s="3" t="s">
        <v>1700</v>
      </c>
      <c r="BC267" s="3">
        <v>0</v>
      </c>
      <c r="BD267" s="3">
        <v>0.01</v>
      </c>
      <c r="BE267" s="3">
        <v>0</v>
      </c>
      <c r="BF267" s="3">
        <v>13226</v>
      </c>
      <c r="BG267" s="3">
        <v>9556.89</v>
      </c>
      <c r="BH267" s="3">
        <v>5.4983000000000004</v>
      </c>
      <c r="BI267" s="2"/>
      <c r="BS267" s="2"/>
      <c r="CC267" s="2">
        <v>46197</v>
      </c>
      <c r="CD267" s="3" t="s">
        <v>2664</v>
      </c>
      <c r="CE267" s="3" t="s">
        <v>913</v>
      </c>
      <c r="CF267" s="3" t="s">
        <v>2665</v>
      </c>
      <c r="CG267" s="3">
        <v>0</v>
      </c>
      <c r="CH267" s="3">
        <v>0.04</v>
      </c>
      <c r="CI267" s="3">
        <v>0</v>
      </c>
      <c r="CJ267" s="3">
        <v>63467</v>
      </c>
      <c r="CK267" s="3">
        <v>9590.0300000000007</v>
      </c>
      <c r="CL267" s="3">
        <v>5.4564000000000004</v>
      </c>
      <c r="CM267" s="2"/>
      <c r="CW267" s="2"/>
    </row>
    <row r="268" spans="1:101" ht="13.5" customHeight="1" x14ac:dyDescent="0.3">
      <c r="A268" s="2">
        <v>46197</v>
      </c>
      <c r="B268" s="3" t="s">
        <v>2094</v>
      </c>
      <c r="C268" s="3" t="s">
        <v>98</v>
      </c>
      <c r="D268" s="3" t="s">
        <v>2095</v>
      </c>
      <c r="E268" s="3">
        <v>0</v>
      </c>
      <c r="F268" s="3">
        <v>0.16</v>
      </c>
      <c r="G268" s="3">
        <v>0</v>
      </c>
      <c r="H268" s="3">
        <v>173742</v>
      </c>
      <c r="I268" s="3">
        <v>6547.76</v>
      </c>
      <c r="J268" s="3">
        <v>9.8025000000000002</v>
      </c>
      <c r="K268" s="2"/>
      <c r="U268" s="2"/>
      <c r="AE268" s="2"/>
      <c r="AO268" s="2"/>
      <c r="AY268" s="2">
        <v>46197</v>
      </c>
      <c r="AZ268" s="3" t="s">
        <v>97</v>
      </c>
      <c r="BA268" s="3" t="s">
        <v>98</v>
      </c>
      <c r="BB268" s="3" t="s">
        <v>99</v>
      </c>
      <c r="BC268" s="3">
        <v>0</v>
      </c>
      <c r="BD268" s="3">
        <v>0.01</v>
      </c>
      <c r="BE268" s="3">
        <v>0</v>
      </c>
      <c r="BF268" s="3">
        <v>13037</v>
      </c>
      <c r="BG268" s="3">
        <v>8473.98</v>
      </c>
      <c r="BH268" s="3">
        <v>4.0532000000000004</v>
      </c>
      <c r="BI268" s="2"/>
      <c r="BS268" s="2"/>
      <c r="CC268" s="2">
        <v>46197</v>
      </c>
      <c r="CD268" s="3" t="s">
        <v>1709</v>
      </c>
      <c r="CE268" s="3" t="s">
        <v>98</v>
      </c>
      <c r="CF268" s="3" t="s">
        <v>2666</v>
      </c>
      <c r="CG268" s="3">
        <v>0</v>
      </c>
      <c r="CH268" s="3">
        <v>0.04</v>
      </c>
      <c r="CI268" s="3">
        <v>0</v>
      </c>
      <c r="CJ268" s="3">
        <v>60848</v>
      </c>
      <c r="CK268" s="3">
        <v>8099.74</v>
      </c>
      <c r="CL268" s="3">
        <v>5.0090000000000003</v>
      </c>
      <c r="CM268" s="2"/>
      <c r="CW268" s="2"/>
    </row>
    <row r="269" spans="1:101" ht="13.5" customHeight="1" x14ac:dyDescent="0.3">
      <c r="A269" s="2">
        <v>46197</v>
      </c>
      <c r="B269" s="3" t="s">
        <v>2096</v>
      </c>
      <c r="C269" s="3" t="s">
        <v>1291</v>
      </c>
      <c r="D269" s="3" t="s">
        <v>2097</v>
      </c>
      <c r="E269" s="3">
        <v>0</v>
      </c>
      <c r="F269" s="3">
        <v>0.16</v>
      </c>
      <c r="G269" s="3">
        <v>0</v>
      </c>
      <c r="H269" s="3">
        <v>173068</v>
      </c>
      <c r="I269" s="3">
        <v>10033.81</v>
      </c>
      <c r="J269" s="3">
        <v>1.7518</v>
      </c>
      <c r="K269" s="2"/>
      <c r="U269" s="2"/>
      <c r="AE269" s="2"/>
      <c r="AO269" s="2"/>
      <c r="AY269" s="2">
        <v>46197</v>
      </c>
      <c r="AZ269" s="3" t="s">
        <v>918</v>
      </c>
      <c r="BA269" s="3" t="s">
        <v>919</v>
      </c>
      <c r="BB269" s="3" t="s">
        <v>920</v>
      </c>
      <c r="BC269" s="3">
        <v>0</v>
      </c>
      <c r="BD269" s="3">
        <v>0.01</v>
      </c>
      <c r="BE269" s="3">
        <v>0</v>
      </c>
      <c r="BF269" s="3">
        <v>11589</v>
      </c>
      <c r="BG269" s="3">
        <v>10045.59</v>
      </c>
      <c r="BH269" s="3">
        <v>5.0137999999999998</v>
      </c>
      <c r="BI269" s="2"/>
      <c r="BS269" s="2"/>
      <c r="CC269" s="2">
        <v>46197</v>
      </c>
      <c r="CD269" s="3" t="s">
        <v>2667</v>
      </c>
      <c r="CE269" s="3" t="s">
        <v>1746</v>
      </c>
      <c r="CF269" s="3" t="s">
        <v>2668</v>
      </c>
      <c r="CG269" s="3">
        <v>0</v>
      </c>
      <c r="CH269" s="3">
        <v>0.04</v>
      </c>
      <c r="CI269" s="3">
        <v>0</v>
      </c>
      <c r="CJ269" s="3">
        <v>59180</v>
      </c>
      <c r="CK269" s="3">
        <v>9695.24</v>
      </c>
      <c r="CL269" s="3">
        <v>2.3359999999999999</v>
      </c>
      <c r="CM269" s="2"/>
      <c r="CW269" s="2"/>
    </row>
    <row r="270" spans="1:101" ht="13.5" customHeight="1" x14ac:dyDescent="0.3">
      <c r="A270" s="2">
        <v>46197</v>
      </c>
      <c r="B270" s="3" t="s">
        <v>2098</v>
      </c>
      <c r="C270" s="3" t="s">
        <v>98</v>
      </c>
      <c r="D270" s="3" t="s">
        <v>2099</v>
      </c>
      <c r="E270" s="3">
        <v>0</v>
      </c>
      <c r="F270" s="3">
        <v>0.15</v>
      </c>
      <c r="G270" s="3">
        <v>0</v>
      </c>
      <c r="H270" s="3">
        <v>170094</v>
      </c>
      <c r="I270" s="3">
        <v>6409.98</v>
      </c>
      <c r="J270" s="3">
        <v>10.2776</v>
      </c>
      <c r="K270" s="2"/>
      <c r="U270" s="2"/>
      <c r="AE270" s="2"/>
      <c r="AO270" s="2"/>
      <c r="AY270" s="2">
        <v>46197</v>
      </c>
      <c r="AZ270" s="3" t="s">
        <v>1701</v>
      </c>
      <c r="BA270" s="3" t="s">
        <v>1702</v>
      </c>
      <c r="BB270" s="3" t="s">
        <v>1703</v>
      </c>
      <c r="BC270" s="3">
        <v>0</v>
      </c>
      <c r="BD270" s="3">
        <v>0.01</v>
      </c>
      <c r="BE270" s="3">
        <v>0</v>
      </c>
      <c r="BF270" s="3">
        <v>7916</v>
      </c>
      <c r="BG270" s="3">
        <v>10291.9</v>
      </c>
      <c r="BH270" s="3">
        <v>0.68830000000000002</v>
      </c>
      <c r="BI270" s="2"/>
      <c r="BS270" s="2"/>
      <c r="CC270" s="2">
        <v>46197</v>
      </c>
      <c r="CD270" s="3" t="s">
        <v>2071</v>
      </c>
      <c r="CE270" s="3" t="s">
        <v>1304</v>
      </c>
      <c r="CF270" s="3" t="s">
        <v>2072</v>
      </c>
      <c r="CG270" s="3">
        <v>0</v>
      </c>
      <c r="CH270" s="3">
        <v>0.04</v>
      </c>
      <c r="CI270" s="3">
        <v>0</v>
      </c>
      <c r="CJ270" s="3">
        <v>55556</v>
      </c>
      <c r="CK270" s="3">
        <v>9860.1200000000008</v>
      </c>
      <c r="CL270" s="3">
        <v>1.4173</v>
      </c>
      <c r="CM270" s="2"/>
      <c r="CW270" s="2"/>
    </row>
    <row r="271" spans="1:101" ht="13.5" customHeight="1" x14ac:dyDescent="0.3">
      <c r="A271" s="2">
        <v>46197</v>
      </c>
      <c r="B271" s="3" t="s">
        <v>130</v>
      </c>
      <c r="C271" s="3" t="s">
        <v>131</v>
      </c>
      <c r="D271" s="3" t="s">
        <v>132</v>
      </c>
      <c r="E271" s="3">
        <v>0</v>
      </c>
      <c r="F271" s="3">
        <v>0.15</v>
      </c>
      <c r="G271" s="3">
        <v>0</v>
      </c>
      <c r="H271" s="3">
        <v>169802</v>
      </c>
      <c r="I271" s="3">
        <v>9411.7099999999991</v>
      </c>
      <c r="J271" s="3">
        <v>1.6518999999999999</v>
      </c>
      <c r="K271" s="2"/>
      <c r="U271" s="2"/>
      <c r="AE271" s="2"/>
      <c r="AO271" s="2"/>
      <c r="AY271" s="2">
        <v>46197</v>
      </c>
      <c r="AZ271" s="3" t="s">
        <v>1704</v>
      </c>
      <c r="BA271" s="3" t="s">
        <v>269</v>
      </c>
      <c r="BB271" s="3" t="s">
        <v>1705</v>
      </c>
      <c r="BC271" s="3">
        <v>0</v>
      </c>
      <c r="BD271" s="3">
        <v>0.01</v>
      </c>
      <c r="BE271" s="3">
        <v>0</v>
      </c>
      <c r="BF271" s="3">
        <v>7858</v>
      </c>
      <c r="BG271" s="3">
        <v>10216.620000000001</v>
      </c>
      <c r="BH271" s="3">
        <v>2.1495000000000002</v>
      </c>
      <c r="BI271" s="2"/>
      <c r="BS271" s="2"/>
      <c r="CC271" s="2">
        <v>46197</v>
      </c>
      <c r="CD271" s="3" t="s">
        <v>2236</v>
      </c>
      <c r="CE271" s="3" t="s">
        <v>1571</v>
      </c>
      <c r="CF271" s="3" t="s">
        <v>2237</v>
      </c>
      <c r="CG271" s="3">
        <v>0</v>
      </c>
      <c r="CH271" s="3">
        <v>0.03</v>
      </c>
      <c r="CI271" s="3">
        <v>0</v>
      </c>
      <c r="CJ271" s="3">
        <v>48826</v>
      </c>
      <c r="CK271" s="3">
        <v>9904.52</v>
      </c>
      <c r="CL271" s="3">
        <v>0.82150000000000001</v>
      </c>
      <c r="CM271" s="2"/>
      <c r="CW271" s="2"/>
    </row>
    <row r="272" spans="1:101" ht="13.5" customHeight="1" x14ac:dyDescent="0.3">
      <c r="A272" s="2">
        <v>46197</v>
      </c>
      <c r="B272" s="3" t="s">
        <v>107</v>
      </c>
      <c r="C272" s="3" t="s">
        <v>108</v>
      </c>
      <c r="D272" s="3" t="s">
        <v>109</v>
      </c>
      <c r="E272" s="3">
        <v>0</v>
      </c>
      <c r="F272" s="3">
        <v>0.15</v>
      </c>
      <c r="G272" s="3">
        <v>0</v>
      </c>
      <c r="H272" s="3">
        <v>163394</v>
      </c>
      <c r="I272" s="3">
        <v>9190.8799999999992</v>
      </c>
      <c r="J272" s="3">
        <v>3.5838000000000001</v>
      </c>
      <c r="K272" s="2"/>
      <c r="U272" s="2"/>
      <c r="AE272" s="2"/>
      <c r="AO272" s="2"/>
      <c r="AY272" s="2">
        <v>46197</v>
      </c>
      <c r="AZ272" s="3" t="s">
        <v>1706</v>
      </c>
      <c r="BA272" s="3" t="s">
        <v>1707</v>
      </c>
      <c r="BB272" s="3" t="s">
        <v>1708</v>
      </c>
      <c r="BC272" s="3">
        <v>0</v>
      </c>
      <c r="BD272" s="3">
        <v>0.01</v>
      </c>
      <c r="BE272" s="3">
        <v>0</v>
      </c>
      <c r="BF272" s="3">
        <v>7763</v>
      </c>
      <c r="BG272" s="3">
        <v>9611.82</v>
      </c>
      <c r="BH272" s="3">
        <v>2.0234999999999999</v>
      </c>
      <c r="BI272" s="2"/>
      <c r="BS272" s="2"/>
      <c r="CC272" s="2">
        <v>46197</v>
      </c>
      <c r="CD272" s="3" t="s">
        <v>2177</v>
      </c>
      <c r="CE272" s="3" t="s">
        <v>321</v>
      </c>
      <c r="CF272" s="3" t="s">
        <v>2669</v>
      </c>
      <c r="CG272" s="3">
        <v>0</v>
      </c>
      <c r="CH272" s="3">
        <v>0.03</v>
      </c>
      <c r="CI272" s="3">
        <v>0</v>
      </c>
      <c r="CJ272" s="3">
        <v>47727</v>
      </c>
      <c r="CK272" s="3">
        <v>10165.51</v>
      </c>
      <c r="CL272" s="3">
        <v>0.1008</v>
      </c>
      <c r="CM272" s="2"/>
      <c r="CW272" s="2"/>
    </row>
    <row r="273" spans="1:101" ht="13.5" customHeight="1" x14ac:dyDescent="0.3">
      <c r="A273" s="2">
        <v>46197</v>
      </c>
      <c r="B273" s="3" t="s">
        <v>2100</v>
      </c>
      <c r="C273" s="3" t="s">
        <v>301</v>
      </c>
      <c r="D273" s="3" t="s">
        <v>2101</v>
      </c>
      <c r="E273" s="3">
        <v>0</v>
      </c>
      <c r="F273" s="3">
        <v>0.14000000000000001</v>
      </c>
      <c r="G273" s="3">
        <v>0</v>
      </c>
      <c r="H273" s="3">
        <v>160657</v>
      </c>
      <c r="I273" s="3">
        <v>10091.73</v>
      </c>
      <c r="J273" s="3">
        <v>0.76880000000000004</v>
      </c>
      <c r="K273" s="2"/>
      <c r="U273" s="2"/>
      <c r="AE273" s="2"/>
      <c r="AO273" s="2"/>
      <c r="AY273" s="2">
        <v>46197</v>
      </c>
      <c r="AZ273" s="3" t="s">
        <v>115</v>
      </c>
      <c r="BA273" s="3" t="s">
        <v>29</v>
      </c>
      <c r="BB273" s="3" t="s">
        <v>116</v>
      </c>
      <c r="BC273" s="3">
        <v>0</v>
      </c>
      <c r="BD273" s="3">
        <v>0.01</v>
      </c>
      <c r="BE273" s="3">
        <v>0</v>
      </c>
      <c r="BF273" s="3">
        <v>6991</v>
      </c>
      <c r="BG273" s="3">
        <v>9088.81</v>
      </c>
      <c r="BH273" s="3">
        <v>4.6387</v>
      </c>
      <c r="BI273" s="2"/>
      <c r="BS273" s="2"/>
      <c r="CC273" s="2">
        <v>46197</v>
      </c>
      <c r="CD273" s="3" t="s">
        <v>2217</v>
      </c>
      <c r="CE273" s="3" t="s">
        <v>2218</v>
      </c>
      <c r="CF273" s="3" t="s">
        <v>2670</v>
      </c>
      <c r="CG273" s="3">
        <v>0</v>
      </c>
      <c r="CH273" s="3">
        <v>0.03</v>
      </c>
      <c r="CI273" s="3">
        <v>0</v>
      </c>
      <c r="CJ273" s="3">
        <v>47328</v>
      </c>
      <c r="CK273" s="3">
        <v>10080.52</v>
      </c>
      <c r="CL273" s="3">
        <v>1.6246</v>
      </c>
      <c r="CM273" s="2"/>
      <c r="CW273" s="2"/>
    </row>
    <row r="274" spans="1:101" ht="13.5" customHeight="1" x14ac:dyDescent="0.3">
      <c r="A274" s="2">
        <v>46197</v>
      </c>
      <c r="B274" s="3" t="s">
        <v>2102</v>
      </c>
      <c r="C274" s="3" t="s">
        <v>1728</v>
      </c>
      <c r="D274" s="3" t="s">
        <v>2103</v>
      </c>
      <c r="E274" s="3">
        <v>0</v>
      </c>
      <c r="F274" s="3">
        <v>0.14000000000000001</v>
      </c>
      <c r="G274" s="3">
        <v>0</v>
      </c>
      <c r="H274" s="3">
        <v>156537</v>
      </c>
      <c r="I274" s="3">
        <v>9076.1299999999992</v>
      </c>
      <c r="J274" s="3">
        <v>4.4379</v>
      </c>
      <c r="K274" s="2"/>
      <c r="U274" s="2"/>
      <c r="AE274" s="2"/>
      <c r="AO274" s="2"/>
      <c r="AY274" s="2">
        <v>46197</v>
      </c>
      <c r="AZ274" s="3" t="s">
        <v>1709</v>
      </c>
      <c r="BA274" s="3" t="s">
        <v>98</v>
      </c>
      <c r="BB274" s="3" t="s">
        <v>1710</v>
      </c>
      <c r="BC274" s="3">
        <v>0</v>
      </c>
      <c r="BD274" s="3">
        <v>0</v>
      </c>
      <c r="BE274" s="3">
        <v>0</v>
      </c>
      <c r="BF274" s="3">
        <v>5607</v>
      </c>
      <c r="BG274" s="3">
        <v>8099.74</v>
      </c>
      <c r="BH274" s="3">
        <v>5.0090000000000003</v>
      </c>
      <c r="BI274" s="2"/>
      <c r="BS274" s="2"/>
      <c r="CC274" s="2">
        <v>46197</v>
      </c>
      <c r="CD274" s="3" t="s">
        <v>942</v>
      </c>
      <c r="CE274" s="3" t="s">
        <v>943</v>
      </c>
      <c r="CF274" s="3" t="s">
        <v>944</v>
      </c>
      <c r="CG274" s="3">
        <v>0</v>
      </c>
      <c r="CH274" s="3">
        <v>0.03</v>
      </c>
      <c r="CI274" s="3">
        <v>0</v>
      </c>
      <c r="CJ274" s="3">
        <v>47068</v>
      </c>
      <c r="CK274" s="3">
        <v>10025.56</v>
      </c>
      <c r="CL274" s="3">
        <v>2.4058999999999999</v>
      </c>
      <c r="CM274" s="2"/>
      <c r="CW274" s="2"/>
    </row>
    <row r="275" spans="1:101" ht="13.5" customHeight="1" x14ac:dyDescent="0.3">
      <c r="A275" s="2">
        <v>46197</v>
      </c>
      <c r="B275" s="3" t="s">
        <v>2104</v>
      </c>
      <c r="C275" s="3" t="s">
        <v>544</v>
      </c>
      <c r="D275" s="3" t="s">
        <v>2105</v>
      </c>
      <c r="E275" s="3">
        <v>0</v>
      </c>
      <c r="F275" s="3">
        <v>0.14000000000000001</v>
      </c>
      <c r="G275" s="3">
        <v>0</v>
      </c>
      <c r="H275" s="3">
        <v>156033</v>
      </c>
      <c r="I275" s="3">
        <v>5879.47</v>
      </c>
      <c r="J275" s="3">
        <v>17.8474</v>
      </c>
      <c r="K275" s="2"/>
      <c r="U275" s="2"/>
      <c r="AE275" s="2"/>
      <c r="AO275" s="2"/>
      <c r="AY275" s="2">
        <v>46197</v>
      </c>
      <c r="AZ275" s="3" t="s">
        <v>140</v>
      </c>
      <c r="BA275" s="3" t="s">
        <v>50</v>
      </c>
      <c r="BB275" s="3" t="s">
        <v>141</v>
      </c>
      <c r="BC275" s="3">
        <v>0</v>
      </c>
      <c r="BD275" s="3">
        <v>0</v>
      </c>
      <c r="BE275" s="3">
        <v>0</v>
      </c>
      <c r="BF275" s="3">
        <v>4136</v>
      </c>
      <c r="BG275" s="3">
        <v>9922.49</v>
      </c>
      <c r="BH275" s="3">
        <v>1.417</v>
      </c>
      <c r="BI275" s="2"/>
      <c r="BS275" s="2"/>
      <c r="CC275" s="2">
        <v>46197</v>
      </c>
      <c r="CD275" s="3" t="s">
        <v>2671</v>
      </c>
      <c r="CE275" s="3" t="s">
        <v>2672</v>
      </c>
      <c r="CF275" s="3" t="s">
        <v>2673</v>
      </c>
      <c r="CG275" s="3">
        <v>0</v>
      </c>
      <c r="CH275" s="3">
        <v>0.03</v>
      </c>
      <c r="CI275" s="3">
        <v>0</v>
      </c>
      <c r="CJ275" s="3">
        <v>46666</v>
      </c>
      <c r="CK275" s="3">
        <v>9939.2199999999993</v>
      </c>
      <c r="CL275" s="3">
        <v>1.9448000000000001</v>
      </c>
      <c r="CM275" s="2"/>
      <c r="CW275" s="2"/>
    </row>
    <row r="276" spans="1:101" ht="13.5" customHeight="1" x14ac:dyDescent="0.3">
      <c r="A276" s="2">
        <v>46197</v>
      </c>
      <c r="B276" s="3" t="s">
        <v>55</v>
      </c>
      <c r="C276" s="3" t="s">
        <v>56</v>
      </c>
      <c r="D276" s="3" t="s">
        <v>57</v>
      </c>
      <c r="E276" s="3">
        <v>0</v>
      </c>
      <c r="F276" s="3">
        <v>0.14000000000000001</v>
      </c>
      <c r="G276" s="3">
        <v>0</v>
      </c>
      <c r="H276" s="3">
        <v>153361</v>
      </c>
      <c r="I276" s="3">
        <v>9633.18</v>
      </c>
      <c r="J276" s="3">
        <v>3.4630999999999998</v>
      </c>
      <c r="K276" s="2"/>
      <c r="U276" s="2"/>
      <c r="AE276" s="2"/>
      <c r="AO276" s="2"/>
      <c r="AY276" s="2">
        <v>46197</v>
      </c>
      <c r="AZ276" s="3" t="s">
        <v>739</v>
      </c>
      <c r="BA276" s="3" t="s">
        <v>29</v>
      </c>
      <c r="BB276" s="3" t="s">
        <v>740</v>
      </c>
      <c r="BC276" s="3">
        <v>0</v>
      </c>
      <c r="BD276" s="3">
        <v>0</v>
      </c>
      <c r="BE276" s="3">
        <v>0</v>
      </c>
      <c r="BF276" s="3">
        <v>3813</v>
      </c>
      <c r="BG276" s="3">
        <v>7081.51</v>
      </c>
      <c r="BH276" s="3">
        <v>15.465400000000001</v>
      </c>
      <c r="BI276" s="2"/>
      <c r="BS276" s="2"/>
      <c r="CC276" s="2">
        <v>46197</v>
      </c>
      <c r="CD276" s="3" t="s">
        <v>2674</v>
      </c>
      <c r="CE276" s="3" t="s">
        <v>1373</v>
      </c>
      <c r="CF276" s="3" t="s">
        <v>2675</v>
      </c>
      <c r="CG276" s="3">
        <v>0</v>
      </c>
      <c r="CH276" s="3">
        <v>0.03</v>
      </c>
      <c r="CI276" s="3">
        <v>0</v>
      </c>
      <c r="CJ276" s="3">
        <v>46547</v>
      </c>
      <c r="CK276" s="3">
        <v>9914.09</v>
      </c>
      <c r="CL276" s="3">
        <v>0.90159999999999996</v>
      </c>
      <c r="CM276" s="2"/>
      <c r="CW276" s="2"/>
    </row>
    <row r="277" spans="1:101" ht="13.5" customHeight="1" x14ac:dyDescent="0.3">
      <c r="A277" s="2">
        <v>46197</v>
      </c>
      <c r="B277" s="3" t="s">
        <v>2106</v>
      </c>
      <c r="C277" s="3" t="s">
        <v>413</v>
      </c>
      <c r="D277" s="3" t="s">
        <v>2107</v>
      </c>
      <c r="E277" s="3">
        <v>0</v>
      </c>
      <c r="F277" s="3">
        <v>0.14000000000000001</v>
      </c>
      <c r="G277" s="3">
        <v>0</v>
      </c>
      <c r="H277" s="3">
        <v>150479</v>
      </c>
      <c r="I277" s="3">
        <v>9959.6200000000008</v>
      </c>
      <c r="J277" s="3">
        <v>0.81940000000000002</v>
      </c>
      <c r="K277" s="2"/>
      <c r="U277" s="2"/>
      <c r="AE277" s="2"/>
      <c r="AO277" s="2"/>
      <c r="AY277" s="2">
        <v>46197</v>
      </c>
      <c r="AZ277" s="3" t="s">
        <v>1711</v>
      </c>
      <c r="BA277" s="3" t="s">
        <v>1712</v>
      </c>
      <c r="BB277" s="3" t="s">
        <v>1713</v>
      </c>
      <c r="BC277" s="3">
        <v>0</v>
      </c>
      <c r="BD277" s="3">
        <v>0</v>
      </c>
      <c r="BE277" s="3">
        <v>0</v>
      </c>
      <c r="BF277" s="3">
        <v>3237</v>
      </c>
      <c r="BG277" s="3">
        <v>4206.46</v>
      </c>
      <c r="BH277" s="3">
        <v>19.371400000000001</v>
      </c>
      <c r="BI277" s="2"/>
      <c r="BS277" s="2"/>
      <c r="CC277" s="2">
        <v>46197</v>
      </c>
      <c r="CD277" s="3" t="s">
        <v>1698</v>
      </c>
      <c r="CE277" s="3" t="s">
        <v>1699</v>
      </c>
      <c r="CF277" s="3" t="s">
        <v>1700</v>
      </c>
      <c r="CG277" s="3">
        <v>0</v>
      </c>
      <c r="CH277" s="3">
        <v>0.03</v>
      </c>
      <c r="CI277" s="3">
        <v>0</v>
      </c>
      <c r="CJ277" s="3">
        <v>44408</v>
      </c>
      <c r="CK277" s="3">
        <v>9556.89</v>
      </c>
      <c r="CL277" s="3">
        <v>5.4983000000000004</v>
      </c>
      <c r="CM277" s="2"/>
      <c r="CW277" s="2"/>
    </row>
    <row r="278" spans="1:101" ht="13.5" customHeight="1" x14ac:dyDescent="0.3">
      <c r="A278" s="2">
        <v>46197</v>
      </c>
      <c r="B278" s="3" t="s">
        <v>2108</v>
      </c>
      <c r="C278" s="3" t="s">
        <v>2109</v>
      </c>
      <c r="D278" s="3" t="s">
        <v>2110</v>
      </c>
      <c r="E278" s="3">
        <v>0</v>
      </c>
      <c r="F278" s="3">
        <v>0.13</v>
      </c>
      <c r="G278" s="3">
        <v>0</v>
      </c>
      <c r="H278" s="3">
        <v>149884</v>
      </c>
      <c r="I278" s="3">
        <v>10270.879999999999</v>
      </c>
      <c r="J278" s="3">
        <v>2.1840000000000002</v>
      </c>
      <c r="K278" s="2"/>
      <c r="U278" s="2"/>
      <c r="AE278" s="2"/>
      <c r="AO278" s="2"/>
      <c r="AY278" s="2">
        <v>46197</v>
      </c>
      <c r="AZ278" s="3" t="s">
        <v>1714</v>
      </c>
      <c r="BA278" s="3" t="s">
        <v>29</v>
      </c>
      <c r="BB278" s="3" t="s">
        <v>1715</v>
      </c>
      <c r="BC278" s="3">
        <v>0</v>
      </c>
      <c r="BD278" s="3">
        <v>0</v>
      </c>
      <c r="BE278" s="3">
        <v>0</v>
      </c>
      <c r="BF278" s="3">
        <v>2661</v>
      </c>
      <c r="BG278" s="3">
        <v>6919.91</v>
      </c>
      <c r="BH278" s="3">
        <v>11.769500000000001</v>
      </c>
      <c r="BI278" s="2"/>
      <c r="BS278" s="2"/>
      <c r="CC278" s="2">
        <v>46197</v>
      </c>
      <c r="CD278" s="3" t="s">
        <v>2676</v>
      </c>
      <c r="CE278" s="3" t="s">
        <v>108</v>
      </c>
      <c r="CF278" s="3" t="s">
        <v>2677</v>
      </c>
      <c r="CG278" s="3">
        <v>0</v>
      </c>
      <c r="CH278" s="3">
        <v>0.03</v>
      </c>
      <c r="CI278" s="3">
        <v>0</v>
      </c>
      <c r="CJ278" s="3">
        <v>43731</v>
      </c>
      <c r="CK278" s="3">
        <v>9313.84</v>
      </c>
      <c r="CL278" s="3">
        <v>3.3714</v>
      </c>
      <c r="CM278" s="2"/>
      <c r="CW278" s="2"/>
    </row>
    <row r="279" spans="1:101" ht="13.5" customHeight="1" x14ac:dyDescent="0.3">
      <c r="A279" s="2">
        <v>46197</v>
      </c>
      <c r="B279" s="3" t="s">
        <v>2111</v>
      </c>
      <c r="C279" s="3" t="s">
        <v>122</v>
      </c>
      <c r="D279" s="3" t="s">
        <v>2112</v>
      </c>
      <c r="E279" s="3">
        <v>0</v>
      </c>
      <c r="F279" s="3">
        <v>0.13</v>
      </c>
      <c r="G279" s="3">
        <v>0</v>
      </c>
      <c r="H279" s="3">
        <v>147586</v>
      </c>
      <c r="I279" s="3">
        <v>10112.85</v>
      </c>
      <c r="J279" s="3">
        <v>3.8069999999999999</v>
      </c>
      <c r="K279" s="2"/>
      <c r="U279" s="2"/>
      <c r="AE279" s="2"/>
      <c r="AO279" s="2"/>
      <c r="AY279" s="2">
        <v>46197</v>
      </c>
      <c r="AZ279" s="3" t="s">
        <v>1716</v>
      </c>
      <c r="BA279" s="3" t="s">
        <v>50</v>
      </c>
      <c r="BB279" s="3" t="s">
        <v>1717</v>
      </c>
      <c r="BC279" s="3">
        <v>0</v>
      </c>
      <c r="BD279" s="3">
        <v>0</v>
      </c>
      <c r="BE279" s="3">
        <v>0</v>
      </c>
      <c r="BF279" s="3">
        <v>2299</v>
      </c>
      <c r="BG279" s="3">
        <v>9962.74</v>
      </c>
      <c r="BH279" s="3">
        <v>2.5467</v>
      </c>
      <c r="BI279" s="2"/>
      <c r="BS279" s="2"/>
      <c r="CC279" s="2">
        <v>46197</v>
      </c>
      <c r="CD279" s="3" t="s">
        <v>2170</v>
      </c>
      <c r="CE279" s="3" t="s">
        <v>2171</v>
      </c>
      <c r="CF279" s="3" t="s">
        <v>2678</v>
      </c>
      <c r="CG279" s="3">
        <v>0</v>
      </c>
      <c r="CH279" s="3">
        <v>0.03</v>
      </c>
      <c r="CI279" s="3">
        <v>0</v>
      </c>
      <c r="CJ279" s="3">
        <v>42526</v>
      </c>
      <c r="CK279" s="3">
        <v>9053.4500000000007</v>
      </c>
      <c r="CL279" s="3">
        <v>4.3522999999999996</v>
      </c>
      <c r="CM279" s="2"/>
      <c r="CW279" s="2"/>
    </row>
    <row r="280" spans="1:101" ht="13.5" customHeight="1" x14ac:dyDescent="0.3">
      <c r="A280" s="2">
        <v>46197</v>
      </c>
      <c r="B280" s="3" t="s">
        <v>1672</v>
      </c>
      <c r="C280" s="3" t="s">
        <v>50</v>
      </c>
      <c r="D280" s="3" t="s">
        <v>1673</v>
      </c>
      <c r="E280" s="3">
        <v>0</v>
      </c>
      <c r="F280" s="3">
        <v>0.12</v>
      </c>
      <c r="G280" s="3">
        <v>0</v>
      </c>
      <c r="H280" s="3">
        <v>138347</v>
      </c>
      <c r="I280" s="3">
        <v>10027.049999999999</v>
      </c>
      <c r="J280" s="3">
        <v>1.6355</v>
      </c>
      <c r="K280" s="2"/>
      <c r="U280" s="2"/>
      <c r="AE280" s="2"/>
      <c r="AO280" s="2"/>
      <c r="AY280" s="2">
        <v>46197</v>
      </c>
      <c r="AZ280" s="3" t="s">
        <v>1718</v>
      </c>
      <c r="BA280" s="3" t="s">
        <v>98</v>
      </c>
      <c r="BB280" s="3" t="s">
        <v>1719</v>
      </c>
      <c r="BC280" s="3">
        <v>0</v>
      </c>
      <c r="BD280" s="3">
        <v>0</v>
      </c>
      <c r="BE280" s="3">
        <v>0</v>
      </c>
      <c r="BF280" s="3">
        <v>2288</v>
      </c>
      <c r="BG280" s="3">
        <v>7438.17</v>
      </c>
      <c r="BH280" s="3">
        <v>6.9264999999999999</v>
      </c>
      <c r="BI280" s="2"/>
      <c r="BS280" s="2"/>
      <c r="CC280" s="2">
        <v>46197</v>
      </c>
      <c r="CD280" s="3" t="s">
        <v>2679</v>
      </c>
      <c r="CE280" s="3" t="s">
        <v>413</v>
      </c>
      <c r="CF280" s="3" t="s">
        <v>2680</v>
      </c>
      <c r="CG280" s="3">
        <v>0</v>
      </c>
      <c r="CH280" s="3">
        <v>0.03</v>
      </c>
      <c r="CI280" s="3">
        <v>0</v>
      </c>
      <c r="CJ280" s="3">
        <v>42311</v>
      </c>
      <c r="CK280" s="3">
        <v>9010.44</v>
      </c>
      <c r="CL280" s="3">
        <v>7.3662000000000001</v>
      </c>
      <c r="CM280" s="2"/>
      <c r="CW280" s="2"/>
    </row>
    <row r="281" spans="1:101" ht="13.5" customHeight="1" x14ac:dyDescent="0.3">
      <c r="A281" s="2">
        <v>46197</v>
      </c>
      <c r="B281" s="3" t="s">
        <v>2113</v>
      </c>
      <c r="C281" s="3" t="s">
        <v>2114</v>
      </c>
      <c r="D281" s="3" t="s">
        <v>2115</v>
      </c>
      <c r="E281" s="3">
        <v>0</v>
      </c>
      <c r="F281" s="3">
        <v>0.12</v>
      </c>
      <c r="G281" s="3">
        <v>0</v>
      </c>
      <c r="H281" s="3">
        <v>135351</v>
      </c>
      <c r="I281" s="3">
        <v>10200.5</v>
      </c>
      <c r="J281" s="3">
        <v>6.0744999999999996</v>
      </c>
      <c r="K281" s="2"/>
      <c r="U281" s="2"/>
      <c r="AE281" s="2"/>
      <c r="AO281" s="2"/>
      <c r="AY281" s="2">
        <v>46197</v>
      </c>
      <c r="AZ281" s="3" t="s">
        <v>1720</v>
      </c>
      <c r="BA281" s="3" t="s">
        <v>1721</v>
      </c>
      <c r="BB281" s="3" t="s">
        <v>1722</v>
      </c>
      <c r="BC281" s="3">
        <v>0</v>
      </c>
      <c r="BD281" s="3">
        <v>0</v>
      </c>
      <c r="BE281" s="3">
        <v>0</v>
      </c>
      <c r="BF281" s="3">
        <v>1453</v>
      </c>
      <c r="BG281" s="3">
        <v>9450.17</v>
      </c>
      <c r="BH281" s="3">
        <v>5.8609</v>
      </c>
      <c r="BI281" s="2"/>
      <c r="BS281" s="2"/>
      <c r="CC281" s="2">
        <v>46197</v>
      </c>
      <c r="CD281" s="3" t="s">
        <v>2681</v>
      </c>
      <c r="CE281" s="3" t="s">
        <v>1712</v>
      </c>
      <c r="CF281" s="3" t="s">
        <v>2682</v>
      </c>
      <c r="CG281" s="3">
        <v>0</v>
      </c>
      <c r="CH281" s="3">
        <v>0.03</v>
      </c>
      <c r="CI281" s="3">
        <v>0</v>
      </c>
      <c r="CJ281" s="3">
        <v>42223</v>
      </c>
      <c r="CK281" s="3">
        <v>4495.8999999999996</v>
      </c>
      <c r="CL281" s="3">
        <v>17.932400000000001</v>
      </c>
      <c r="CM281" s="2"/>
      <c r="CW281" s="2"/>
    </row>
    <row r="282" spans="1:101" ht="13.5" customHeight="1" x14ac:dyDescent="0.3">
      <c r="A282" s="2">
        <v>46197</v>
      </c>
      <c r="B282" s="3" t="s">
        <v>2116</v>
      </c>
      <c r="C282" s="3" t="s">
        <v>2117</v>
      </c>
      <c r="D282" s="3" t="s">
        <v>2118</v>
      </c>
      <c r="E282" s="3">
        <v>0</v>
      </c>
      <c r="F282" s="3">
        <v>0.12</v>
      </c>
      <c r="G282" s="3">
        <v>0</v>
      </c>
      <c r="H282" s="3">
        <v>134932</v>
      </c>
      <c r="I282" s="3">
        <v>10170.56</v>
      </c>
      <c r="J282" s="3">
        <v>0.71389999999999998</v>
      </c>
      <c r="K282" s="2"/>
      <c r="U282" s="2"/>
      <c r="AE282" s="2"/>
      <c r="AO282" s="2"/>
      <c r="AY282" s="2">
        <v>46197</v>
      </c>
      <c r="AZ282" s="3" t="s">
        <v>857</v>
      </c>
      <c r="BA282" s="3" t="s">
        <v>218</v>
      </c>
      <c r="BB282" s="3" t="s">
        <v>858</v>
      </c>
      <c r="BC282" s="3">
        <v>0</v>
      </c>
      <c r="BD282" s="3">
        <v>0</v>
      </c>
      <c r="BE282" s="3">
        <v>0</v>
      </c>
      <c r="BF282" s="3">
        <v>1368</v>
      </c>
      <c r="BG282" s="3">
        <v>10461.450000000001</v>
      </c>
      <c r="BH282" s="3">
        <v>1.6063000000000001</v>
      </c>
      <c r="BI282" s="2"/>
      <c r="BS282" s="2"/>
      <c r="CC282" s="2">
        <v>46197</v>
      </c>
      <c r="CD282" s="3" t="s">
        <v>1716</v>
      </c>
      <c r="CE282" s="3" t="s">
        <v>50</v>
      </c>
      <c r="CF282" s="3" t="s">
        <v>2683</v>
      </c>
      <c r="CG282" s="3">
        <v>0</v>
      </c>
      <c r="CH282" s="3">
        <v>0.03</v>
      </c>
      <c r="CI282" s="3">
        <v>0</v>
      </c>
      <c r="CJ282" s="3">
        <v>42097</v>
      </c>
      <c r="CK282" s="3">
        <v>9962.74</v>
      </c>
      <c r="CL282" s="3">
        <v>2.5467</v>
      </c>
      <c r="CM282" s="2"/>
      <c r="CW282" s="2"/>
    </row>
    <row r="283" spans="1:101" ht="13.5" customHeight="1" x14ac:dyDescent="0.3">
      <c r="A283" s="2">
        <v>46197</v>
      </c>
      <c r="B283" s="3" t="s">
        <v>2119</v>
      </c>
      <c r="C283" s="3" t="s">
        <v>2120</v>
      </c>
      <c r="D283" s="3" t="s">
        <v>2121</v>
      </c>
      <c r="E283" s="3">
        <v>0</v>
      </c>
      <c r="F283" s="3">
        <v>0.12</v>
      </c>
      <c r="G283" s="3">
        <v>0</v>
      </c>
      <c r="H283" s="3">
        <v>134490</v>
      </c>
      <c r="I283" s="3">
        <v>10135.06</v>
      </c>
      <c r="J283" s="3">
        <v>1.8964000000000001</v>
      </c>
      <c r="K283" s="2"/>
      <c r="U283" s="2"/>
      <c r="AE283" s="2"/>
      <c r="AO283" s="2"/>
      <c r="AY283" s="2">
        <v>46197</v>
      </c>
      <c r="AZ283" s="3" t="s">
        <v>222</v>
      </c>
      <c r="BA283" s="3" t="s">
        <v>56</v>
      </c>
      <c r="BB283" s="3" t="s">
        <v>770</v>
      </c>
      <c r="BC283" s="3">
        <v>0</v>
      </c>
      <c r="BD283" s="3">
        <v>0</v>
      </c>
      <c r="BE283" s="3">
        <v>0</v>
      </c>
      <c r="BF283" s="3">
        <v>952</v>
      </c>
      <c r="BG283" s="3">
        <v>12386.65</v>
      </c>
      <c r="BH283" s="3">
        <v>1.9340999999999999</v>
      </c>
      <c r="BI283" s="2"/>
      <c r="BS283" s="2"/>
      <c r="CC283" s="2">
        <v>46197</v>
      </c>
      <c r="CD283" s="3" t="s">
        <v>1582</v>
      </c>
      <c r="CE283" s="3" t="s">
        <v>29</v>
      </c>
      <c r="CF283" s="3" t="s">
        <v>2684</v>
      </c>
      <c r="CG283" s="3">
        <v>0</v>
      </c>
      <c r="CH283" s="3">
        <v>0.03</v>
      </c>
      <c r="CI283" s="3">
        <v>0</v>
      </c>
      <c r="CJ283" s="3">
        <v>41442</v>
      </c>
      <c r="CK283" s="3">
        <v>9779.49</v>
      </c>
      <c r="CL283" s="3">
        <v>6.4259000000000004</v>
      </c>
      <c r="CM283" s="2"/>
      <c r="CW283" s="2"/>
    </row>
    <row r="284" spans="1:101" ht="13.5" customHeight="1" x14ac:dyDescent="0.3">
      <c r="A284" s="2">
        <v>46197</v>
      </c>
      <c r="B284" s="3" t="s">
        <v>2122</v>
      </c>
      <c r="C284" s="3" t="s">
        <v>340</v>
      </c>
      <c r="D284" s="3" t="s">
        <v>2123</v>
      </c>
      <c r="E284" s="3">
        <v>0</v>
      </c>
      <c r="F284" s="3">
        <v>0.12</v>
      </c>
      <c r="G284" s="3">
        <v>0</v>
      </c>
      <c r="H284" s="3">
        <v>133774</v>
      </c>
      <c r="I284" s="3">
        <v>10083.5</v>
      </c>
      <c r="J284" s="3">
        <v>0.58540000000000003</v>
      </c>
      <c r="K284" s="2"/>
      <c r="U284" s="2"/>
      <c r="AE284" s="2"/>
      <c r="AO284" s="2"/>
      <c r="AY284" s="2">
        <v>46197</v>
      </c>
      <c r="AZ284" s="3" t="s">
        <v>7</v>
      </c>
      <c r="BA284" s="3" t="s">
        <v>7</v>
      </c>
      <c r="BB284" s="3" t="s">
        <v>46</v>
      </c>
      <c r="BD284" s="3">
        <v>6.79</v>
      </c>
      <c r="BF284" s="3">
        <v>-8545946</v>
      </c>
      <c r="BI284" s="2"/>
      <c r="BS284" s="2"/>
      <c r="CC284" s="2">
        <v>46197</v>
      </c>
      <c r="CD284" s="3" t="s">
        <v>2685</v>
      </c>
      <c r="CE284" s="3" t="s">
        <v>98</v>
      </c>
      <c r="CF284" s="3" t="s">
        <v>2686</v>
      </c>
      <c r="CG284" s="3">
        <v>0</v>
      </c>
      <c r="CH284" s="3">
        <v>0.03</v>
      </c>
      <c r="CI284" s="3">
        <v>0</v>
      </c>
      <c r="CJ284" s="3">
        <v>37648</v>
      </c>
      <c r="CK284" s="3">
        <v>8018.47</v>
      </c>
      <c r="CL284" s="3">
        <v>5.2484999999999999</v>
      </c>
      <c r="CM284" s="2"/>
      <c r="CW284" s="2"/>
    </row>
    <row r="285" spans="1:101" ht="13.5" customHeight="1" x14ac:dyDescent="0.3">
      <c r="A285" s="2">
        <v>46197</v>
      </c>
      <c r="B285" s="3" t="s">
        <v>2124</v>
      </c>
      <c r="C285" s="3" t="s">
        <v>50</v>
      </c>
      <c r="D285" s="3" t="s">
        <v>2125</v>
      </c>
      <c r="E285" s="3">
        <v>0</v>
      </c>
      <c r="F285" s="3">
        <v>0.12</v>
      </c>
      <c r="G285" s="3">
        <v>0</v>
      </c>
      <c r="H285" s="3">
        <v>133399</v>
      </c>
      <c r="I285" s="3">
        <v>10055.219999999999</v>
      </c>
      <c r="J285" s="3">
        <v>0.45629999999999998</v>
      </c>
      <c r="K285" s="2"/>
      <c r="U285" s="2"/>
      <c r="AE285" s="2"/>
      <c r="AO285" s="2"/>
      <c r="AY285" s="2"/>
      <c r="BI285" s="2"/>
      <c r="BS285" s="2"/>
      <c r="CC285" s="2">
        <v>46197</v>
      </c>
      <c r="CD285" s="3" t="s">
        <v>2262</v>
      </c>
      <c r="CE285" s="3" t="s">
        <v>56</v>
      </c>
      <c r="CF285" s="3" t="s">
        <v>2687</v>
      </c>
      <c r="CG285" s="3">
        <v>0</v>
      </c>
      <c r="CH285" s="3">
        <v>0.03</v>
      </c>
      <c r="CI285" s="3">
        <v>0</v>
      </c>
      <c r="CJ285" s="3">
        <v>37484</v>
      </c>
      <c r="CK285" s="3">
        <v>12005.05</v>
      </c>
      <c r="CL285" s="3">
        <v>3.8675999999999999</v>
      </c>
      <c r="CM285" s="2"/>
      <c r="CW285" s="2"/>
    </row>
    <row r="286" spans="1:101" ht="13.5" customHeight="1" x14ac:dyDescent="0.3">
      <c r="A286" s="2">
        <v>46197</v>
      </c>
      <c r="B286" s="3" t="s">
        <v>2126</v>
      </c>
      <c r="C286" s="3" t="s">
        <v>2127</v>
      </c>
      <c r="D286" s="3" t="s">
        <v>2128</v>
      </c>
      <c r="E286" s="3">
        <v>0</v>
      </c>
      <c r="F286" s="3">
        <v>0.12</v>
      </c>
      <c r="G286" s="3">
        <v>0</v>
      </c>
      <c r="H286" s="3">
        <v>133020</v>
      </c>
      <c r="I286" s="3">
        <v>10025.52</v>
      </c>
      <c r="J286" s="3">
        <v>3.496</v>
      </c>
      <c r="K286" s="2"/>
      <c r="U286" s="2"/>
      <c r="AE286" s="2"/>
      <c r="AO286" s="2"/>
      <c r="AY286" s="2"/>
      <c r="BI286" s="2"/>
      <c r="BS286" s="2"/>
      <c r="CC286" s="2">
        <v>46197</v>
      </c>
      <c r="CD286" s="3" t="s">
        <v>77</v>
      </c>
      <c r="CE286" s="3" t="s">
        <v>29</v>
      </c>
      <c r="CF286" s="3" t="s">
        <v>2688</v>
      </c>
      <c r="CG286" s="3">
        <v>0</v>
      </c>
      <c r="CH286" s="3">
        <v>0.02</v>
      </c>
      <c r="CI286" s="3">
        <v>0</v>
      </c>
      <c r="CJ286" s="3">
        <v>36562</v>
      </c>
      <c r="CK286" s="3">
        <v>8197.18</v>
      </c>
      <c r="CL286" s="3">
        <v>16.517900000000001</v>
      </c>
      <c r="CM286" s="2"/>
      <c r="CW286" s="2"/>
    </row>
    <row r="287" spans="1:101" ht="13.5" customHeight="1" x14ac:dyDescent="0.3">
      <c r="A287" s="2">
        <v>46197</v>
      </c>
      <c r="B287" s="3" t="s">
        <v>2129</v>
      </c>
      <c r="C287" s="3" t="s">
        <v>2130</v>
      </c>
      <c r="D287" s="3" t="s">
        <v>2131</v>
      </c>
      <c r="E287" s="3">
        <v>0</v>
      </c>
      <c r="F287" s="3">
        <v>0.12</v>
      </c>
      <c r="G287" s="3">
        <v>0</v>
      </c>
      <c r="H287" s="3">
        <v>131101</v>
      </c>
      <c r="I287" s="3">
        <v>9880.35</v>
      </c>
      <c r="J287" s="3">
        <v>1.5301</v>
      </c>
      <c r="K287" s="2"/>
      <c r="U287" s="2"/>
      <c r="AE287" s="2"/>
      <c r="AO287" s="2"/>
      <c r="AY287" s="2"/>
      <c r="BI287" s="2"/>
      <c r="BS287" s="2"/>
      <c r="CC287" s="2">
        <v>46197</v>
      </c>
      <c r="CD287" s="3" t="s">
        <v>2689</v>
      </c>
      <c r="CE287" s="3" t="s">
        <v>29</v>
      </c>
      <c r="CF287" s="3" t="s">
        <v>2690</v>
      </c>
      <c r="CG287" s="3">
        <v>0</v>
      </c>
      <c r="CH287" s="3">
        <v>0.02</v>
      </c>
      <c r="CI287" s="3">
        <v>0</v>
      </c>
      <c r="CJ287" s="3">
        <v>31701</v>
      </c>
      <c r="CK287" s="3">
        <v>7019.01</v>
      </c>
      <c r="CL287" s="3">
        <v>15.1059</v>
      </c>
      <c r="CM287" s="2"/>
      <c r="CW287" s="2"/>
    </row>
    <row r="288" spans="1:101" ht="13.5" customHeight="1" x14ac:dyDescent="0.3">
      <c r="A288" s="2">
        <v>46197</v>
      </c>
      <c r="B288" s="3" t="s">
        <v>202</v>
      </c>
      <c r="C288" s="3" t="s">
        <v>29</v>
      </c>
      <c r="D288" s="3" t="s">
        <v>518</v>
      </c>
      <c r="E288" s="3">
        <v>0</v>
      </c>
      <c r="F288" s="3">
        <v>0.12</v>
      </c>
      <c r="G288" s="3">
        <v>0</v>
      </c>
      <c r="H288" s="3">
        <v>128187</v>
      </c>
      <c r="I288" s="3">
        <v>9472.99</v>
      </c>
      <c r="J288" s="3">
        <v>2.8384</v>
      </c>
      <c r="K288" s="2"/>
      <c r="U288" s="2"/>
      <c r="AE288" s="2"/>
      <c r="AO288" s="2"/>
      <c r="AY288" s="2"/>
      <c r="BI288" s="2"/>
      <c r="BS288" s="2"/>
      <c r="CC288" s="2">
        <v>46197</v>
      </c>
      <c r="CD288" s="3" t="s">
        <v>2691</v>
      </c>
      <c r="CE288" s="3" t="s">
        <v>1699</v>
      </c>
      <c r="CF288" s="3" t="s">
        <v>2692</v>
      </c>
      <c r="CG288" s="3">
        <v>0</v>
      </c>
      <c r="CH288" s="3">
        <v>0.02</v>
      </c>
      <c r="CI288" s="3">
        <v>0</v>
      </c>
      <c r="CJ288" s="3">
        <v>26907</v>
      </c>
      <c r="CK288" s="3">
        <v>9471.41</v>
      </c>
      <c r="CL288" s="3">
        <v>5.5461</v>
      </c>
      <c r="CM288" s="2"/>
      <c r="CW288" s="2"/>
    </row>
    <row r="289" spans="1:101" ht="13.5" customHeight="1" x14ac:dyDescent="0.3">
      <c r="A289" s="2">
        <v>46197</v>
      </c>
      <c r="B289" s="3" t="s">
        <v>1454</v>
      </c>
      <c r="C289" s="3" t="s">
        <v>29</v>
      </c>
      <c r="D289" s="3" t="s">
        <v>1455</v>
      </c>
      <c r="E289" s="3">
        <v>0</v>
      </c>
      <c r="F289" s="3">
        <v>0.11</v>
      </c>
      <c r="G289" s="3">
        <v>0</v>
      </c>
      <c r="H289" s="3">
        <v>125979</v>
      </c>
      <c r="I289" s="3">
        <v>9192.75</v>
      </c>
      <c r="J289" s="3">
        <v>3.3243</v>
      </c>
      <c r="K289" s="2"/>
      <c r="U289" s="2"/>
      <c r="AE289" s="2"/>
      <c r="AO289" s="2"/>
      <c r="AY289" s="2"/>
      <c r="BI289" s="2"/>
      <c r="BS289" s="2"/>
      <c r="CC289" s="2">
        <v>46197</v>
      </c>
      <c r="CD289" s="3" t="s">
        <v>2271</v>
      </c>
      <c r="CE289" s="3" t="s">
        <v>2272</v>
      </c>
      <c r="CF289" s="3" t="s">
        <v>2693</v>
      </c>
      <c r="CG289" s="3">
        <v>0</v>
      </c>
      <c r="CH289" s="3">
        <v>0.02</v>
      </c>
      <c r="CI289" s="3">
        <v>0</v>
      </c>
      <c r="CJ289" s="3">
        <v>24462</v>
      </c>
      <c r="CK289" s="3">
        <v>10420.790000000001</v>
      </c>
      <c r="CL289" s="3">
        <v>0.82330000000000003</v>
      </c>
      <c r="CM289" s="2"/>
      <c r="CW289" s="2"/>
    </row>
    <row r="290" spans="1:101" ht="13.5" customHeight="1" x14ac:dyDescent="0.3">
      <c r="A290" s="2">
        <v>46197</v>
      </c>
      <c r="B290" s="3" t="s">
        <v>110</v>
      </c>
      <c r="C290" s="3" t="s">
        <v>63</v>
      </c>
      <c r="D290" s="3" t="s">
        <v>111</v>
      </c>
      <c r="E290" s="3">
        <v>0</v>
      </c>
      <c r="F290" s="3">
        <v>0.11</v>
      </c>
      <c r="G290" s="3">
        <v>0</v>
      </c>
      <c r="H290" s="3">
        <v>125916</v>
      </c>
      <c r="I290" s="3">
        <v>8920.7000000000007</v>
      </c>
      <c r="J290" s="3">
        <v>12.076700000000001</v>
      </c>
      <c r="K290" s="2"/>
      <c r="U290" s="2"/>
      <c r="AE290" s="2"/>
      <c r="AO290" s="2"/>
      <c r="AY290" s="2"/>
      <c r="BI290" s="2"/>
      <c r="BS290" s="2"/>
      <c r="CC290" s="2">
        <v>46197</v>
      </c>
      <c r="CD290" s="3" t="s">
        <v>2694</v>
      </c>
      <c r="CE290" s="3" t="s">
        <v>2695</v>
      </c>
      <c r="CF290" s="3" t="s">
        <v>2696</v>
      </c>
      <c r="CG290" s="3">
        <v>0</v>
      </c>
      <c r="CH290" s="3">
        <v>0.02</v>
      </c>
      <c r="CI290" s="3">
        <v>0</v>
      </c>
      <c r="CJ290" s="3">
        <v>23683</v>
      </c>
      <c r="CK290" s="3">
        <v>10088.61</v>
      </c>
      <c r="CL290" s="3">
        <v>0.40210000000000001</v>
      </c>
      <c r="CM290" s="2"/>
      <c r="CW290" s="2"/>
    </row>
    <row r="291" spans="1:101" ht="13.5" customHeight="1" x14ac:dyDescent="0.3">
      <c r="A291" s="2">
        <v>46197</v>
      </c>
      <c r="B291" s="3" t="s">
        <v>2132</v>
      </c>
      <c r="C291" s="3" t="s">
        <v>98</v>
      </c>
      <c r="D291" s="3" t="s">
        <v>2133</v>
      </c>
      <c r="E291" s="3">
        <v>0</v>
      </c>
      <c r="F291" s="3">
        <v>0.11</v>
      </c>
      <c r="G291" s="3">
        <v>0</v>
      </c>
      <c r="H291" s="3">
        <v>125090</v>
      </c>
      <c r="I291" s="3">
        <v>8571</v>
      </c>
      <c r="J291" s="3">
        <v>3.8121999999999998</v>
      </c>
      <c r="K291" s="2"/>
      <c r="U291" s="2"/>
      <c r="AE291" s="2"/>
      <c r="AO291" s="2"/>
      <c r="AY291" s="2"/>
      <c r="BI291" s="2"/>
      <c r="BS291" s="2"/>
      <c r="CC291" s="2">
        <v>46197</v>
      </c>
      <c r="CD291" s="3" t="s">
        <v>2697</v>
      </c>
      <c r="CE291" s="3" t="s">
        <v>2698</v>
      </c>
      <c r="CF291" s="3" t="s">
        <v>2699</v>
      </c>
      <c r="CG291" s="3">
        <v>0</v>
      </c>
      <c r="CH291" s="3">
        <v>0.02</v>
      </c>
      <c r="CI291" s="3">
        <v>0</v>
      </c>
      <c r="CJ291" s="3">
        <v>23505</v>
      </c>
      <c r="CK291" s="3">
        <v>10012.469999999999</v>
      </c>
      <c r="CL291" s="3">
        <v>1.8288</v>
      </c>
      <c r="CM291" s="2"/>
      <c r="CW291" s="2"/>
    </row>
    <row r="292" spans="1:101" ht="13.5" customHeight="1" x14ac:dyDescent="0.3">
      <c r="A292" s="2">
        <v>46197</v>
      </c>
      <c r="B292" s="3" t="s">
        <v>2134</v>
      </c>
      <c r="C292" s="3" t="s">
        <v>278</v>
      </c>
      <c r="D292" s="3" t="s">
        <v>2135</v>
      </c>
      <c r="E292" s="3">
        <v>0</v>
      </c>
      <c r="F292" s="3">
        <v>0.11</v>
      </c>
      <c r="G292" s="3">
        <v>0</v>
      </c>
      <c r="H292" s="3">
        <v>124746</v>
      </c>
      <c r="I292" s="3">
        <v>9402.81</v>
      </c>
      <c r="J292" s="3">
        <v>3.8706999999999998</v>
      </c>
      <c r="K292" s="2"/>
      <c r="U292" s="2"/>
      <c r="AE292" s="2"/>
      <c r="AO292" s="2"/>
      <c r="AY292" s="2"/>
      <c r="BI292" s="2"/>
      <c r="BS292" s="2"/>
      <c r="CC292" s="2">
        <v>46197</v>
      </c>
      <c r="CD292" s="3" t="s">
        <v>2030</v>
      </c>
      <c r="CE292" s="3" t="s">
        <v>1288</v>
      </c>
      <c r="CF292" s="3" t="s">
        <v>2700</v>
      </c>
      <c r="CG292" s="3">
        <v>0</v>
      </c>
      <c r="CH292" s="3">
        <v>0.01</v>
      </c>
      <c r="CI292" s="3">
        <v>0</v>
      </c>
      <c r="CJ292" s="3">
        <v>21968</v>
      </c>
      <c r="CK292" s="3">
        <v>9358.07</v>
      </c>
      <c r="CL292" s="3">
        <v>3.3090999999999999</v>
      </c>
      <c r="CM292" s="2"/>
      <c r="CW292" s="2"/>
    </row>
    <row r="293" spans="1:101" ht="13.5" customHeight="1" x14ac:dyDescent="0.3">
      <c r="A293" s="2">
        <v>46197</v>
      </c>
      <c r="B293" s="3" t="s">
        <v>2136</v>
      </c>
      <c r="C293" s="3" t="s">
        <v>523</v>
      </c>
      <c r="D293" s="3" t="s">
        <v>2137</v>
      </c>
      <c r="E293" s="3">
        <v>0</v>
      </c>
      <c r="F293" s="3">
        <v>0.11</v>
      </c>
      <c r="G293" s="3">
        <v>0</v>
      </c>
      <c r="H293" s="3">
        <v>121415</v>
      </c>
      <c r="I293" s="3">
        <v>9151.33</v>
      </c>
      <c r="J293" s="3">
        <v>12.587</v>
      </c>
      <c r="K293" s="2"/>
      <c r="U293" s="2"/>
      <c r="AE293" s="2"/>
      <c r="AO293" s="2"/>
      <c r="AY293" s="2"/>
      <c r="BI293" s="2"/>
      <c r="BS293" s="2"/>
      <c r="CC293" s="2">
        <v>46197</v>
      </c>
      <c r="CD293" s="3" t="s">
        <v>739</v>
      </c>
      <c r="CE293" s="3" t="s">
        <v>29</v>
      </c>
      <c r="CF293" s="3" t="s">
        <v>2701</v>
      </c>
      <c r="CG293" s="3">
        <v>0</v>
      </c>
      <c r="CH293" s="3">
        <v>0.01</v>
      </c>
      <c r="CI293" s="3">
        <v>0</v>
      </c>
      <c r="CJ293" s="3">
        <v>21201</v>
      </c>
      <c r="CK293" s="3">
        <v>7081.51</v>
      </c>
      <c r="CL293" s="3">
        <v>15.465400000000001</v>
      </c>
      <c r="CM293" s="2"/>
      <c r="CW293" s="2"/>
    </row>
    <row r="294" spans="1:101" ht="13.5" customHeight="1" x14ac:dyDescent="0.3">
      <c r="A294" s="2">
        <v>46197</v>
      </c>
      <c r="B294" s="3" t="s">
        <v>2138</v>
      </c>
      <c r="C294" s="3" t="s">
        <v>2139</v>
      </c>
      <c r="D294" s="3" t="s">
        <v>2140</v>
      </c>
      <c r="E294" s="3">
        <v>0</v>
      </c>
      <c r="F294" s="3">
        <v>0.11</v>
      </c>
      <c r="G294" s="3">
        <v>0</v>
      </c>
      <c r="H294" s="3">
        <v>117935</v>
      </c>
      <c r="I294" s="3">
        <v>9877.3700000000008</v>
      </c>
      <c r="J294" s="3">
        <v>2.2130000000000001</v>
      </c>
      <c r="K294" s="2"/>
      <c r="U294" s="2"/>
      <c r="AE294" s="2"/>
      <c r="AO294" s="2"/>
      <c r="AY294" s="2"/>
      <c r="BI294" s="2"/>
      <c r="BS294" s="2"/>
      <c r="CC294" s="2">
        <v>46197</v>
      </c>
      <c r="CD294" s="3" t="s">
        <v>1570</v>
      </c>
      <c r="CE294" s="3" t="s">
        <v>1571</v>
      </c>
      <c r="CF294" s="3" t="s">
        <v>1572</v>
      </c>
      <c r="CG294" s="3">
        <v>0</v>
      </c>
      <c r="CH294" s="3">
        <v>0.01</v>
      </c>
      <c r="CI294" s="3">
        <v>0</v>
      </c>
      <c r="CJ294" s="3">
        <v>21077</v>
      </c>
      <c r="CK294" s="3">
        <v>8979.27</v>
      </c>
      <c r="CL294" s="3">
        <v>4.8391000000000002</v>
      </c>
      <c r="CM294" s="2"/>
      <c r="CW294" s="2"/>
    </row>
    <row r="295" spans="1:101" ht="13.5" customHeight="1" x14ac:dyDescent="0.3">
      <c r="A295" s="2">
        <v>46197</v>
      </c>
      <c r="B295" s="3" t="s">
        <v>2141</v>
      </c>
      <c r="C295" s="3" t="s">
        <v>563</v>
      </c>
      <c r="D295" s="3" t="s">
        <v>2142</v>
      </c>
      <c r="E295" s="3">
        <v>0</v>
      </c>
      <c r="F295" s="3">
        <v>0.1</v>
      </c>
      <c r="G295" s="3">
        <v>0</v>
      </c>
      <c r="H295" s="3">
        <v>116648</v>
      </c>
      <c r="I295" s="3">
        <v>8796.0499999999993</v>
      </c>
      <c r="J295" s="3">
        <v>7.5747</v>
      </c>
      <c r="K295" s="2"/>
      <c r="U295" s="2"/>
      <c r="AE295" s="2"/>
      <c r="AO295" s="2"/>
      <c r="AY295" s="2"/>
      <c r="BI295" s="2"/>
      <c r="BS295" s="2"/>
      <c r="CC295" s="2">
        <v>46197</v>
      </c>
      <c r="CD295" s="3" t="s">
        <v>732</v>
      </c>
      <c r="CE295" s="3" t="s">
        <v>29</v>
      </c>
      <c r="CF295" s="3" t="s">
        <v>2702</v>
      </c>
      <c r="CG295" s="3">
        <v>0</v>
      </c>
      <c r="CH295" s="3">
        <v>0.01</v>
      </c>
      <c r="CI295" s="3">
        <v>0</v>
      </c>
      <c r="CJ295" s="3">
        <v>20879</v>
      </c>
      <c r="CK295" s="3">
        <v>7707.56</v>
      </c>
      <c r="CL295" s="3">
        <v>15.328900000000001</v>
      </c>
      <c r="CM295" s="2"/>
      <c r="CW295" s="2"/>
    </row>
    <row r="296" spans="1:101" ht="13.5" customHeight="1" x14ac:dyDescent="0.3">
      <c r="A296" s="2">
        <v>46197</v>
      </c>
      <c r="B296" s="3" t="s">
        <v>2143</v>
      </c>
      <c r="C296" s="3" t="s">
        <v>2144</v>
      </c>
      <c r="D296" s="3" t="s">
        <v>2145</v>
      </c>
      <c r="E296" s="3">
        <v>0</v>
      </c>
      <c r="F296" s="3">
        <v>0.1</v>
      </c>
      <c r="G296" s="3">
        <v>0</v>
      </c>
      <c r="H296" s="3">
        <v>115019</v>
      </c>
      <c r="I296" s="3">
        <v>9632.14</v>
      </c>
      <c r="J296" s="3">
        <v>3.4274</v>
      </c>
      <c r="K296" s="2"/>
      <c r="U296" s="2"/>
      <c r="AE296" s="2"/>
      <c r="AO296" s="2"/>
      <c r="AY296" s="2"/>
      <c r="BI296" s="2"/>
      <c r="BS296" s="2"/>
      <c r="CC296" s="2">
        <v>46197</v>
      </c>
      <c r="CD296" s="3" t="s">
        <v>2703</v>
      </c>
      <c r="CE296" s="3" t="s">
        <v>523</v>
      </c>
      <c r="CF296" s="3" t="s">
        <v>2704</v>
      </c>
      <c r="CG296" s="3">
        <v>0</v>
      </c>
      <c r="CH296" s="3">
        <v>0.01</v>
      </c>
      <c r="CI296" s="3">
        <v>0</v>
      </c>
      <c r="CJ296" s="3">
        <v>18857</v>
      </c>
      <c r="CK296" s="3">
        <v>10040.48</v>
      </c>
      <c r="CL296" s="3">
        <v>6.0366999999999997</v>
      </c>
      <c r="CM296" s="2"/>
      <c r="CW296" s="2"/>
    </row>
    <row r="297" spans="1:101" ht="13.5" customHeight="1" x14ac:dyDescent="0.3">
      <c r="A297" s="2">
        <v>46197</v>
      </c>
      <c r="B297" s="3" t="s">
        <v>2146</v>
      </c>
      <c r="C297" s="3" t="s">
        <v>2147</v>
      </c>
      <c r="D297" s="3" t="s">
        <v>2148</v>
      </c>
      <c r="E297" s="3">
        <v>0</v>
      </c>
      <c r="F297" s="3">
        <v>0.1</v>
      </c>
      <c r="G297" s="3">
        <v>0</v>
      </c>
      <c r="H297" s="3">
        <v>111479</v>
      </c>
      <c r="I297" s="3">
        <v>9885.01</v>
      </c>
      <c r="J297" s="3">
        <v>1.8895</v>
      </c>
      <c r="K297" s="2"/>
      <c r="U297" s="2"/>
      <c r="AE297" s="2"/>
      <c r="AO297" s="2"/>
      <c r="AY297" s="2"/>
      <c r="BI297" s="2"/>
      <c r="BS297" s="2"/>
      <c r="CC297" s="2">
        <v>46197</v>
      </c>
      <c r="CD297" s="3" t="s">
        <v>1609</v>
      </c>
      <c r="CE297" s="3" t="s">
        <v>1610</v>
      </c>
      <c r="CF297" s="3" t="s">
        <v>2705</v>
      </c>
      <c r="CG297" s="3">
        <v>0</v>
      </c>
      <c r="CH297" s="3">
        <v>0.01</v>
      </c>
      <c r="CI297" s="3">
        <v>0</v>
      </c>
      <c r="CJ297" s="3">
        <v>18721</v>
      </c>
      <c r="CK297" s="3">
        <v>9968.93</v>
      </c>
      <c r="CL297" s="3">
        <v>0.24429999999999999</v>
      </c>
      <c r="CM297" s="2"/>
      <c r="CW297" s="2"/>
    </row>
    <row r="298" spans="1:101" ht="13.5" customHeight="1" x14ac:dyDescent="0.3">
      <c r="A298" s="2">
        <v>46197</v>
      </c>
      <c r="B298" s="3" t="s">
        <v>2149</v>
      </c>
      <c r="C298" s="3" t="s">
        <v>798</v>
      </c>
      <c r="D298" s="3" t="s">
        <v>2150</v>
      </c>
      <c r="E298" s="3">
        <v>0</v>
      </c>
      <c r="F298" s="3">
        <v>0.1</v>
      </c>
      <c r="G298" s="3">
        <v>0</v>
      </c>
      <c r="H298" s="3">
        <v>109338</v>
      </c>
      <c r="I298" s="3">
        <v>10302.1</v>
      </c>
      <c r="J298" s="3">
        <v>6.1353999999999997</v>
      </c>
      <c r="K298" s="2"/>
      <c r="U298" s="2"/>
      <c r="AE298" s="2"/>
      <c r="AO298" s="2"/>
      <c r="AY298" s="2"/>
      <c r="BI298" s="2"/>
      <c r="BS298" s="2"/>
      <c r="CC298" s="2">
        <v>46197</v>
      </c>
      <c r="CD298" s="3" t="s">
        <v>1720</v>
      </c>
      <c r="CE298" s="3" t="s">
        <v>1721</v>
      </c>
      <c r="CF298" s="3" t="s">
        <v>1722</v>
      </c>
      <c r="CG298" s="3">
        <v>0</v>
      </c>
      <c r="CH298" s="3">
        <v>0.01</v>
      </c>
      <c r="CI298" s="3">
        <v>0</v>
      </c>
      <c r="CJ298" s="3">
        <v>15529</v>
      </c>
      <c r="CK298" s="3">
        <v>9450.17</v>
      </c>
      <c r="CL298" s="3">
        <v>5.8609</v>
      </c>
      <c r="CM298" s="2"/>
      <c r="CW298" s="2"/>
    </row>
    <row r="299" spans="1:101" ht="13.5" customHeight="1" x14ac:dyDescent="0.3">
      <c r="A299" s="2">
        <v>46197</v>
      </c>
      <c r="B299" s="3" t="s">
        <v>1584</v>
      </c>
      <c r="C299" s="3" t="s">
        <v>29</v>
      </c>
      <c r="D299" s="3" t="s">
        <v>1585</v>
      </c>
      <c r="E299" s="3">
        <v>0</v>
      </c>
      <c r="F299" s="3">
        <v>0.1</v>
      </c>
      <c r="G299" s="3">
        <v>0</v>
      </c>
      <c r="H299" s="3">
        <v>108115</v>
      </c>
      <c r="I299" s="3">
        <v>9938.09</v>
      </c>
      <c r="J299" s="3">
        <v>0.45629999999999998</v>
      </c>
      <c r="K299" s="2"/>
      <c r="U299" s="2"/>
      <c r="AE299" s="2"/>
      <c r="AO299" s="2"/>
      <c r="AY299" s="2"/>
      <c r="BI299" s="2"/>
      <c r="BS299" s="2"/>
      <c r="CC299" s="2">
        <v>46197</v>
      </c>
      <c r="CD299" s="3" t="s">
        <v>753</v>
      </c>
      <c r="CE299" s="3" t="s">
        <v>29</v>
      </c>
      <c r="CF299" s="3" t="s">
        <v>2706</v>
      </c>
      <c r="CG299" s="3">
        <v>0</v>
      </c>
      <c r="CH299" s="3">
        <v>0.01</v>
      </c>
      <c r="CI299" s="3">
        <v>0</v>
      </c>
      <c r="CJ299" s="3">
        <v>15075</v>
      </c>
      <c r="CK299" s="3">
        <v>7831.26</v>
      </c>
      <c r="CL299" s="3">
        <v>9.1460000000000008</v>
      </c>
      <c r="CM299" s="2"/>
      <c r="CW299" s="2"/>
    </row>
    <row r="300" spans="1:101" ht="13.5" customHeight="1" x14ac:dyDescent="0.3">
      <c r="A300" s="2">
        <v>46197</v>
      </c>
      <c r="B300" s="3" t="s">
        <v>2151</v>
      </c>
      <c r="C300" s="3" t="s">
        <v>56</v>
      </c>
      <c r="D300" s="3" t="s">
        <v>2152</v>
      </c>
      <c r="E300" s="3">
        <v>0</v>
      </c>
      <c r="F300" s="3">
        <v>0.1</v>
      </c>
      <c r="G300" s="3">
        <v>0</v>
      </c>
      <c r="H300" s="3">
        <v>107034</v>
      </c>
      <c r="I300" s="3">
        <v>10084.85</v>
      </c>
      <c r="J300" s="3">
        <v>0.21049999999999999</v>
      </c>
      <c r="K300" s="2"/>
      <c r="U300" s="2"/>
      <c r="AE300" s="2"/>
      <c r="AO300" s="2"/>
      <c r="AY300" s="2"/>
      <c r="BI300" s="2"/>
      <c r="BS300" s="2"/>
      <c r="CC300" s="2">
        <v>46197</v>
      </c>
      <c r="CD300" s="3" t="s">
        <v>42</v>
      </c>
      <c r="CE300" s="3" t="s">
        <v>29</v>
      </c>
      <c r="CF300" s="3" t="s">
        <v>2707</v>
      </c>
      <c r="CG300" s="3">
        <v>0</v>
      </c>
      <c r="CH300" s="3">
        <v>0.01</v>
      </c>
      <c r="CI300" s="3">
        <v>0</v>
      </c>
      <c r="CJ300" s="3">
        <v>14974</v>
      </c>
      <c r="CK300" s="3">
        <v>9492.18</v>
      </c>
      <c r="CL300" s="3">
        <v>6.1319999999999997</v>
      </c>
      <c r="CM300" s="2"/>
      <c r="CW300" s="2"/>
    </row>
    <row r="301" spans="1:101" ht="13.5" customHeight="1" x14ac:dyDescent="0.3">
      <c r="A301" s="2">
        <v>46197</v>
      </c>
      <c r="B301" s="3" t="s">
        <v>2153</v>
      </c>
      <c r="C301" s="3" t="s">
        <v>1281</v>
      </c>
      <c r="D301" s="3" t="s">
        <v>2154</v>
      </c>
      <c r="E301" s="3">
        <v>0</v>
      </c>
      <c r="F301" s="3">
        <v>0.1</v>
      </c>
      <c r="G301" s="3">
        <v>0</v>
      </c>
      <c r="H301" s="3">
        <v>106871</v>
      </c>
      <c r="I301" s="3">
        <v>10069.65</v>
      </c>
      <c r="J301" s="3">
        <v>0.74760000000000004</v>
      </c>
      <c r="K301" s="2"/>
      <c r="U301" s="2"/>
      <c r="AE301" s="2"/>
      <c r="AO301" s="2"/>
      <c r="AY301" s="2"/>
      <c r="BI301" s="2"/>
      <c r="BS301" s="2"/>
      <c r="CC301" s="2">
        <v>46197</v>
      </c>
      <c r="CD301" s="3" t="s">
        <v>2274</v>
      </c>
      <c r="CE301" s="3" t="s">
        <v>29</v>
      </c>
      <c r="CF301" s="3" t="s">
        <v>2708</v>
      </c>
      <c r="CG301" s="3">
        <v>0</v>
      </c>
      <c r="CH301" s="3">
        <v>0.01</v>
      </c>
      <c r="CI301" s="3">
        <v>0</v>
      </c>
      <c r="CJ301" s="3">
        <v>12116</v>
      </c>
      <c r="CK301" s="3">
        <v>9849.7000000000007</v>
      </c>
      <c r="CL301" s="3">
        <v>1.4205000000000001</v>
      </c>
      <c r="CM301" s="2"/>
      <c r="CW301" s="2"/>
    </row>
    <row r="302" spans="1:101" ht="13.5" customHeight="1" x14ac:dyDescent="0.3">
      <c r="A302" s="2">
        <v>46197</v>
      </c>
      <c r="B302" s="3" t="s">
        <v>81</v>
      </c>
      <c r="C302" s="3" t="s">
        <v>29</v>
      </c>
      <c r="D302" s="3" t="s">
        <v>82</v>
      </c>
      <c r="E302" s="3">
        <v>0</v>
      </c>
      <c r="F302" s="3">
        <v>0.1</v>
      </c>
      <c r="G302" s="3">
        <v>0</v>
      </c>
      <c r="H302" s="3">
        <v>106423</v>
      </c>
      <c r="I302" s="3">
        <v>7137.21</v>
      </c>
      <c r="J302" s="3">
        <v>12.1907</v>
      </c>
      <c r="K302" s="2"/>
      <c r="U302" s="2"/>
      <c r="AE302" s="2"/>
      <c r="AO302" s="2"/>
      <c r="AY302" s="2"/>
      <c r="BI302" s="2"/>
      <c r="BS302" s="2"/>
      <c r="CC302" s="2">
        <v>46197</v>
      </c>
      <c r="CD302" s="3" t="s">
        <v>2709</v>
      </c>
      <c r="CE302" s="3" t="s">
        <v>2710</v>
      </c>
      <c r="CF302" s="3" t="s">
        <v>2711</v>
      </c>
      <c r="CG302" s="3">
        <v>0</v>
      </c>
      <c r="CH302" s="3">
        <v>0.01</v>
      </c>
      <c r="CI302" s="3">
        <v>0</v>
      </c>
      <c r="CJ302" s="3">
        <v>10008</v>
      </c>
      <c r="CK302" s="3">
        <v>9692.2199999999993</v>
      </c>
      <c r="CL302" s="3">
        <v>5.39</v>
      </c>
      <c r="CM302" s="2"/>
      <c r="CW302" s="2"/>
    </row>
    <row r="303" spans="1:101" ht="13.5" customHeight="1" x14ac:dyDescent="0.3">
      <c r="A303" s="2">
        <v>46197</v>
      </c>
      <c r="B303" s="3" t="s">
        <v>2155</v>
      </c>
      <c r="C303" s="3" t="s">
        <v>1544</v>
      </c>
      <c r="D303" s="3" t="s">
        <v>2156</v>
      </c>
      <c r="E303" s="3">
        <v>0</v>
      </c>
      <c r="F303" s="3">
        <v>0.1</v>
      </c>
      <c r="G303" s="3">
        <v>0</v>
      </c>
      <c r="H303" s="3">
        <v>105846</v>
      </c>
      <c r="I303" s="3">
        <v>9972.27</v>
      </c>
      <c r="J303" s="3">
        <v>1.3032999999999999</v>
      </c>
      <c r="K303" s="2"/>
      <c r="U303" s="2"/>
      <c r="AE303" s="2"/>
      <c r="AO303" s="2"/>
      <c r="AY303" s="2"/>
      <c r="BI303" s="2"/>
      <c r="BS303" s="2"/>
      <c r="CC303" s="2">
        <v>46197</v>
      </c>
      <c r="CD303" s="3" t="s">
        <v>119</v>
      </c>
      <c r="CE303" s="3" t="s">
        <v>29</v>
      </c>
      <c r="CF303" s="3" t="s">
        <v>2712</v>
      </c>
      <c r="CG303" s="3">
        <v>0</v>
      </c>
      <c r="CH303" s="3">
        <v>0.01</v>
      </c>
      <c r="CI303" s="3">
        <v>0</v>
      </c>
      <c r="CJ303" s="3">
        <v>9687</v>
      </c>
      <c r="CK303" s="3">
        <v>7239.79</v>
      </c>
      <c r="CL303" s="3">
        <v>17.153199999999998</v>
      </c>
      <c r="CM303" s="2"/>
      <c r="CW303" s="2"/>
    </row>
    <row r="304" spans="1:101" ht="13.5" customHeight="1" x14ac:dyDescent="0.3">
      <c r="A304" s="2">
        <v>46197</v>
      </c>
      <c r="B304" s="3" t="s">
        <v>126</v>
      </c>
      <c r="C304" s="3" t="s">
        <v>29</v>
      </c>
      <c r="D304" s="3" t="s">
        <v>127</v>
      </c>
      <c r="E304" s="3">
        <v>0</v>
      </c>
      <c r="F304" s="3">
        <v>0.09</v>
      </c>
      <c r="G304" s="3">
        <v>0</v>
      </c>
      <c r="H304" s="3">
        <v>105675</v>
      </c>
      <c r="I304" s="3">
        <v>9072.1200000000008</v>
      </c>
      <c r="J304" s="3">
        <v>3.7886000000000002</v>
      </c>
      <c r="K304" s="2"/>
      <c r="U304" s="2"/>
      <c r="AE304" s="2"/>
      <c r="AO304" s="2"/>
      <c r="AY304" s="2"/>
      <c r="BI304" s="2"/>
      <c r="BS304" s="2"/>
      <c r="CC304" s="2">
        <v>46197</v>
      </c>
      <c r="CD304" s="3" t="s">
        <v>2713</v>
      </c>
      <c r="CE304" s="3" t="s">
        <v>913</v>
      </c>
      <c r="CF304" s="3" t="s">
        <v>2714</v>
      </c>
      <c r="CG304" s="3">
        <v>0</v>
      </c>
      <c r="CH304" s="3">
        <v>0.01</v>
      </c>
      <c r="CI304" s="3">
        <v>0</v>
      </c>
      <c r="CJ304" s="3">
        <v>9438</v>
      </c>
      <c r="CK304" s="3">
        <v>10051.74</v>
      </c>
      <c r="CL304" s="3">
        <v>5.0541999999999998</v>
      </c>
      <c r="CM304" s="2"/>
      <c r="CW304" s="2"/>
    </row>
    <row r="305" spans="1:101" ht="13.5" customHeight="1" x14ac:dyDescent="0.3">
      <c r="A305" s="2">
        <v>46197</v>
      </c>
      <c r="B305" s="3" t="s">
        <v>2157</v>
      </c>
      <c r="C305" s="3" t="s">
        <v>2090</v>
      </c>
      <c r="D305" s="3" t="s">
        <v>2158</v>
      </c>
      <c r="E305" s="3">
        <v>0</v>
      </c>
      <c r="F305" s="3">
        <v>0.09</v>
      </c>
      <c r="G305" s="3">
        <v>0</v>
      </c>
      <c r="H305" s="3">
        <v>104838</v>
      </c>
      <c r="I305" s="3">
        <v>9876.59</v>
      </c>
      <c r="J305" s="3">
        <v>2.7526999999999999</v>
      </c>
      <c r="K305" s="2"/>
      <c r="U305" s="2"/>
      <c r="AE305" s="2"/>
      <c r="AO305" s="2"/>
      <c r="AY305" s="2"/>
      <c r="BI305" s="2"/>
      <c r="BS305" s="2"/>
      <c r="CC305" s="2">
        <v>46197</v>
      </c>
      <c r="CD305" s="3" t="s">
        <v>1672</v>
      </c>
      <c r="CE305" s="3" t="s">
        <v>50</v>
      </c>
      <c r="CF305" s="3" t="s">
        <v>2715</v>
      </c>
      <c r="CG305" s="3">
        <v>0</v>
      </c>
      <c r="CH305" s="3">
        <v>0.01</v>
      </c>
      <c r="CI305" s="3">
        <v>0</v>
      </c>
      <c r="CJ305" s="3">
        <v>9415</v>
      </c>
      <c r="CK305" s="3">
        <v>10027.049999999999</v>
      </c>
      <c r="CL305" s="3">
        <v>1.6355</v>
      </c>
      <c r="CM305" s="2"/>
      <c r="CW305" s="2"/>
    </row>
    <row r="306" spans="1:101" ht="13.5" customHeight="1" x14ac:dyDescent="0.3">
      <c r="A306" s="2">
        <v>46197</v>
      </c>
      <c r="B306" s="3" t="s">
        <v>2159</v>
      </c>
      <c r="C306" s="3" t="s">
        <v>2160</v>
      </c>
      <c r="D306" s="3" t="s">
        <v>2161</v>
      </c>
      <c r="E306" s="3">
        <v>0</v>
      </c>
      <c r="F306" s="3">
        <v>0.09</v>
      </c>
      <c r="G306" s="3">
        <v>0</v>
      </c>
      <c r="H306" s="3">
        <v>104768</v>
      </c>
      <c r="I306" s="3">
        <v>9871.09</v>
      </c>
      <c r="J306" s="3">
        <v>1.5781000000000001</v>
      </c>
      <c r="K306" s="2"/>
      <c r="U306" s="2"/>
      <c r="AE306" s="2"/>
      <c r="AO306" s="2"/>
      <c r="AY306" s="2"/>
      <c r="BI306" s="2"/>
      <c r="BS306" s="2"/>
      <c r="CC306" s="2">
        <v>46197</v>
      </c>
      <c r="CD306" s="3" t="s">
        <v>1674</v>
      </c>
      <c r="CE306" s="3" t="s">
        <v>1675</v>
      </c>
      <c r="CF306" s="3" t="s">
        <v>1676</v>
      </c>
      <c r="CG306" s="3">
        <v>0</v>
      </c>
      <c r="CH306" s="3">
        <v>0.01</v>
      </c>
      <c r="CI306" s="3">
        <v>0</v>
      </c>
      <c r="CJ306" s="3">
        <v>8946</v>
      </c>
      <c r="CK306" s="3">
        <v>9526.7800000000007</v>
      </c>
      <c r="CL306" s="3">
        <v>2.6074999999999999</v>
      </c>
      <c r="CM306" s="2"/>
      <c r="CW306" s="2"/>
    </row>
    <row r="307" spans="1:101" ht="13.5" customHeight="1" x14ac:dyDescent="0.3">
      <c r="A307" s="2">
        <v>46197</v>
      </c>
      <c r="B307" s="3" t="s">
        <v>2162</v>
      </c>
      <c r="C307" s="3" t="s">
        <v>1770</v>
      </c>
      <c r="D307" s="3" t="s">
        <v>2163</v>
      </c>
      <c r="E307" s="3">
        <v>0</v>
      </c>
      <c r="F307" s="3">
        <v>0.09</v>
      </c>
      <c r="G307" s="3">
        <v>0</v>
      </c>
      <c r="H307" s="3">
        <v>104755</v>
      </c>
      <c r="I307" s="3">
        <v>9870.09</v>
      </c>
      <c r="J307" s="3">
        <v>1.5839000000000001</v>
      </c>
      <c r="K307" s="2"/>
      <c r="U307" s="2"/>
      <c r="AE307" s="2"/>
      <c r="AO307" s="2"/>
      <c r="AY307" s="2"/>
      <c r="BI307" s="2"/>
      <c r="BS307" s="2"/>
      <c r="CC307" s="2">
        <v>46197</v>
      </c>
      <c r="CD307" s="3" t="s">
        <v>2716</v>
      </c>
      <c r="CE307" s="3" t="s">
        <v>2710</v>
      </c>
      <c r="CF307" s="3" t="s">
        <v>2717</v>
      </c>
      <c r="CG307" s="3">
        <v>0</v>
      </c>
      <c r="CH307" s="3">
        <v>0.01</v>
      </c>
      <c r="CI307" s="3">
        <v>0</v>
      </c>
      <c r="CJ307" s="3">
        <v>8274</v>
      </c>
      <c r="CK307" s="3">
        <v>10062.24</v>
      </c>
      <c r="CL307" s="3">
        <v>4.9295</v>
      </c>
      <c r="CM307" s="2"/>
      <c r="CW307" s="2"/>
    </row>
    <row r="308" spans="1:101" ht="13.5" customHeight="1" x14ac:dyDescent="0.3">
      <c r="A308" s="2">
        <v>46197</v>
      </c>
      <c r="B308" s="3" t="s">
        <v>1456</v>
      </c>
      <c r="C308" s="3" t="s">
        <v>1457</v>
      </c>
      <c r="D308" s="3" t="s">
        <v>1458</v>
      </c>
      <c r="E308" s="3">
        <v>0</v>
      </c>
      <c r="F308" s="3">
        <v>0.09</v>
      </c>
      <c r="G308" s="3">
        <v>0</v>
      </c>
      <c r="H308" s="3">
        <v>104164</v>
      </c>
      <c r="I308" s="3">
        <v>10065.950000000001</v>
      </c>
      <c r="J308" s="3">
        <v>1.9810000000000001</v>
      </c>
      <c r="K308" s="2"/>
      <c r="U308" s="2"/>
      <c r="AE308" s="2"/>
      <c r="AO308" s="2"/>
      <c r="AY308" s="2"/>
      <c r="BI308" s="2"/>
      <c r="BS308" s="2"/>
      <c r="CC308" s="2">
        <v>46197</v>
      </c>
      <c r="CD308" s="3" t="s">
        <v>2718</v>
      </c>
      <c r="CE308" s="3" t="s">
        <v>1712</v>
      </c>
      <c r="CF308" s="3" t="s">
        <v>2719</v>
      </c>
      <c r="CG308" s="3">
        <v>0</v>
      </c>
      <c r="CH308" s="3">
        <v>0</v>
      </c>
      <c r="CI308" s="3">
        <v>0</v>
      </c>
      <c r="CJ308" s="3">
        <v>5231</v>
      </c>
      <c r="CK308" s="3">
        <v>5570.43</v>
      </c>
      <c r="CL308" s="3">
        <v>13.393000000000001</v>
      </c>
      <c r="CM308" s="2"/>
      <c r="CW308" s="2"/>
    </row>
    <row r="309" spans="1:101" ht="13.5" customHeight="1" x14ac:dyDescent="0.3">
      <c r="A309" s="2">
        <v>46197</v>
      </c>
      <c r="B309" s="3" t="s">
        <v>2164</v>
      </c>
      <c r="C309" s="3" t="s">
        <v>1304</v>
      </c>
      <c r="D309" s="3" t="s">
        <v>2165</v>
      </c>
      <c r="E309" s="3">
        <v>0</v>
      </c>
      <c r="F309" s="3">
        <v>0.09</v>
      </c>
      <c r="G309" s="3">
        <v>0</v>
      </c>
      <c r="H309" s="3">
        <v>103325</v>
      </c>
      <c r="I309" s="3">
        <v>9734.2900000000009</v>
      </c>
      <c r="J309" s="3">
        <v>2.2502</v>
      </c>
      <c r="K309" s="2"/>
      <c r="U309" s="2"/>
      <c r="AE309" s="2"/>
      <c r="AO309" s="2"/>
      <c r="AY309" s="2"/>
      <c r="BI309" s="2"/>
      <c r="BS309" s="2"/>
      <c r="CC309" s="2">
        <v>46197</v>
      </c>
      <c r="CD309" s="3" t="s">
        <v>1714</v>
      </c>
      <c r="CE309" s="3" t="s">
        <v>29</v>
      </c>
      <c r="CF309" s="3" t="s">
        <v>2720</v>
      </c>
      <c r="CG309" s="3">
        <v>0</v>
      </c>
      <c r="CH309" s="3">
        <v>0</v>
      </c>
      <c r="CI309" s="3">
        <v>0</v>
      </c>
      <c r="CJ309" s="3">
        <v>4873</v>
      </c>
      <c r="CK309" s="3">
        <v>6919.91</v>
      </c>
      <c r="CL309" s="3">
        <v>11.769500000000001</v>
      </c>
      <c r="CM309" s="2"/>
      <c r="CW309" s="2"/>
    </row>
    <row r="310" spans="1:101" ht="13.5" customHeight="1" x14ac:dyDescent="0.3">
      <c r="A310" s="2">
        <v>46197</v>
      </c>
      <c r="B310" s="3" t="s">
        <v>2166</v>
      </c>
      <c r="C310" s="3" t="s">
        <v>131</v>
      </c>
      <c r="D310" s="3" t="s">
        <v>2167</v>
      </c>
      <c r="E310" s="3">
        <v>0</v>
      </c>
      <c r="F310" s="3">
        <v>0.09</v>
      </c>
      <c r="G310" s="3">
        <v>0</v>
      </c>
      <c r="H310" s="3">
        <v>103147</v>
      </c>
      <c r="I310" s="3">
        <v>9040.2099999999991</v>
      </c>
      <c r="J310" s="3">
        <v>2.6124000000000001</v>
      </c>
      <c r="K310" s="2"/>
      <c r="U310" s="2"/>
      <c r="AE310" s="2"/>
      <c r="AO310" s="2"/>
      <c r="AY310" s="2"/>
      <c r="BI310" s="2"/>
      <c r="BS310" s="2"/>
      <c r="CC310" s="2">
        <v>46197</v>
      </c>
      <c r="CD310" s="3" t="s">
        <v>1668</v>
      </c>
      <c r="CE310" s="3" t="s">
        <v>50</v>
      </c>
      <c r="CF310" s="3" t="s">
        <v>2721</v>
      </c>
      <c r="CG310" s="3">
        <v>0</v>
      </c>
      <c r="CH310" s="3">
        <v>0</v>
      </c>
      <c r="CI310" s="3">
        <v>0</v>
      </c>
      <c r="CJ310" s="3">
        <v>4699</v>
      </c>
      <c r="CK310" s="3">
        <v>10008.85</v>
      </c>
      <c r="CL310" s="3">
        <v>0.69499999999999995</v>
      </c>
      <c r="CM310" s="2"/>
      <c r="CW310" s="2"/>
    </row>
    <row r="311" spans="1:101" ht="13.5" customHeight="1" x14ac:dyDescent="0.3">
      <c r="A311" s="2">
        <v>46197</v>
      </c>
      <c r="B311" s="3" t="s">
        <v>2168</v>
      </c>
      <c r="C311" s="3" t="s">
        <v>312</v>
      </c>
      <c r="D311" s="3" t="s">
        <v>2169</v>
      </c>
      <c r="E311" s="3">
        <v>0</v>
      </c>
      <c r="F311" s="3">
        <v>0.09</v>
      </c>
      <c r="G311" s="3">
        <v>0</v>
      </c>
      <c r="H311" s="3">
        <v>98593</v>
      </c>
      <c r="I311" s="3">
        <v>9289.4500000000007</v>
      </c>
      <c r="J311" s="3">
        <v>3.1753999999999998</v>
      </c>
      <c r="K311" s="2"/>
      <c r="U311" s="2"/>
      <c r="AE311" s="2"/>
      <c r="AO311" s="2"/>
      <c r="AY311" s="2"/>
      <c r="BI311" s="2"/>
      <c r="BS311" s="2"/>
      <c r="CC311" s="2">
        <v>46197</v>
      </c>
      <c r="CD311" s="3" t="s">
        <v>1706</v>
      </c>
      <c r="CE311" s="3" t="s">
        <v>1707</v>
      </c>
      <c r="CF311" s="3" t="s">
        <v>1708</v>
      </c>
      <c r="CG311" s="3">
        <v>0</v>
      </c>
      <c r="CH311" s="3">
        <v>0</v>
      </c>
      <c r="CI311" s="3">
        <v>0</v>
      </c>
      <c r="CJ311" s="3">
        <v>676</v>
      </c>
      <c r="CK311" s="3">
        <v>9611.82</v>
      </c>
      <c r="CL311" s="3">
        <v>2.0234999999999999</v>
      </c>
      <c r="CM311" s="2"/>
      <c r="CW311" s="2"/>
    </row>
    <row r="312" spans="1:101" ht="13.5" customHeight="1" x14ac:dyDescent="0.3">
      <c r="A312" s="2">
        <v>46197</v>
      </c>
      <c r="B312" s="3" t="s">
        <v>128</v>
      </c>
      <c r="C312" s="3" t="s">
        <v>50</v>
      </c>
      <c r="D312" s="3" t="s">
        <v>129</v>
      </c>
      <c r="E312" s="3">
        <v>0</v>
      </c>
      <c r="F312" s="3">
        <v>0.09</v>
      </c>
      <c r="G312" s="3">
        <v>0</v>
      </c>
      <c r="H312" s="3">
        <v>96930</v>
      </c>
      <c r="I312" s="3">
        <v>10008.629999999999</v>
      </c>
      <c r="J312" s="3">
        <v>0.93910000000000005</v>
      </c>
      <c r="K312" s="2"/>
      <c r="U312" s="2"/>
      <c r="AE312" s="2"/>
      <c r="AO312" s="2"/>
      <c r="AY312" s="2"/>
      <c r="BI312" s="2"/>
      <c r="BS312" s="2"/>
      <c r="CC312" s="2">
        <v>46197</v>
      </c>
      <c r="CD312" s="3" t="s">
        <v>7</v>
      </c>
      <c r="CE312" s="3" t="s">
        <v>7</v>
      </c>
      <c r="CF312" s="3" t="s">
        <v>46</v>
      </c>
      <c r="CH312" s="3">
        <v>14.84</v>
      </c>
      <c r="CJ312" s="3">
        <v>-21797863</v>
      </c>
      <c r="CM312" s="2"/>
      <c r="CW312" s="2"/>
    </row>
    <row r="313" spans="1:101" ht="13.5" customHeight="1" x14ac:dyDescent="0.3">
      <c r="A313" s="2">
        <v>46197</v>
      </c>
      <c r="B313" s="3" t="s">
        <v>2170</v>
      </c>
      <c r="C313" s="3" t="s">
        <v>2171</v>
      </c>
      <c r="D313" s="3" t="s">
        <v>2172</v>
      </c>
      <c r="E313" s="3">
        <v>0</v>
      </c>
      <c r="F313" s="3">
        <v>0.09</v>
      </c>
      <c r="G313" s="3">
        <v>0</v>
      </c>
      <c r="H313" s="3">
        <v>96134</v>
      </c>
      <c r="I313" s="3">
        <v>9053.4500000000007</v>
      </c>
      <c r="J313" s="3">
        <v>4.3522999999999996</v>
      </c>
      <c r="K313" s="2"/>
      <c r="U313" s="2"/>
      <c r="AE313" s="2"/>
      <c r="AO313" s="2"/>
      <c r="AY313" s="2"/>
      <c r="BI313" s="2"/>
      <c r="BS313" s="2"/>
      <c r="CC313" s="2"/>
      <c r="CM313" s="2"/>
      <c r="CW313" s="2"/>
    </row>
    <row r="314" spans="1:101" ht="13.5" customHeight="1" x14ac:dyDescent="0.3">
      <c r="A314" s="2">
        <v>46197</v>
      </c>
      <c r="B314" s="3" t="s">
        <v>2173</v>
      </c>
      <c r="C314" s="3" t="s">
        <v>810</v>
      </c>
      <c r="D314" s="3" t="s">
        <v>2174</v>
      </c>
      <c r="E314" s="3">
        <v>0</v>
      </c>
      <c r="F314" s="3">
        <v>0.09</v>
      </c>
      <c r="G314" s="3">
        <v>0</v>
      </c>
      <c r="H314" s="3">
        <v>95527</v>
      </c>
      <c r="I314" s="3">
        <v>9230.8700000000008</v>
      </c>
      <c r="J314" s="3">
        <v>3.3218999999999999</v>
      </c>
      <c r="K314" s="2"/>
      <c r="U314" s="2"/>
      <c r="AE314" s="2"/>
      <c r="AO314" s="2"/>
      <c r="AY314" s="2"/>
      <c r="BI314" s="2"/>
      <c r="BS314" s="2"/>
      <c r="CC314" s="2"/>
      <c r="CM314" s="2"/>
      <c r="CW314" s="2"/>
    </row>
    <row r="315" spans="1:101" ht="13.5" customHeight="1" x14ac:dyDescent="0.3">
      <c r="A315" s="2">
        <v>46197</v>
      </c>
      <c r="B315" s="3" t="s">
        <v>38</v>
      </c>
      <c r="C315" s="3" t="s">
        <v>29</v>
      </c>
      <c r="D315" s="3" t="s">
        <v>39</v>
      </c>
      <c r="E315" s="3">
        <v>0</v>
      </c>
      <c r="F315" s="3">
        <v>0.08</v>
      </c>
      <c r="G315" s="3">
        <v>0</v>
      </c>
      <c r="H315" s="3">
        <v>93845</v>
      </c>
      <c r="I315" s="3">
        <v>10019.719999999999</v>
      </c>
      <c r="J315" s="3">
        <v>6.3605</v>
      </c>
      <c r="K315" s="2"/>
      <c r="U315" s="2"/>
      <c r="AE315" s="2"/>
      <c r="AO315" s="2"/>
      <c r="AY315" s="2"/>
      <c r="BI315" s="2"/>
      <c r="BS315" s="2"/>
      <c r="CC315" s="2"/>
      <c r="CM315" s="2"/>
      <c r="CW315" s="2"/>
    </row>
    <row r="316" spans="1:101" ht="13.5" customHeight="1" x14ac:dyDescent="0.3">
      <c r="A316" s="2">
        <v>46197</v>
      </c>
      <c r="B316" s="3" t="s">
        <v>2175</v>
      </c>
      <c r="C316" s="3" t="s">
        <v>1962</v>
      </c>
      <c r="D316" s="3" t="s">
        <v>2176</v>
      </c>
      <c r="E316" s="3">
        <v>0</v>
      </c>
      <c r="F316" s="3">
        <v>0.08</v>
      </c>
      <c r="G316" s="3">
        <v>0</v>
      </c>
      <c r="H316" s="3">
        <v>93614</v>
      </c>
      <c r="I316" s="3">
        <v>10079.879999999999</v>
      </c>
      <c r="J316" s="3">
        <v>1.6745000000000001</v>
      </c>
      <c r="K316" s="2"/>
      <c r="U316" s="2"/>
      <c r="AE316" s="2"/>
      <c r="AO316" s="2"/>
      <c r="AY316" s="2"/>
      <c r="BI316" s="2"/>
      <c r="BS316" s="2"/>
      <c r="CC316" s="2"/>
      <c r="CM316" s="2"/>
      <c r="CW316" s="2"/>
    </row>
    <row r="317" spans="1:101" ht="13.5" customHeight="1" x14ac:dyDescent="0.3">
      <c r="A317" s="2">
        <v>46197</v>
      </c>
      <c r="B317" s="3" t="s">
        <v>2177</v>
      </c>
      <c r="C317" s="3" t="s">
        <v>321</v>
      </c>
      <c r="D317" s="3" t="s">
        <v>2178</v>
      </c>
      <c r="E317" s="3">
        <v>0</v>
      </c>
      <c r="F317" s="3">
        <v>0.08</v>
      </c>
      <c r="G317" s="3">
        <v>0</v>
      </c>
      <c r="H317" s="3">
        <v>86311</v>
      </c>
      <c r="I317" s="3">
        <v>10165.51</v>
      </c>
      <c r="J317" s="3">
        <v>0.1008</v>
      </c>
      <c r="K317" s="2"/>
      <c r="U317" s="2"/>
      <c r="AE317" s="2"/>
      <c r="AO317" s="2"/>
      <c r="AY317" s="2"/>
      <c r="BI317" s="2"/>
      <c r="BS317" s="2"/>
      <c r="CC317" s="2"/>
      <c r="CM317" s="2"/>
      <c r="CW317" s="2"/>
    </row>
    <row r="318" spans="1:101" ht="13.5" customHeight="1" x14ac:dyDescent="0.3">
      <c r="A318" s="2">
        <v>46197</v>
      </c>
      <c r="B318" s="3" t="s">
        <v>1582</v>
      </c>
      <c r="C318" s="3" t="s">
        <v>29</v>
      </c>
      <c r="D318" s="3" t="s">
        <v>1583</v>
      </c>
      <c r="E318" s="3">
        <v>0</v>
      </c>
      <c r="F318" s="3">
        <v>0.08</v>
      </c>
      <c r="G318" s="3">
        <v>0</v>
      </c>
      <c r="H318" s="3">
        <v>85627</v>
      </c>
      <c r="I318" s="3">
        <v>9779.49</v>
      </c>
      <c r="J318" s="3">
        <v>6.4259000000000004</v>
      </c>
      <c r="K318" s="2"/>
      <c r="U318" s="2"/>
      <c r="AE318" s="2"/>
      <c r="AO318" s="2"/>
      <c r="AY318" s="2"/>
      <c r="BI318" s="2"/>
      <c r="BS318" s="2"/>
      <c r="CC318" s="2"/>
      <c r="CM318" s="2"/>
      <c r="CW318" s="2"/>
    </row>
    <row r="319" spans="1:101" ht="13.5" customHeight="1" x14ac:dyDescent="0.3">
      <c r="A319" s="2">
        <v>46197</v>
      </c>
      <c r="B319" s="3" t="s">
        <v>117</v>
      </c>
      <c r="C319" s="3" t="s">
        <v>56</v>
      </c>
      <c r="D319" s="3" t="s">
        <v>118</v>
      </c>
      <c r="E319" s="3">
        <v>0</v>
      </c>
      <c r="F319" s="3">
        <v>7.0000000000000007E-2</v>
      </c>
      <c r="G319" s="3">
        <v>0</v>
      </c>
      <c r="H319" s="3">
        <v>80565</v>
      </c>
      <c r="I319" s="3">
        <v>7405.73</v>
      </c>
      <c r="J319" s="3">
        <v>12.543200000000001</v>
      </c>
      <c r="K319" s="2"/>
      <c r="U319" s="2"/>
      <c r="AE319" s="2"/>
      <c r="AO319" s="2"/>
      <c r="AY319" s="2"/>
      <c r="BI319" s="2"/>
      <c r="BS319" s="2"/>
      <c r="CC319" s="2"/>
      <c r="CM319" s="2"/>
      <c r="CW319" s="2"/>
    </row>
    <row r="320" spans="1:101" ht="13.5" customHeight="1" x14ac:dyDescent="0.3">
      <c r="A320" s="2">
        <v>46197</v>
      </c>
      <c r="B320" s="3" t="s">
        <v>2179</v>
      </c>
      <c r="C320" s="3" t="s">
        <v>2180</v>
      </c>
      <c r="D320" s="3" t="s">
        <v>2181</v>
      </c>
      <c r="E320" s="3">
        <v>0</v>
      </c>
      <c r="F320" s="3">
        <v>7.0000000000000007E-2</v>
      </c>
      <c r="G320" s="3">
        <v>0</v>
      </c>
      <c r="H320" s="3">
        <v>80436</v>
      </c>
      <c r="I320" s="3">
        <v>10105.07</v>
      </c>
      <c r="J320" s="3">
        <v>6.3E-3</v>
      </c>
      <c r="K320" s="2"/>
      <c r="U320" s="2"/>
      <c r="AE320" s="2"/>
      <c r="AO320" s="2"/>
      <c r="AY320" s="2"/>
      <c r="BI320" s="2"/>
      <c r="BS320" s="2"/>
      <c r="CC320" s="2"/>
      <c r="CM320" s="2"/>
      <c r="CW320" s="2"/>
    </row>
    <row r="321" spans="1:101" ht="13.5" customHeight="1" x14ac:dyDescent="0.3">
      <c r="A321" s="2">
        <v>46197</v>
      </c>
      <c r="B321" s="3" t="s">
        <v>2182</v>
      </c>
      <c r="C321" s="3" t="s">
        <v>379</v>
      </c>
      <c r="D321" s="3" t="s">
        <v>2183</v>
      </c>
      <c r="E321" s="3">
        <v>0</v>
      </c>
      <c r="F321" s="3">
        <v>7.0000000000000007E-2</v>
      </c>
      <c r="G321" s="3">
        <v>0</v>
      </c>
      <c r="H321" s="3">
        <v>79956</v>
      </c>
      <c r="I321" s="3">
        <v>10044.709999999999</v>
      </c>
      <c r="J321" s="3">
        <v>0.2225</v>
      </c>
      <c r="K321" s="2"/>
      <c r="U321" s="2"/>
      <c r="AE321" s="2"/>
      <c r="AO321" s="2"/>
      <c r="AY321" s="2"/>
      <c r="BI321" s="2"/>
      <c r="BS321" s="2"/>
      <c r="CC321" s="2"/>
      <c r="CM321" s="2"/>
      <c r="CW321" s="2"/>
    </row>
    <row r="322" spans="1:101" ht="13.5" customHeight="1" x14ac:dyDescent="0.3">
      <c r="A322" s="2">
        <v>46197</v>
      </c>
      <c r="B322" s="3" t="s">
        <v>2184</v>
      </c>
      <c r="C322" s="3" t="s">
        <v>1832</v>
      </c>
      <c r="D322" s="3" t="s">
        <v>2185</v>
      </c>
      <c r="E322" s="3">
        <v>0</v>
      </c>
      <c r="F322" s="3">
        <v>7.0000000000000007E-2</v>
      </c>
      <c r="G322" s="3">
        <v>0</v>
      </c>
      <c r="H322" s="3">
        <v>79876</v>
      </c>
      <c r="I322" s="3">
        <v>10033.17</v>
      </c>
      <c r="J322" s="3">
        <v>1.7553000000000001</v>
      </c>
      <c r="K322" s="2"/>
      <c r="U322" s="2"/>
      <c r="AE322" s="2"/>
      <c r="AO322" s="2"/>
      <c r="AY322" s="2"/>
      <c r="BI322" s="2"/>
      <c r="BS322" s="2"/>
      <c r="CC322" s="2"/>
      <c r="CM322" s="2"/>
      <c r="CW322" s="2"/>
    </row>
    <row r="323" spans="1:101" ht="13.5" customHeight="1" x14ac:dyDescent="0.3">
      <c r="A323" s="2">
        <v>46197</v>
      </c>
      <c r="B323" s="3" t="s">
        <v>2186</v>
      </c>
      <c r="C323" s="3" t="s">
        <v>2187</v>
      </c>
      <c r="D323" s="3" t="s">
        <v>2188</v>
      </c>
      <c r="E323" s="3">
        <v>0</v>
      </c>
      <c r="F323" s="3">
        <v>7.0000000000000007E-2</v>
      </c>
      <c r="G323" s="3">
        <v>0</v>
      </c>
      <c r="H323" s="3">
        <v>78687</v>
      </c>
      <c r="I323" s="3">
        <v>9884.77</v>
      </c>
      <c r="J323" s="3">
        <v>1.2924</v>
      </c>
      <c r="K323" s="2"/>
      <c r="U323" s="2"/>
      <c r="AE323" s="2"/>
      <c r="AO323" s="2"/>
      <c r="AY323" s="2"/>
      <c r="BI323" s="2"/>
      <c r="BS323" s="2"/>
      <c r="CC323" s="2"/>
      <c r="CM323" s="2"/>
      <c r="CW323" s="2"/>
    </row>
    <row r="324" spans="1:101" ht="13.5" customHeight="1" x14ac:dyDescent="0.3">
      <c r="A324" s="2">
        <v>46197</v>
      </c>
      <c r="B324" s="3" t="s">
        <v>2189</v>
      </c>
      <c r="C324" s="3" t="s">
        <v>131</v>
      </c>
      <c r="D324" s="3" t="s">
        <v>2190</v>
      </c>
      <c r="E324" s="3">
        <v>0</v>
      </c>
      <c r="F324" s="3">
        <v>7.0000000000000007E-2</v>
      </c>
      <c r="G324" s="3">
        <v>0</v>
      </c>
      <c r="H324" s="3">
        <v>73419</v>
      </c>
      <c r="I324" s="3">
        <v>9223.08</v>
      </c>
      <c r="J324" s="3">
        <v>2.1360999999999999</v>
      </c>
      <c r="K324" s="2"/>
      <c r="U324" s="2"/>
      <c r="AE324" s="2"/>
      <c r="AO324" s="2"/>
      <c r="AY324" s="2"/>
      <c r="BI324" s="2"/>
      <c r="BS324" s="2"/>
      <c r="CC324" s="2"/>
      <c r="CM324" s="2"/>
      <c r="CW324" s="2"/>
    </row>
    <row r="325" spans="1:101" ht="13.5" customHeight="1" x14ac:dyDescent="0.3">
      <c r="A325" s="2">
        <v>46197</v>
      </c>
      <c r="B325" s="3" t="s">
        <v>83</v>
      </c>
      <c r="C325" s="3" t="s">
        <v>84</v>
      </c>
      <c r="D325" s="3" t="s">
        <v>85</v>
      </c>
      <c r="E325" s="3">
        <v>0</v>
      </c>
      <c r="F325" s="3">
        <v>0.06</v>
      </c>
      <c r="G325" s="3">
        <v>0</v>
      </c>
      <c r="H325" s="3">
        <v>72057</v>
      </c>
      <c r="I325" s="3">
        <v>9052.18</v>
      </c>
      <c r="J325" s="3">
        <v>3.7404000000000002</v>
      </c>
      <c r="K325" s="2"/>
      <c r="U325" s="2"/>
      <c r="AE325" s="2"/>
      <c r="AO325" s="2"/>
      <c r="AY325" s="2"/>
      <c r="BI325" s="2"/>
      <c r="BS325" s="2"/>
      <c r="CC325" s="2"/>
      <c r="CM325" s="2"/>
      <c r="CW325" s="2"/>
    </row>
    <row r="326" spans="1:101" ht="13.5" customHeight="1" x14ac:dyDescent="0.3">
      <c r="A326" s="2">
        <v>46197</v>
      </c>
      <c r="B326" s="3" t="s">
        <v>1668</v>
      </c>
      <c r="C326" s="3" t="s">
        <v>50</v>
      </c>
      <c r="D326" s="3" t="s">
        <v>1669</v>
      </c>
      <c r="E326" s="3">
        <v>0</v>
      </c>
      <c r="F326" s="3">
        <v>0.05</v>
      </c>
      <c r="G326" s="3">
        <v>0</v>
      </c>
      <c r="H326" s="3">
        <v>58425</v>
      </c>
      <c r="I326" s="3">
        <v>10008.85</v>
      </c>
      <c r="J326" s="3">
        <v>0.69499999999999995</v>
      </c>
      <c r="K326" s="2"/>
      <c r="U326" s="2"/>
      <c r="AE326" s="2"/>
      <c r="AO326" s="2"/>
      <c r="AY326" s="2"/>
      <c r="BI326" s="2"/>
      <c r="BS326" s="2"/>
      <c r="CC326" s="2"/>
      <c r="CM326" s="2"/>
      <c r="CW326" s="2"/>
    </row>
    <row r="327" spans="1:101" ht="13.5" customHeight="1" x14ac:dyDescent="0.3">
      <c r="A327" s="2">
        <v>46197</v>
      </c>
      <c r="B327" s="3" t="s">
        <v>1558</v>
      </c>
      <c r="C327" s="3" t="s">
        <v>50</v>
      </c>
      <c r="D327" s="3" t="s">
        <v>1559</v>
      </c>
      <c r="E327" s="3">
        <v>0</v>
      </c>
      <c r="F327" s="3">
        <v>0.05</v>
      </c>
      <c r="G327" s="3">
        <v>0</v>
      </c>
      <c r="H327" s="3">
        <v>53407</v>
      </c>
      <c r="I327" s="3">
        <v>10064.07</v>
      </c>
      <c r="J327" s="3">
        <v>2.0911</v>
      </c>
      <c r="K327" s="2"/>
      <c r="U327" s="2"/>
      <c r="AE327" s="2"/>
      <c r="AO327" s="2"/>
      <c r="AY327" s="2"/>
      <c r="BI327" s="2"/>
      <c r="BS327" s="2"/>
      <c r="CC327" s="2"/>
      <c r="CM327" s="2"/>
      <c r="CW327" s="2"/>
    </row>
    <row r="328" spans="1:101" ht="13.5" customHeight="1" x14ac:dyDescent="0.3">
      <c r="A328" s="2">
        <v>46197</v>
      </c>
      <c r="B328" s="3" t="s">
        <v>2191</v>
      </c>
      <c r="C328" s="3" t="s">
        <v>2090</v>
      </c>
      <c r="D328" s="3" t="s">
        <v>2192</v>
      </c>
      <c r="E328" s="3">
        <v>0</v>
      </c>
      <c r="F328" s="3">
        <v>0.05</v>
      </c>
      <c r="G328" s="3">
        <v>0</v>
      </c>
      <c r="H328" s="3">
        <v>53302</v>
      </c>
      <c r="I328" s="3">
        <v>10044.299999999999</v>
      </c>
      <c r="J328" s="3">
        <v>0.66239999999999999</v>
      </c>
      <c r="K328" s="2"/>
      <c r="U328" s="2"/>
      <c r="AE328" s="2"/>
      <c r="AO328" s="2"/>
      <c r="AY328" s="2"/>
      <c r="BI328" s="2"/>
      <c r="BS328" s="2"/>
      <c r="CC328" s="2"/>
      <c r="CM328" s="2"/>
      <c r="CW328" s="2"/>
    </row>
    <row r="329" spans="1:101" ht="13.5" customHeight="1" x14ac:dyDescent="0.3">
      <c r="A329" s="2">
        <v>46197</v>
      </c>
      <c r="B329" s="3" t="s">
        <v>2193</v>
      </c>
      <c r="C329" s="3" t="s">
        <v>50</v>
      </c>
      <c r="D329" s="3" t="s">
        <v>2194</v>
      </c>
      <c r="E329" s="3">
        <v>0</v>
      </c>
      <c r="F329" s="3">
        <v>0.05</v>
      </c>
      <c r="G329" s="3">
        <v>0</v>
      </c>
      <c r="H329" s="3">
        <v>53220</v>
      </c>
      <c r="I329" s="3">
        <v>10028.93</v>
      </c>
      <c r="J329" s="3">
        <v>0.21049999999999999</v>
      </c>
      <c r="K329" s="2"/>
      <c r="U329" s="2"/>
      <c r="AE329" s="2"/>
      <c r="AO329" s="2"/>
      <c r="AY329" s="2"/>
      <c r="BI329" s="2"/>
      <c r="BS329" s="2"/>
      <c r="CC329" s="2"/>
      <c r="CM329" s="2"/>
      <c r="CW329" s="2"/>
    </row>
    <row r="330" spans="1:101" ht="13.5" customHeight="1" x14ac:dyDescent="0.3">
      <c r="A330" s="2">
        <v>46197</v>
      </c>
      <c r="B330" s="3" t="s">
        <v>1556</v>
      </c>
      <c r="C330" s="3" t="s">
        <v>254</v>
      </c>
      <c r="D330" s="3" t="s">
        <v>1557</v>
      </c>
      <c r="E330" s="3">
        <v>0</v>
      </c>
      <c r="F330" s="3">
        <v>0.05</v>
      </c>
      <c r="G330" s="3">
        <v>0</v>
      </c>
      <c r="H330" s="3">
        <v>53178</v>
      </c>
      <c r="I330" s="3">
        <v>10020.459999999999</v>
      </c>
      <c r="J330" s="3">
        <v>0.90490000000000004</v>
      </c>
      <c r="K330" s="2"/>
      <c r="U330" s="2"/>
      <c r="AE330" s="2"/>
      <c r="AO330" s="2"/>
      <c r="AY330" s="2"/>
      <c r="BI330" s="2"/>
      <c r="BS330" s="2"/>
      <c r="CC330" s="2"/>
      <c r="CM330" s="2"/>
      <c r="CW330" s="2"/>
    </row>
    <row r="331" spans="1:101" ht="13.5" customHeight="1" x14ac:dyDescent="0.3">
      <c r="A331" s="2">
        <v>46197</v>
      </c>
      <c r="B331" s="3" t="s">
        <v>2195</v>
      </c>
      <c r="C331" s="3" t="s">
        <v>2196</v>
      </c>
      <c r="D331" s="3" t="s">
        <v>2197</v>
      </c>
      <c r="E331" s="3">
        <v>0</v>
      </c>
      <c r="F331" s="3">
        <v>0.05</v>
      </c>
      <c r="G331" s="3">
        <v>0</v>
      </c>
      <c r="H331" s="3">
        <v>53092</v>
      </c>
      <c r="I331" s="3">
        <v>10004.290000000001</v>
      </c>
      <c r="J331" s="3">
        <v>1.2095</v>
      </c>
      <c r="K331" s="2"/>
      <c r="U331" s="2"/>
      <c r="AE331" s="2"/>
      <c r="AO331" s="2"/>
      <c r="AY331" s="2"/>
      <c r="BI331" s="2"/>
      <c r="BS331" s="2"/>
      <c r="CC331" s="2"/>
      <c r="CM331" s="2"/>
      <c r="CW331" s="2"/>
    </row>
    <row r="332" spans="1:101" ht="13.5" customHeight="1" x14ac:dyDescent="0.3">
      <c r="A332" s="2">
        <v>46197</v>
      </c>
      <c r="B332" s="3" t="s">
        <v>2198</v>
      </c>
      <c r="C332" s="3" t="s">
        <v>2199</v>
      </c>
      <c r="D332" s="3" t="s">
        <v>2200</v>
      </c>
      <c r="E332" s="3">
        <v>0</v>
      </c>
      <c r="F332" s="3">
        <v>0.05</v>
      </c>
      <c r="G332" s="3">
        <v>0</v>
      </c>
      <c r="H332" s="3">
        <v>51542</v>
      </c>
      <c r="I332" s="3">
        <v>9713.25</v>
      </c>
      <c r="J332" s="3">
        <v>1.5907</v>
      </c>
      <c r="K332" s="2"/>
      <c r="U332" s="2"/>
      <c r="AE332" s="2"/>
      <c r="AO332" s="2"/>
      <c r="AY332" s="2"/>
      <c r="BI332" s="2"/>
      <c r="BS332" s="2"/>
      <c r="CC332" s="2"/>
      <c r="CM332" s="2"/>
      <c r="CW332" s="2"/>
    </row>
    <row r="333" spans="1:101" ht="13.5" customHeight="1" x14ac:dyDescent="0.3">
      <c r="A333" s="2">
        <v>46197</v>
      </c>
      <c r="B333" s="3" t="s">
        <v>1568</v>
      </c>
      <c r="C333" s="3" t="s">
        <v>29</v>
      </c>
      <c r="D333" s="3" t="s">
        <v>1569</v>
      </c>
      <c r="E333" s="3">
        <v>0</v>
      </c>
      <c r="F333" s="3">
        <v>0.05</v>
      </c>
      <c r="G333" s="3">
        <v>0</v>
      </c>
      <c r="H333" s="3">
        <v>51492</v>
      </c>
      <c r="I333" s="3">
        <v>9703.2800000000007</v>
      </c>
      <c r="J333" s="3">
        <v>2.3613</v>
      </c>
      <c r="K333" s="2"/>
      <c r="U333" s="2"/>
      <c r="AE333" s="2"/>
      <c r="AO333" s="2"/>
      <c r="AY333" s="2"/>
      <c r="BI333" s="2"/>
      <c r="BS333" s="2"/>
      <c r="CC333" s="2"/>
      <c r="CM333" s="2"/>
      <c r="CW333" s="2"/>
    </row>
    <row r="334" spans="1:101" ht="13.5" customHeight="1" x14ac:dyDescent="0.3">
      <c r="A334" s="2">
        <v>46197</v>
      </c>
      <c r="B334" s="3" t="s">
        <v>1446</v>
      </c>
      <c r="C334" s="3" t="s">
        <v>1447</v>
      </c>
      <c r="D334" s="3" t="s">
        <v>1448</v>
      </c>
      <c r="E334" s="3">
        <v>0</v>
      </c>
      <c r="F334" s="3">
        <v>0.05</v>
      </c>
      <c r="G334" s="3">
        <v>0</v>
      </c>
      <c r="H334" s="3">
        <v>50618</v>
      </c>
      <c r="I334" s="3">
        <v>9541.89</v>
      </c>
      <c r="J334" s="3">
        <v>5.5237999999999996</v>
      </c>
      <c r="K334" s="2"/>
      <c r="U334" s="2"/>
      <c r="AE334" s="2"/>
      <c r="AO334" s="2"/>
      <c r="AY334" s="2"/>
      <c r="BI334" s="2"/>
      <c r="BS334" s="2"/>
      <c r="CC334" s="2"/>
      <c r="CM334" s="2"/>
      <c r="CW334" s="2"/>
    </row>
    <row r="335" spans="1:101" ht="13.5" customHeight="1" x14ac:dyDescent="0.3">
      <c r="A335" s="2">
        <v>46197</v>
      </c>
      <c r="B335" s="3" t="s">
        <v>42</v>
      </c>
      <c r="C335" s="3" t="s">
        <v>29</v>
      </c>
      <c r="D335" s="3" t="s">
        <v>43</v>
      </c>
      <c r="E335" s="3">
        <v>0</v>
      </c>
      <c r="F335" s="3">
        <v>0.05</v>
      </c>
      <c r="G335" s="3">
        <v>0</v>
      </c>
      <c r="H335" s="3">
        <v>50371</v>
      </c>
      <c r="I335" s="3">
        <v>9492.18</v>
      </c>
      <c r="J335" s="3">
        <v>6.1319999999999997</v>
      </c>
      <c r="K335" s="2"/>
      <c r="U335" s="2"/>
      <c r="AE335" s="2"/>
      <c r="AO335" s="2"/>
      <c r="AY335" s="2"/>
      <c r="BI335" s="2"/>
      <c r="BS335" s="2"/>
      <c r="CC335" s="2"/>
      <c r="CM335" s="2"/>
      <c r="CW335" s="2"/>
    </row>
    <row r="336" spans="1:101" ht="13.5" customHeight="1" x14ac:dyDescent="0.3">
      <c r="A336" s="2">
        <v>46197</v>
      </c>
      <c r="B336" s="3" t="s">
        <v>2201</v>
      </c>
      <c r="C336" s="3" t="s">
        <v>413</v>
      </c>
      <c r="D336" s="3" t="s">
        <v>2202</v>
      </c>
      <c r="E336" s="3">
        <v>0</v>
      </c>
      <c r="F336" s="3">
        <v>0.04</v>
      </c>
      <c r="G336" s="3">
        <v>0</v>
      </c>
      <c r="H336" s="3">
        <v>44495</v>
      </c>
      <c r="I336" s="3">
        <v>9863.58</v>
      </c>
      <c r="J336" s="3">
        <v>1.6023000000000001</v>
      </c>
      <c r="K336" s="2"/>
      <c r="U336" s="2"/>
      <c r="AE336" s="2"/>
      <c r="AO336" s="2"/>
      <c r="AY336" s="2"/>
      <c r="BI336" s="2"/>
      <c r="BS336" s="2"/>
      <c r="CC336" s="2"/>
      <c r="CM336" s="2"/>
      <c r="CW336" s="2"/>
    </row>
    <row r="337" spans="1:101" ht="13.5" customHeight="1" x14ac:dyDescent="0.3">
      <c r="A337" s="2">
        <v>46197</v>
      </c>
      <c r="B337" s="3" t="s">
        <v>1441</v>
      </c>
      <c r="C337" s="3" t="s">
        <v>29</v>
      </c>
      <c r="D337" s="3" t="s">
        <v>1442</v>
      </c>
      <c r="E337" s="3">
        <v>0</v>
      </c>
      <c r="F337" s="3">
        <v>0.04</v>
      </c>
      <c r="G337" s="3">
        <v>0</v>
      </c>
      <c r="H337" s="3">
        <v>44313</v>
      </c>
      <c r="I337" s="3">
        <v>9824.0300000000007</v>
      </c>
      <c r="J337" s="3">
        <v>1.8904000000000001</v>
      </c>
      <c r="K337" s="2"/>
      <c r="U337" s="2"/>
      <c r="AE337" s="2"/>
      <c r="AO337" s="2"/>
      <c r="AY337" s="2"/>
      <c r="BI337" s="2"/>
      <c r="BS337" s="2"/>
      <c r="CC337" s="2"/>
      <c r="CM337" s="2"/>
      <c r="CW337" s="2"/>
    </row>
    <row r="338" spans="1:101" ht="13.5" customHeight="1" x14ac:dyDescent="0.3">
      <c r="A338" s="2">
        <v>46197</v>
      </c>
      <c r="B338" s="3" t="s">
        <v>2203</v>
      </c>
      <c r="C338" s="3" t="s">
        <v>1346</v>
      </c>
      <c r="D338" s="3" t="s">
        <v>2204</v>
      </c>
      <c r="E338" s="3">
        <v>0</v>
      </c>
      <c r="F338" s="3">
        <v>0.04</v>
      </c>
      <c r="G338" s="3">
        <v>0</v>
      </c>
      <c r="H338" s="3">
        <v>40231</v>
      </c>
      <c r="I338" s="3">
        <v>10108.17</v>
      </c>
      <c r="J338" s="3">
        <v>2.0095999999999998</v>
      </c>
      <c r="K338" s="2"/>
      <c r="U338" s="2"/>
      <c r="AE338" s="2"/>
      <c r="AO338" s="2"/>
      <c r="AY338" s="2"/>
      <c r="BI338" s="2"/>
      <c r="BS338" s="2"/>
      <c r="CC338" s="2"/>
      <c r="CM338" s="2"/>
      <c r="CW338" s="2"/>
    </row>
    <row r="339" spans="1:101" ht="13.5" customHeight="1" x14ac:dyDescent="0.3">
      <c r="A339" s="2">
        <v>46197</v>
      </c>
      <c r="B339" s="3" t="s">
        <v>47</v>
      </c>
      <c r="C339" s="3" t="s">
        <v>29</v>
      </c>
      <c r="D339" s="3" t="s">
        <v>48</v>
      </c>
      <c r="E339" s="3">
        <v>0</v>
      </c>
      <c r="F339" s="3">
        <v>0.03</v>
      </c>
      <c r="G339" s="3">
        <v>0</v>
      </c>
      <c r="H339" s="3">
        <v>38835</v>
      </c>
      <c r="I339" s="3">
        <v>7318.07</v>
      </c>
      <c r="J339" s="3">
        <v>18.063800000000001</v>
      </c>
      <c r="K339" s="2"/>
      <c r="U339" s="2"/>
      <c r="AE339" s="2"/>
      <c r="AO339" s="2"/>
      <c r="AY339" s="2"/>
      <c r="BI339" s="2"/>
      <c r="BS339" s="2"/>
      <c r="CC339" s="2"/>
      <c r="CM339" s="2"/>
      <c r="CW339" s="2"/>
    </row>
    <row r="340" spans="1:101" ht="13.5" customHeight="1" x14ac:dyDescent="0.3">
      <c r="A340" s="2">
        <v>46197</v>
      </c>
      <c r="B340" s="3" t="s">
        <v>1716</v>
      </c>
      <c r="C340" s="3" t="s">
        <v>50</v>
      </c>
      <c r="D340" s="3" t="s">
        <v>1717</v>
      </c>
      <c r="E340" s="3">
        <v>0</v>
      </c>
      <c r="F340" s="3">
        <v>0.03</v>
      </c>
      <c r="G340" s="3">
        <v>0</v>
      </c>
      <c r="H340" s="3">
        <v>34760</v>
      </c>
      <c r="I340" s="3">
        <v>9962.74</v>
      </c>
      <c r="J340" s="3">
        <v>2.5467</v>
      </c>
      <c r="K340" s="2"/>
      <c r="U340" s="2"/>
      <c r="AE340" s="2"/>
      <c r="AO340" s="2"/>
      <c r="AY340" s="2"/>
      <c r="BI340" s="2"/>
      <c r="BS340" s="2"/>
      <c r="CC340" s="2"/>
      <c r="CM340" s="2"/>
      <c r="CW340" s="2"/>
    </row>
    <row r="341" spans="1:101" ht="13.5" customHeight="1" x14ac:dyDescent="0.3">
      <c r="A341" s="2">
        <v>46197</v>
      </c>
      <c r="B341" s="3" t="s">
        <v>1701</v>
      </c>
      <c r="C341" s="3" t="s">
        <v>1702</v>
      </c>
      <c r="D341" s="3" t="s">
        <v>1703</v>
      </c>
      <c r="E341" s="3">
        <v>0</v>
      </c>
      <c r="F341" s="3">
        <v>0.03</v>
      </c>
      <c r="G341" s="3">
        <v>0</v>
      </c>
      <c r="H341" s="3">
        <v>30038</v>
      </c>
      <c r="I341" s="3">
        <v>10291.9</v>
      </c>
      <c r="J341" s="3">
        <v>0.68830000000000002</v>
      </c>
      <c r="K341" s="2"/>
      <c r="U341" s="2"/>
      <c r="AE341" s="2"/>
      <c r="AO341" s="2"/>
      <c r="AY341" s="2"/>
      <c r="BI341" s="2"/>
      <c r="BS341" s="2"/>
      <c r="CC341" s="2"/>
      <c r="CM341" s="2"/>
      <c r="CW341" s="2"/>
    </row>
    <row r="342" spans="1:101" ht="13.5" customHeight="1" x14ac:dyDescent="0.3">
      <c r="A342" s="2">
        <v>46197</v>
      </c>
      <c r="B342" s="3" t="s">
        <v>1467</v>
      </c>
      <c r="C342" s="3" t="s">
        <v>50</v>
      </c>
      <c r="D342" s="3" t="s">
        <v>1468</v>
      </c>
      <c r="E342" s="3">
        <v>0</v>
      </c>
      <c r="F342" s="3">
        <v>0.03</v>
      </c>
      <c r="G342" s="3">
        <v>0</v>
      </c>
      <c r="H342" s="3">
        <v>30011</v>
      </c>
      <c r="I342" s="3">
        <v>9835.5300000000007</v>
      </c>
      <c r="J342" s="3">
        <v>3.0026999999999999</v>
      </c>
      <c r="K342" s="2"/>
      <c r="U342" s="2"/>
      <c r="AE342" s="2"/>
      <c r="AO342" s="2"/>
      <c r="AY342" s="2"/>
      <c r="BI342" s="2"/>
      <c r="BS342" s="2"/>
      <c r="CC342" s="2"/>
      <c r="CM342" s="2"/>
      <c r="CW342" s="2"/>
    </row>
    <row r="343" spans="1:101" ht="13.5" customHeight="1" x14ac:dyDescent="0.3">
      <c r="A343" s="2">
        <v>46197</v>
      </c>
      <c r="B343" s="3" t="s">
        <v>2205</v>
      </c>
      <c r="C343" s="3" t="s">
        <v>855</v>
      </c>
      <c r="D343" s="3" t="s">
        <v>2206</v>
      </c>
      <c r="E343" s="3">
        <v>0</v>
      </c>
      <c r="F343" s="3">
        <v>0.03</v>
      </c>
      <c r="G343" s="3">
        <v>0</v>
      </c>
      <c r="H343" s="3">
        <v>28155</v>
      </c>
      <c r="I343" s="3">
        <v>10611.57</v>
      </c>
      <c r="J343" s="3">
        <v>1.706</v>
      </c>
      <c r="K343" s="2"/>
      <c r="U343" s="2"/>
      <c r="AE343" s="2"/>
      <c r="AO343" s="2"/>
      <c r="AY343" s="2"/>
      <c r="BI343" s="2"/>
      <c r="BS343" s="2"/>
      <c r="CC343" s="2"/>
      <c r="CM343" s="2"/>
      <c r="CW343" s="2"/>
    </row>
    <row r="344" spans="1:101" ht="13.5" customHeight="1" x14ac:dyDescent="0.3">
      <c r="A344" s="2">
        <v>46197</v>
      </c>
      <c r="B344" s="3" t="s">
        <v>2207</v>
      </c>
      <c r="C344" s="3" t="s">
        <v>2208</v>
      </c>
      <c r="D344" s="3" t="s">
        <v>2209</v>
      </c>
      <c r="E344" s="3">
        <v>0</v>
      </c>
      <c r="F344" s="3">
        <v>0.02</v>
      </c>
      <c r="G344" s="3">
        <v>0</v>
      </c>
      <c r="H344" s="3">
        <v>27222</v>
      </c>
      <c r="I344" s="3">
        <v>10259.799999999999</v>
      </c>
      <c r="J344" s="3">
        <v>2.5114000000000001</v>
      </c>
      <c r="K344" s="2"/>
      <c r="U344" s="2"/>
      <c r="AE344" s="2"/>
      <c r="AO344" s="2"/>
      <c r="AY344" s="2"/>
      <c r="BI344" s="2"/>
      <c r="BS344" s="2"/>
      <c r="CC344" s="2"/>
      <c r="CM344" s="2"/>
      <c r="CW344" s="2"/>
    </row>
    <row r="345" spans="1:101" ht="13.5" customHeight="1" x14ac:dyDescent="0.3">
      <c r="A345" s="2">
        <v>46197</v>
      </c>
      <c r="B345" s="3" t="s">
        <v>2210</v>
      </c>
      <c r="C345" s="3" t="s">
        <v>2139</v>
      </c>
      <c r="D345" s="3" t="s">
        <v>2211</v>
      </c>
      <c r="E345" s="3">
        <v>0</v>
      </c>
      <c r="F345" s="3">
        <v>0.02</v>
      </c>
      <c r="G345" s="3">
        <v>0</v>
      </c>
      <c r="H345" s="3">
        <v>27102</v>
      </c>
      <c r="I345" s="3">
        <v>10214.76</v>
      </c>
      <c r="J345" s="3">
        <v>2.1877</v>
      </c>
      <c r="K345" s="2"/>
      <c r="U345" s="2"/>
      <c r="AE345" s="2"/>
      <c r="AO345" s="2"/>
      <c r="AY345" s="2"/>
      <c r="BI345" s="2"/>
      <c r="BS345" s="2"/>
      <c r="CC345" s="2"/>
      <c r="CM345" s="2"/>
      <c r="CW345" s="2"/>
    </row>
    <row r="346" spans="1:101" ht="13.5" customHeight="1" x14ac:dyDescent="0.3">
      <c r="A346" s="2">
        <v>46197</v>
      </c>
      <c r="B346" s="3" t="s">
        <v>2212</v>
      </c>
      <c r="C346" s="3" t="s">
        <v>2213</v>
      </c>
      <c r="D346" s="3" t="s">
        <v>2214</v>
      </c>
      <c r="E346" s="3">
        <v>0</v>
      </c>
      <c r="F346" s="3">
        <v>0.02</v>
      </c>
      <c r="G346" s="3">
        <v>0</v>
      </c>
      <c r="H346" s="3">
        <v>26806</v>
      </c>
      <c r="I346" s="3">
        <v>10102.91</v>
      </c>
      <c r="J346" s="3">
        <v>2.8250000000000002</v>
      </c>
      <c r="K346" s="2"/>
      <c r="U346" s="2"/>
      <c r="AE346" s="2"/>
      <c r="AO346" s="2"/>
      <c r="AY346" s="2"/>
      <c r="BI346" s="2"/>
      <c r="BS346" s="2"/>
      <c r="CC346" s="2"/>
      <c r="CM346" s="2"/>
      <c r="CW346" s="2"/>
    </row>
    <row r="347" spans="1:101" ht="13.5" customHeight="1" x14ac:dyDescent="0.3">
      <c r="A347" s="2">
        <v>46197</v>
      </c>
      <c r="B347" s="3" t="s">
        <v>40</v>
      </c>
      <c r="C347" s="3" t="s">
        <v>29</v>
      </c>
      <c r="D347" s="3" t="s">
        <v>41</v>
      </c>
      <c r="E347" s="3">
        <v>0</v>
      </c>
      <c r="F347" s="3">
        <v>0.02</v>
      </c>
      <c r="G347" s="3">
        <v>0</v>
      </c>
      <c r="H347" s="3">
        <v>26799</v>
      </c>
      <c r="I347" s="3">
        <v>10100.35</v>
      </c>
      <c r="J347" s="3">
        <v>5.6009000000000002</v>
      </c>
      <c r="K347" s="2"/>
      <c r="U347" s="2"/>
      <c r="AE347" s="2"/>
      <c r="AO347" s="2"/>
      <c r="AY347" s="2"/>
      <c r="BI347" s="2"/>
      <c r="BS347" s="2"/>
      <c r="CC347" s="2"/>
      <c r="CM347" s="2"/>
      <c r="CW347" s="2"/>
    </row>
    <row r="348" spans="1:101" ht="13.5" customHeight="1" x14ac:dyDescent="0.3">
      <c r="A348" s="2">
        <v>46197</v>
      </c>
      <c r="B348" s="3" t="s">
        <v>1553</v>
      </c>
      <c r="C348" s="3" t="s">
        <v>1554</v>
      </c>
      <c r="D348" s="3" t="s">
        <v>1555</v>
      </c>
      <c r="E348" s="3">
        <v>0</v>
      </c>
      <c r="F348" s="3">
        <v>0.02</v>
      </c>
      <c r="G348" s="3">
        <v>0</v>
      </c>
      <c r="H348" s="3">
        <v>26794</v>
      </c>
      <c r="I348" s="3">
        <v>10098.74</v>
      </c>
      <c r="J348" s="3">
        <v>0.52969999999999995</v>
      </c>
      <c r="K348" s="2"/>
      <c r="U348" s="2"/>
      <c r="AE348" s="2"/>
      <c r="AO348" s="2"/>
      <c r="AY348" s="2"/>
      <c r="BI348" s="2"/>
      <c r="BS348" s="2"/>
      <c r="CC348" s="2"/>
      <c r="CM348" s="2"/>
      <c r="CW348" s="2"/>
    </row>
    <row r="349" spans="1:101" ht="13.5" customHeight="1" x14ac:dyDescent="0.3">
      <c r="A349" s="2">
        <v>46197</v>
      </c>
      <c r="B349" s="3" t="s">
        <v>2215</v>
      </c>
      <c r="C349" s="3" t="s">
        <v>1906</v>
      </c>
      <c r="D349" s="3" t="s">
        <v>2216</v>
      </c>
      <c r="E349" s="3">
        <v>0</v>
      </c>
      <c r="F349" s="3">
        <v>0.02</v>
      </c>
      <c r="G349" s="3">
        <v>0</v>
      </c>
      <c r="H349" s="3">
        <v>26749</v>
      </c>
      <c r="I349" s="3">
        <v>10081.92</v>
      </c>
      <c r="J349" s="3">
        <v>0.95350000000000001</v>
      </c>
      <c r="K349" s="2"/>
      <c r="U349" s="2"/>
      <c r="AE349" s="2"/>
      <c r="AO349" s="2"/>
      <c r="AY349" s="2"/>
      <c r="BI349" s="2"/>
      <c r="BS349" s="2"/>
      <c r="CC349" s="2"/>
      <c r="CM349" s="2"/>
      <c r="CW349" s="2"/>
    </row>
    <row r="350" spans="1:101" ht="13.5" customHeight="1" x14ac:dyDescent="0.3">
      <c r="A350" s="2">
        <v>46197</v>
      </c>
      <c r="B350" s="3" t="s">
        <v>2217</v>
      </c>
      <c r="C350" s="3" t="s">
        <v>2218</v>
      </c>
      <c r="D350" s="3" t="s">
        <v>2219</v>
      </c>
      <c r="E350" s="3">
        <v>0</v>
      </c>
      <c r="F350" s="3">
        <v>0.02</v>
      </c>
      <c r="G350" s="3">
        <v>0</v>
      </c>
      <c r="H350" s="3">
        <v>26746</v>
      </c>
      <c r="I350" s="3">
        <v>10080.52</v>
      </c>
      <c r="J350" s="3">
        <v>1.6246</v>
      </c>
      <c r="K350" s="2"/>
      <c r="U350" s="2"/>
      <c r="AE350" s="2"/>
      <c r="AO350" s="2"/>
      <c r="AY350" s="2"/>
      <c r="BI350" s="2"/>
      <c r="BS350" s="2"/>
      <c r="CC350" s="2"/>
      <c r="CM350" s="2"/>
      <c r="CW350" s="2"/>
    </row>
    <row r="351" spans="1:101" ht="13.5" customHeight="1" x14ac:dyDescent="0.3">
      <c r="A351" s="2">
        <v>46197</v>
      </c>
      <c r="B351" s="3" t="s">
        <v>2220</v>
      </c>
      <c r="C351" s="3" t="s">
        <v>1587</v>
      </c>
      <c r="D351" s="3" t="s">
        <v>2221</v>
      </c>
      <c r="E351" s="3">
        <v>0</v>
      </c>
      <c r="F351" s="3">
        <v>0.02</v>
      </c>
      <c r="G351" s="3">
        <v>0</v>
      </c>
      <c r="H351" s="3">
        <v>26649</v>
      </c>
      <c r="I351" s="3">
        <v>10043.84</v>
      </c>
      <c r="J351" s="3">
        <v>4.9968000000000004</v>
      </c>
      <c r="K351" s="2"/>
      <c r="U351" s="2"/>
      <c r="AE351" s="2"/>
      <c r="AO351" s="2"/>
      <c r="AY351" s="2"/>
      <c r="BI351" s="2"/>
      <c r="BS351" s="2"/>
      <c r="CC351" s="2"/>
      <c r="CM351" s="2"/>
      <c r="CW351" s="2"/>
    </row>
    <row r="352" spans="1:101" ht="13.5" customHeight="1" x14ac:dyDescent="0.3">
      <c r="A352" s="2">
        <v>46197</v>
      </c>
      <c r="B352" s="3" t="s">
        <v>2222</v>
      </c>
      <c r="C352" s="3" t="s">
        <v>2007</v>
      </c>
      <c r="D352" s="3" t="s">
        <v>2223</v>
      </c>
      <c r="E352" s="3">
        <v>0</v>
      </c>
      <c r="F352" s="3">
        <v>0.02</v>
      </c>
      <c r="G352" s="3">
        <v>0</v>
      </c>
      <c r="H352" s="3">
        <v>26384</v>
      </c>
      <c r="I352" s="3">
        <v>9944.32</v>
      </c>
      <c r="J352" s="3">
        <v>2.3502999999999998</v>
      </c>
      <c r="K352" s="2"/>
      <c r="U352" s="2"/>
      <c r="AE352" s="2"/>
      <c r="AO352" s="2"/>
      <c r="AY352" s="2"/>
      <c r="BI352" s="2"/>
      <c r="BS352" s="2"/>
      <c r="CC352" s="2"/>
      <c r="CM352" s="2"/>
      <c r="CW352" s="2"/>
    </row>
    <row r="353" spans="1:101" ht="13.5" customHeight="1" x14ac:dyDescent="0.3">
      <c r="A353" s="2">
        <v>46197</v>
      </c>
      <c r="B353" s="3" t="s">
        <v>140</v>
      </c>
      <c r="C353" s="3" t="s">
        <v>50</v>
      </c>
      <c r="D353" s="3" t="s">
        <v>141</v>
      </c>
      <c r="E353" s="3">
        <v>0</v>
      </c>
      <c r="F353" s="3">
        <v>0.02</v>
      </c>
      <c r="G353" s="3">
        <v>0</v>
      </c>
      <c r="H353" s="3">
        <v>26327</v>
      </c>
      <c r="I353" s="3">
        <v>9922.49</v>
      </c>
      <c r="J353" s="3">
        <v>1.417</v>
      </c>
      <c r="K353" s="2"/>
      <c r="U353" s="2"/>
      <c r="AE353" s="2"/>
      <c r="AO353" s="2"/>
      <c r="AY353" s="2"/>
      <c r="BI353" s="2"/>
      <c r="BS353" s="2"/>
      <c r="CC353" s="2"/>
      <c r="CM353" s="2"/>
      <c r="CW353" s="2"/>
    </row>
    <row r="354" spans="1:101" ht="13.5" customHeight="1" x14ac:dyDescent="0.3">
      <c r="A354" s="2">
        <v>46197</v>
      </c>
      <c r="B354" s="3" t="s">
        <v>2224</v>
      </c>
      <c r="C354" s="3" t="s">
        <v>902</v>
      </c>
      <c r="D354" s="3" t="s">
        <v>2225</v>
      </c>
      <c r="E354" s="3">
        <v>0</v>
      </c>
      <c r="F354" s="3">
        <v>0.02</v>
      </c>
      <c r="G354" s="3">
        <v>0</v>
      </c>
      <c r="H354" s="3">
        <v>26245</v>
      </c>
      <c r="I354" s="3">
        <v>9890.57</v>
      </c>
      <c r="J354" s="3">
        <v>2.8126000000000002</v>
      </c>
      <c r="K354" s="2"/>
      <c r="U354" s="2"/>
      <c r="AE354" s="2"/>
      <c r="AO354" s="2"/>
      <c r="AY354" s="2"/>
      <c r="BI354" s="2"/>
      <c r="BS354" s="2"/>
      <c r="CC354" s="2"/>
      <c r="CM354" s="2"/>
      <c r="CW354" s="2"/>
    </row>
    <row r="355" spans="1:101" ht="13.5" customHeight="1" x14ac:dyDescent="0.3">
      <c r="A355" s="2">
        <v>46197</v>
      </c>
      <c r="B355" s="3" t="s">
        <v>2226</v>
      </c>
      <c r="C355" s="3" t="s">
        <v>2213</v>
      </c>
      <c r="D355" s="3" t="s">
        <v>2227</v>
      </c>
      <c r="E355" s="3">
        <v>0</v>
      </c>
      <c r="F355" s="3">
        <v>0.02</v>
      </c>
      <c r="G355" s="3">
        <v>0</v>
      </c>
      <c r="H355" s="3">
        <v>25481</v>
      </c>
      <c r="I355" s="3">
        <v>9603.5</v>
      </c>
      <c r="J355" s="3">
        <v>3.9424999999999999</v>
      </c>
      <c r="K355" s="2"/>
      <c r="U355" s="2"/>
      <c r="AE355" s="2"/>
      <c r="AO355" s="2"/>
      <c r="AY355" s="2"/>
      <c r="BI355" s="2"/>
      <c r="BS355" s="2"/>
      <c r="CC355" s="2"/>
      <c r="CM355" s="2"/>
      <c r="CW355" s="2"/>
    </row>
    <row r="356" spans="1:101" ht="13.5" customHeight="1" x14ac:dyDescent="0.3">
      <c r="A356" s="2">
        <v>46197</v>
      </c>
      <c r="B356" s="3" t="s">
        <v>2228</v>
      </c>
      <c r="C356" s="3" t="s">
        <v>2229</v>
      </c>
      <c r="D356" s="3" t="s">
        <v>2230</v>
      </c>
      <c r="E356" s="3">
        <v>0</v>
      </c>
      <c r="F356" s="3">
        <v>0.02</v>
      </c>
      <c r="G356" s="3">
        <v>0</v>
      </c>
      <c r="H356" s="3">
        <v>25481</v>
      </c>
      <c r="I356" s="3">
        <v>9603.5</v>
      </c>
      <c r="J356" s="3">
        <v>3.9424999999999999</v>
      </c>
      <c r="K356" s="2"/>
      <c r="U356" s="2"/>
      <c r="AE356" s="2"/>
      <c r="AO356" s="2"/>
      <c r="AY356" s="2"/>
      <c r="BI356" s="2"/>
      <c r="BS356" s="2"/>
      <c r="CC356" s="2"/>
      <c r="CM356" s="2"/>
      <c r="CW356" s="2"/>
    </row>
    <row r="357" spans="1:101" ht="13.5" customHeight="1" x14ac:dyDescent="0.3">
      <c r="A357" s="2">
        <v>46197</v>
      </c>
      <c r="B357" s="3" t="s">
        <v>60</v>
      </c>
      <c r="C357" s="3" t="s">
        <v>56</v>
      </c>
      <c r="D357" s="3" t="s">
        <v>61</v>
      </c>
      <c r="E357" s="3">
        <v>0</v>
      </c>
      <c r="F357" s="3">
        <v>0.02</v>
      </c>
      <c r="G357" s="3">
        <v>0</v>
      </c>
      <c r="H357" s="3">
        <v>25223</v>
      </c>
      <c r="I357" s="3">
        <v>9506.6</v>
      </c>
      <c r="J357" s="3">
        <v>3.9123000000000001</v>
      </c>
      <c r="K357" s="2"/>
      <c r="U357" s="2"/>
      <c r="AE357" s="2"/>
      <c r="AO357" s="2"/>
      <c r="AY357" s="2"/>
      <c r="BI357" s="2"/>
      <c r="BS357" s="2"/>
      <c r="CC357" s="2"/>
      <c r="CM357" s="2"/>
      <c r="CW357" s="2"/>
    </row>
    <row r="358" spans="1:101" ht="13.5" customHeight="1" x14ac:dyDescent="0.3">
      <c r="A358" s="2">
        <v>46197</v>
      </c>
      <c r="B358" s="3" t="s">
        <v>33</v>
      </c>
      <c r="C358" s="3" t="s">
        <v>29</v>
      </c>
      <c r="D358" s="3" t="s">
        <v>34</v>
      </c>
      <c r="E358" s="3">
        <v>0</v>
      </c>
      <c r="F358" s="3">
        <v>0.02</v>
      </c>
      <c r="G358" s="3">
        <v>0</v>
      </c>
      <c r="H358" s="3">
        <v>24484</v>
      </c>
      <c r="I358" s="3">
        <v>9228.02</v>
      </c>
      <c r="J358" s="3">
        <v>7.3311999999999999</v>
      </c>
      <c r="K358" s="2"/>
      <c r="U358" s="2"/>
      <c r="AE358" s="2"/>
      <c r="AO358" s="2"/>
      <c r="AY358" s="2"/>
      <c r="BI358" s="2"/>
      <c r="BS358" s="2"/>
      <c r="CC358" s="2"/>
      <c r="CM358" s="2"/>
      <c r="CW358" s="2"/>
    </row>
    <row r="359" spans="1:101" ht="13.5" customHeight="1" x14ac:dyDescent="0.3">
      <c r="A359" s="2">
        <v>46197</v>
      </c>
      <c r="B359" s="3" t="s">
        <v>2231</v>
      </c>
      <c r="C359" s="3" t="s">
        <v>154</v>
      </c>
      <c r="D359" s="3" t="s">
        <v>2232</v>
      </c>
      <c r="E359" s="3">
        <v>0</v>
      </c>
      <c r="F359" s="3">
        <v>0.02</v>
      </c>
      <c r="G359" s="3">
        <v>0</v>
      </c>
      <c r="H359" s="3">
        <v>24305</v>
      </c>
      <c r="I359" s="3">
        <v>9160.33</v>
      </c>
      <c r="J359" s="3">
        <v>3.6436999999999999</v>
      </c>
      <c r="K359" s="2"/>
      <c r="U359" s="2"/>
      <c r="AE359" s="2"/>
      <c r="AO359" s="2"/>
      <c r="AY359" s="2"/>
      <c r="BI359" s="2"/>
      <c r="BS359" s="2"/>
      <c r="CC359" s="2"/>
      <c r="CM359" s="2"/>
      <c r="CW359" s="2"/>
    </row>
    <row r="360" spans="1:101" ht="13.5" customHeight="1" x14ac:dyDescent="0.3">
      <c r="A360" s="2">
        <v>46197</v>
      </c>
      <c r="B360" s="3" t="s">
        <v>1452</v>
      </c>
      <c r="C360" s="3" t="s">
        <v>50</v>
      </c>
      <c r="D360" s="3" t="s">
        <v>1453</v>
      </c>
      <c r="E360" s="3">
        <v>0</v>
      </c>
      <c r="F360" s="3">
        <v>0.02</v>
      </c>
      <c r="G360" s="3">
        <v>0</v>
      </c>
      <c r="H360" s="3">
        <v>23992</v>
      </c>
      <c r="I360" s="3">
        <v>10047.14</v>
      </c>
      <c r="J360" s="3">
        <v>1.17</v>
      </c>
      <c r="K360" s="2"/>
      <c r="U360" s="2"/>
      <c r="AE360" s="2"/>
      <c r="AO360" s="2"/>
      <c r="AY360" s="2"/>
      <c r="BI360" s="2"/>
      <c r="BS360" s="2"/>
      <c r="CC360" s="2"/>
      <c r="CM360" s="2"/>
      <c r="CW360" s="2"/>
    </row>
    <row r="361" spans="1:101" ht="13.5" customHeight="1" x14ac:dyDescent="0.3">
      <c r="A361" s="2">
        <v>46197</v>
      </c>
      <c r="B361" s="3" t="s">
        <v>2233</v>
      </c>
      <c r="C361" s="3" t="s">
        <v>2234</v>
      </c>
      <c r="D361" s="3" t="s">
        <v>2235</v>
      </c>
      <c r="E361" s="3">
        <v>0</v>
      </c>
      <c r="F361" s="3">
        <v>0.02</v>
      </c>
      <c r="G361" s="3">
        <v>0</v>
      </c>
      <c r="H361" s="3">
        <v>23910</v>
      </c>
      <c r="I361" s="3">
        <v>10013.48</v>
      </c>
      <c r="J361" s="3">
        <v>0.61970000000000003</v>
      </c>
      <c r="K361" s="2"/>
      <c r="U361" s="2"/>
      <c r="AE361" s="2"/>
      <c r="AO361" s="2"/>
      <c r="AY361" s="2"/>
      <c r="BI361" s="2"/>
      <c r="BS361" s="2"/>
      <c r="CC361" s="2"/>
      <c r="CM361" s="2"/>
      <c r="CW361" s="2"/>
    </row>
    <row r="362" spans="1:101" ht="13.5" customHeight="1" x14ac:dyDescent="0.3">
      <c r="A362" s="2">
        <v>46197</v>
      </c>
      <c r="B362" s="3" t="s">
        <v>103</v>
      </c>
      <c r="C362" s="3" t="s">
        <v>63</v>
      </c>
      <c r="D362" s="3" t="s">
        <v>104</v>
      </c>
      <c r="E362" s="3">
        <v>0</v>
      </c>
      <c r="F362" s="3">
        <v>0.02</v>
      </c>
      <c r="G362" s="3">
        <v>0</v>
      </c>
      <c r="H362" s="3">
        <v>22927</v>
      </c>
      <c r="I362" s="3">
        <v>9602.49</v>
      </c>
      <c r="J362" s="3">
        <v>12.1774</v>
      </c>
      <c r="K362" s="2"/>
      <c r="U362" s="2"/>
      <c r="AE362" s="2"/>
      <c r="AO362" s="2"/>
      <c r="AY362" s="2"/>
      <c r="BI362" s="2"/>
      <c r="BS362" s="2"/>
      <c r="CC362" s="2"/>
      <c r="CM362" s="2"/>
      <c r="CW362" s="2"/>
    </row>
    <row r="363" spans="1:101" ht="13.5" customHeight="1" x14ac:dyDescent="0.3">
      <c r="A363" s="2">
        <v>46197</v>
      </c>
      <c r="B363" s="3" t="s">
        <v>2236</v>
      </c>
      <c r="C363" s="3" t="s">
        <v>1571</v>
      </c>
      <c r="D363" s="3" t="s">
        <v>2237</v>
      </c>
      <c r="E363" s="3">
        <v>0</v>
      </c>
      <c r="F363" s="3">
        <v>0.02</v>
      </c>
      <c r="G363" s="3">
        <v>0</v>
      </c>
      <c r="H363" s="3">
        <v>21022</v>
      </c>
      <c r="I363" s="3">
        <v>9904.52</v>
      </c>
      <c r="J363" s="3">
        <v>0.82150000000000001</v>
      </c>
      <c r="K363" s="2"/>
      <c r="U363" s="2"/>
      <c r="AE363" s="2"/>
      <c r="AO363" s="2"/>
      <c r="AY363" s="2"/>
      <c r="BI363" s="2"/>
      <c r="BS363" s="2"/>
      <c r="CC363" s="2"/>
      <c r="CM363" s="2"/>
      <c r="CW363" s="2"/>
    </row>
    <row r="364" spans="1:101" ht="13.5" customHeight="1" x14ac:dyDescent="0.3">
      <c r="A364" s="2">
        <v>46197</v>
      </c>
      <c r="B364" s="3" t="s">
        <v>2238</v>
      </c>
      <c r="C364" s="3" t="s">
        <v>821</v>
      </c>
      <c r="D364" s="3" t="s">
        <v>2239</v>
      </c>
      <c r="E364" s="3">
        <v>0</v>
      </c>
      <c r="F364" s="3">
        <v>0.02</v>
      </c>
      <c r="G364" s="3">
        <v>0</v>
      </c>
      <c r="H364" s="3">
        <v>18879</v>
      </c>
      <c r="I364" s="3">
        <v>7115.61</v>
      </c>
      <c r="J364" s="3">
        <v>22.168600000000001</v>
      </c>
      <c r="K364" s="2"/>
      <c r="U364" s="2"/>
      <c r="AE364" s="2"/>
      <c r="AO364" s="2"/>
      <c r="AY364" s="2"/>
      <c r="BI364" s="2"/>
      <c r="BS364" s="2"/>
      <c r="CC364" s="2"/>
      <c r="CM364" s="2"/>
      <c r="CW364" s="2"/>
    </row>
    <row r="365" spans="1:101" ht="13.5" customHeight="1" x14ac:dyDescent="0.3">
      <c r="A365" s="2">
        <v>46197</v>
      </c>
      <c r="B365" s="3" t="s">
        <v>2240</v>
      </c>
      <c r="C365" s="3" t="s">
        <v>56</v>
      </c>
      <c r="D365" s="3" t="s">
        <v>2241</v>
      </c>
      <c r="E365" s="3">
        <v>0</v>
      </c>
      <c r="F365" s="3">
        <v>0.01</v>
      </c>
      <c r="G365" s="3">
        <v>0</v>
      </c>
      <c r="H365" s="3">
        <v>15153</v>
      </c>
      <c r="I365" s="3">
        <v>5708.94</v>
      </c>
      <c r="J365" s="3">
        <v>22.8977</v>
      </c>
      <c r="K365" s="2"/>
      <c r="U365" s="2"/>
      <c r="AE365" s="2"/>
      <c r="AO365" s="2"/>
      <c r="AY365" s="2"/>
      <c r="BI365" s="2"/>
      <c r="BS365" s="2"/>
      <c r="CC365" s="2"/>
      <c r="CM365" s="2"/>
      <c r="CW365" s="2"/>
    </row>
    <row r="366" spans="1:101" ht="13.5" customHeight="1" x14ac:dyDescent="0.3">
      <c r="A366" s="2">
        <v>46197</v>
      </c>
      <c r="B366" s="3" t="s">
        <v>2242</v>
      </c>
      <c r="C366" s="3" t="s">
        <v>1832</v>
      </c>
      <c r="D366" s="3" t="s">
        <v>2243</v>
      </c>
      <c r="E366" s="3">
        <v>0</v>
      </c>
      <c r="F366" s="3">
        <v>0.01</v>
      </c>
      <c r="G366" s="3">
        <v>0</v>
      </c>
      <c r="H366" s="3">
        <v>14056</v>
      </c>
      <c r="I366" s="3">
        <v>10593.78</v>
      </c>
      <c r="J366" s="3">
        <v>3.0383</v>
      </c>
      <c r="K366" s="2"/>
      <c r="U366" s="2"/>
      <c r="AE366" s="2"/>
      <c r="AO366" s="2"/>
      <c r="AY366" s="2"/>
      <c r="BI366" s="2"/>
      <c r="BS366" s="2"/>
      <c r="CC366" s="2"/>
      <c r="CM366" s="2"/>
      <c r="CW366" s="2"/>
    </row>
    <row r="367" spans="1:101" ht="13.5" customHeight="1" x14ac:dyDescent="0.3">
      <c r="A367" s="2">
        <v>46197</v>
      </c>
      <c r="B367" s="3" t="s">
        <v>2244</v>
      </c>
      <c r="C367" s="3" t="s">
        <v>1607</v>
      </c>
      <c r="D367" s="3" t="s">
        <v>2245</v>
      </c>
      <c r="E367" s="3">
        <v>0</v>
      </c>
      <c r="F367" s="3">
        <v>0.01</v>
      </c>
      <c r="G367" s="3">
        <v>0</v>
      </c>
      <c r="H367" s="3">
        <v>13683</v>
      </c>
      <c r="I367" s="3">
        <v>10314.299999999999</v>
      </c>
      <c r="J367" s="3">
        <v>1.3044</v>
      </c>
      <c r="K367" s="2"/>
      <c r="U367" s="2"/>
      <c r="AE367" s="2"/>
      <c r="AO367" s="2"/>
      <c r="AY367" s="2"/>
      <c r="BI367" s="2"/>
      <c r="BS367" s="2"/>
      <c r="CC367" s="2"/>
      <c r="CM367" s="2"/>
      <c r="CW367" s="2"/>
    </row>
    <row r="368" spans="1:101" ht="13.5" customHeight="1" x14ac:dyDescent="0.3">
      <c r="A368" s="2">
        <v>46197</v>
      </c>
      <c r="B368" s="3" t="s">
        <v>2246</v>
      </c>
      <c r="C368" s="3" t="s">
        <v>2247</v>
      </c>
      <c r="D368" s="3" t="s">
        <v>2248</v>
      </c>
      <c r="E368" s="3">
        <v>0</v>
      </c>
      <c r="F368" s="3">
        <v>0.01</v>
      </c>
      <c r="G368" s="3">
        <v>0</v>
      </c>
      <c r="H368" s="3">
        <v>13383</v>
      </c>
      <c r="I368" s="3">
        <v>10088.709999999999</v>
      </c>
      <c r="J368" s="3">
        <v>1.2267999999999999</v>
      </c>
      <c r="K368" s="2"/>
      <c r="U368" s="2"/>
      <c r="AE368" s="2"/>
      <c r="AO368" s="2"/>
      <c r="AY368" s="2"/>
      <c r="BI368" s="2"/>
      <c r="BS368" s="2"/>
      <c r="CC368" s="2"/>
      <c r="CM368" s="2"/>
      <c r="CW368" s="2"/>
    </row>
    <row r="369" spans="1:101" ht="13.5" customHeight="1" x14ac:dyDescent="0.3">
      <c r="A369" s="2">
        <v>46197</v>
      </c>
      <c r="B369" s="3" t="s">
        <v>2249</v>
      </c>
      <c r="C369" s="3" t="s">
        <v>2250</v>
      </c>
      <c r="D369" s="3" t="s">
        <v>2251</v>
      </c>
      <c r="E369" s="3">
        <v>0</v>
      </c>
      <c r="F369" s="3">
        <v>0.01</v>
      </c>
      <c r="G369" s="3">
        <v>0</v>
      </c>
      <c r="H369" s="3">
        <v>13248</v>
      </c>
      <c r="I369" s="3">
        <v>10950.19</v>
      </c>
      <c r="J369" s="3">
        <v>0.50519999999999998</v>
      </c>
      <c r="K369" s="2"/>
      <c r="U369" s="2"/>
      <c r="AE369" s="2"/>
      <c r="AO369" s="2"/>
      <c r="AY369" s="2"/>
      <c r="BI369" s="2"/>
      <c r="BS369" s="2"/>
      <c r="CC369" s="2"/>
      <c r="CM369" s="2"/>
      <c r="CW369" s="2"/>
    </row>
    <row r="370" spans="1:101" ht="13.5" customHeight="1" x14ac:dyDescent="0.3">
      <c r="A370" s="2">
        <v>46197</v>
      </c>
      <c r="B370" s="3" t="s">
        <v>1609</v>
      </c>
      <c r="C370" s="3" t="s">
        <v>1610</v>
      </c>
      <c r="D370" s="3" t="s">
        <v>1611</v>
      </c>
      <c r="E370" s="3">
        <v>0</v>
      </c>
      <c r="F370" s="3">
        <v>0.01</v>
      </c>
      <c r="G370" s="3">
        <v>0</v>
      </c>
      <c r="H370" s="3">
        <v>13224</v>
      </c>
      <c r="I370" s="3">
        <v>9968.93</v>
      </c>
      <c r="J370" s="3">
        <v>0.24429999999999999</v>
      </c>
      <c r="K370" s="2"/>
      <c r="U370" s="2"/>
      <c r="AE370" s="2"/>
      <c r="AO370" s="2"/>
      <c r="AY370" s="2"/>
      <c r="BI370" s="2"/>
      <c r="BS370" s="2"/>
      <c r="CC370" s="2"/>
      <c r="CM370" s="2"/>
      <c r="CW370" s="2"/>
    </row>
    <row r="371" spans="1:101" ht="13.5" customHeight="1" x14ac:dyDescent="0.3">
      <c r="A371" s="2">
        <v>46197</v>
      </c>
      <c r="B371" s="3" t="s">
        <v>1698</v>
      </c>
      <c r="C371" s="3" t="s">
        <v>1699</v>
      </c>
      <c r="D371" s="3" t="s">
        <v>1700</v>
      </c>
      <c r="E371" s="3">
        <v>0</v>
      </c>
      <c r="F371" s="3">
        <v>0.01</v>
      </c>
      <c r="G371" s="3">
        <v>0</v>
      </c>
      <c r="H371" s="3">
        <v>12801</v>
      </c>
      <c r="I371" s="3">
        <v>9556.89</v>
      </c>
      <c r="J371" s="3">
        <v>5.4983000000000004</v>
      </c>
      <c r="K371" s="2"/>
      <c r="U371" s="2"/>
      <c r="AE371" s="2"/>
      <c r="AO371" s="2"/>
      <c r="AY371" s="2"/>
      <c r="BI371" s="2"/>
      <c r="BS371" s="2"/>
      <c r="CC371" s="2"/>
      <c r="CM371" s="2"/>
      <c r="CW371" s="2"/>
    </row>
    <row r="372" spans="1:101" ht="13.5" customHeight="1" x14ac:dyDescent="0.3">
      <c r="A372" s="2">
        <v>46197</v>
      </c>
      <c r="B372" s="3" t="s">
        <v>2252</v>
      </c>
      <c r="C372" s="3" t="s">
        <v>29</v>
      </c>
      <c r="D372" s="3" t="s">
        <v>2253</v>
      </c>
      <c r="E372" s="3">
        <v>0</v>
      </c>
      <c r="F372" s="3">
        <v>0.01</v>
      </c>
      <c r="G372" s="3">
        <v>0</v>
      </c>
      <c r="H372" s="3">
        <v>11347</v>
      </c>
      <c r="I372" s="3">
        <v>8908.4500000000007</v>
      </c>
      <c r="J372" s="3">
        <v>7.9343000000000004</v>
      </c>
      <c r="K372" s="2"/>
      <c r="U372" s="2"/>
      <c r="AE372" s="2"/>
      <c r="AO372" s="2"/>
      <c r="AY372" s="2"/>
      <c r="BI372" s="2"/>
      <c r="BS372" s="2"/>
      <c r="CC372" s="2"/>
      <c r="CM372" s="2"/>
      <c r="CW372" s="2"/>
    </row>
    <row r="373" spans="1:101" ht="13.5" customHeight="1" x14ac:dyDescent="0.3">
      <c r="A373" s="2">
        <v>46197</v>
      </c>
      <c r="B373" s="3" t="s">
        <v>2254</v>
      </c>
      <c r="C373" s="3" t="s">
        <v>2255</v>
      </c>
      <c r="D373" s="3" t="s">
        <v>2256</v>
      </c>
      <c r="E373" s="3">
        <v>0</v>
      </c>
      <c r="F373" s="3">
        <v>0.01</v>
      </c>
      <c r="G373" s="3">
        <v>0</v>
      </c>
      <c r="H373" s="3">
        <v>11090</v>
      </c>
      <c r="I373" s="3">
        <v>10450.620000000001</v>
      </c>
      <c r="J373" s="3">
        <v>0.74390000000000001</v>
      </c>
      <c r="K373" s="2"/>
      <c r="U373" s="2"/>
      <c r="AE373" s="2"/>
      <c r="AO373" s="2"/>
      <c r="AY373" s="2"/>
      <c r="BI373" s="2"/>
      <c r="BS373" s="2"/>
      <c r="CC373" s="2"/>
      <c r="CM373" s="2"/>
      <c r="CW373" s="2"/>
    </row>
    <row r="374" spans="1:101" ht="13.5" customHeight="1" x14ac:dyDescent="0.3">
      <c r="A374" s="2">
        <v>46197</v>
      </c>
      <c r="B374" s="3" t="s">
        <v>2257</v>
      </c>
      <c r="C374" s="3" t="s">
        <v>2258</v>
      </c>
      <c r="D374" s="3" t="s">
        <v>2259</v>
      </c>
      <c r="E374" s="3">
        <v>0</v>
      </c>
      <c r="F374" s="3">
        <v>0.01</v>
      </c>
      <c r="G374" s="3">
        <v>0</v>
      </c>
      <c r="H374" s="3">
        <v>10574</v>
      </c>
      <c r="I374" s="3">
        <v>9962.7900000000009</v>
      </c>
      <c r="J374" s="3">
        <v>2.4521999999999999</v>
      </c>
      <c r="K374" s="2"/>
      <c r="U374" s="2"/>
      <c r="AE374" s="2"/>
      <c r="AO374" s="2"/>
      <c r="AY374" s="2"/>
      <c r="BI374" s="2"/>
      <c r="BS374" s="2"/>
      <c r="CC374" s="2"/>
      <c r="CM374" s="2"/>
      <c r="CW374" s="2"/>
    </row>
    <row r="375" spans="1:101" ht="13.5" customHeight="1" x14ac:dyDescent="0.3">
      <c r="A375" s="2">
        <v>46197</v>
      </c>
      <c r="B375" s="3" t="s">
        <v>2260</v>
      </c>
      <c r="C375" s="3" t="s">
        <v>151</v>
      </c>
      <c r="D375" s="3" t="s">
        <v>2261</v>
      </c>
      <c r="E375" s="3">
        <v>0</v>
      </c>
      <c r="F375" s="3">
        <v>0.01</v>
      </c>
      <c r="G375" s="3">
        <v>0</v>
      </c>
      <c r="H375" s="3">
        <v>10384</v>
      </c>
      <c r="I375" s="3">
        <v>9785.18</v>
      </c>
      <c r="J375" s="3">
        <v>2.4281999999999999</v>
      </c>
      <c r="K375" s="2"/>
      <c r="U375" s="2"/>
      <c r="AE375" s="2"/>
      <c r="AO375" s="2"/>
      <c r="AY375" s="2"/>
      <c r="BI375" s="2"/>
      <c r="BS375" s="2"/>
      <c r="CC375" s="2"/>
      <c r="CM375" s="2"/>
      <c r="CW375" s="2"/>
    </row>
    <row r="376" spans="1:101" ht="13.5" customHeight="1" x14ac:dyDescent="0.3">
      <c r="A376" s="2">
        <v>46197</v>
      </c>
      <c r="B376" s="3" t="s">
        <v>2262</v>
      </c>
      <c r="C376" s="3" t="s">
        <v>56</v>
      </c>
      <c r="D376" s="3" t="s">
        <v>2263</v>
      </c>
      <c r="E376" s="3">
        <v>0</v>
      </c>
      <c r="F376" s="3">
        <v>0.01</v>
      </c>
      <c r="G376" s="3">
        <v>0</v>
      </c>
      <c r="H376" s="3">
        <v>9556</v>
      </c>
      <c r="I376" s="3">
        <v>12005.05</v>
      </c>
      <c r="J376" s="3">
        <v>3.8675999999999999</v>
      </c>
      <c r="K376" s="2"/>
      <c r="U376" s="2"/>
      <c r="AE376" s="2"/>
      <c r="AO376" s="2"/>
      <c r="AY376" s="2"/>
      <c r="BI376" s="2"/>
      <c r="BS376" s="2"/>
      <c r="CC376" s="2"/>
      <c r="CM376" s="2"/>
      <c r="CW376" s="2"/>
    </row>
    <row r="377" spans="1:101" ht="13.5" customHeight="1" x14ac:dyDescent="0.3">
      <c r="A377" s="2">
        <v>46197</v>
      </c>
      <c r="B377" s="3" t="s">
        <v>2264</v>
      </c>
      <c r="C377" s="3" t="s">
        <v>1577</v>
      </c>
      <c r="D377" s="3" t="s">
        <v>2265</v>
      </c>
      <c r="E377" s="3">
        <v>0</v>
      </c>
      <c r="F377" s="3">
        <v>0.01</v>
      </c>
      <c r="G377" s="3">
        <v>0</v>
      </c>
      <c r="H377" s="3">
        <v>8655</v>
      </c>
      <c r="I377" s="3">
        <v>10874.04</v>
      </c>
      <c r="J377" s="3">
        <v>1.6799999999999999E-2</v>
      </c>
      <c r="K377" s="2"/>
      <c r="U377" s="2"/>
      <c r="AE377" s="2"/>
      <c r="AO377" s="2"/>
      <c r="AY377" s="2"/>
      <c r="BI377" s="2"/>
      <c r="BS377" s="2"/>
      <c r="CC377" s="2"/>
      <c r="CM377" s="2"/>
      <c r="CW377" s="2"/>
    </row>
    <row r="378" spans="1:101" ht="13.5" customHeight="1" x14ac:dyDescent="0.3">
      <c r="A378" s="2">
        <v>46197</v>
      </c>
      <c r="B378" s="3" t="s">
        <v>2266</v>
      </c>
      <c r="C378" s="3" t="s">
        <v>2267</v>
      </c>
      <c r="D378" s="3" t="s">
        <v>2268</v>
      </c>
      <c r="E378" s="3">
        <v>0</v>
      </c>
      <c r="F378" s="3">
        <v>0.01</v>
      </c>
      <c r="G378" s="3">
        <v>0</v>
      </c>
      <c r="H378" s="3">
        <v>7893</v>
      </c>
      <c r="I378" s="3">
        <v>9915.64</v>
      </c>
      <c r="J378" s="3">
        <v>1.5096000000000001</v>
      </c>
      <c r="K378" s="2"/>
      <c r="U378" s="2"/>
      <c r="AE378" s="2"/>
      <c r="AO378" s="2"/>
      <c r="AY378" s="2"/>
      <c r="BI378" s="2"/>
      <c r="BS378" s="2"/>
      <c r="CC378" s="2"/>
      <c r="CM378" s="2"/>
      <c r="CW378" s="2"/>
    </row>
    <row r="379" spans="1:101" ht="13.5" customHeight="1" x14ac:dyDescent="0.3">
      <c r="A379" s="2">
        <v>46197</v>
      </c>
      <c r="B379" s="3" t="s">
        <v>112</v>
      </c>
      <c r="C379" s="3" t="s">
        <v>113</v>
      </c>
      <c r="D379" s="3" t="s">
        <v>114</v>
      </c>
      <c r="E379" s="3">
        <v>0</v>
      </c>
      <c r="F379" s="3">
        <v>0.01</v>
      </c>
      <c r="G379" s="3">
        <v>0</v>
      </c>
      <c r="H379" s="3">
        <v>6569</v>
      </c>
      <c r="I379" s="3">
        <v>9904.17</v>
      </c>
      <c r="J379" s="3">
        <v>0.7016</v>
      </c>
      <c r="K379" s="2"/>
      <c r="U379" s="2"/>
      <c r="AE379" s="2"/>
      <c r="AO379" s="2"/>
      <c r="AY379" s="2"/>
      <c r="BI379" s="2"/>
      <c r="BS379" s="2"/>
      <c r="CC379" s="2"/>
      <c r="CM379" s="2"/>
      <c r="CW379" s="2"/>
    </row>
    <row r="380" spans="1:101" ht="13.5" customHeight="1" x14ac:dyDescent="0.3">
      <c r="A380" s="2">
        <v>46197</v>
      </c>
      <c r="B380" s="3" t="s">
        <v>2269</v>
      </c>
      <c r="C380" s="3" t="s">
        <v>569</v>
      </c>
      <c r="D380" s="3" t="s">
        <v>2270</v>
      </c>
      <c r="E380" s="3">
        <v>0</v>
      </c>
      <c r="F380" s="3">
        <v>0.01</v>
      </c>
      <c r="G380" s="3">
        <v>0</v>
      </c>
      <c r="H380" s="3">
        <v>5735</v>
      </c>
      <c r="I380" s="3">
        <v>10808.8</v>
      </c>
      <c r="J380" s="3">
        <v>0.26200000000000001</v>
      </c>
      <c r="K380" s="2"/>
      <c r="U380" s="2"/>
      <c r="AE380" s="2"/>
      <c r="AO380" s="2"/>
      <c r="AY380" s="2"/>
      <c r="BI380" s="2"/>
      <c r="BS380" s="2"/>
      <c r="CC380" s="2"/>
      <c r="CM380" s="2"/>
      <c r="CW380" s="2"/>
    </row>
    <row r="381" spans="1:101" ht="13.5" customHeight="1" x14ac:dyDescent="0.3">
      <c r="A381" s="2">
        <v>46197</v>
      </c>
      <c r="B381" s="3" t="s">
        <v>2271</v>
      </c>
      <c r="C381" s="3" t="s">
        <v>2272</v>
      </c>
      <c r="D381" s="3" t="s">
        <v>2273</v>
      </c>
      <c r="E381" s="3">
        <v>0</v>
      </c>
      <c r="F381" s="3">
        <v>0</v>
      </c>
      <c r="G381" s="3">
        <v>0</v>
      </c>
      <c r="H381" s="3">
        <v>5529</v>
      </c>
      <c r="I381" s="3">
        <v>10420.790000000001</v>
      </c>
      <c r="J381" s="3">
        <v>0.82330000000000003</v>
      </c>
      <c r="K381" s="2"/>
      <c r="U381" s="2"/>
      <c r="AE381" s="2"/>
      <c r="AO381" s="2"/>
      <c r="AY381" s="2"/>
      <c r="BI381" s="2"/>
      <c r="BS381" s="2"/>
      <c r="CC381" s="2"/>
      <c r="CM381" s="2"/>
      <c r="CW381" s="2"/>
    </row>
    <row r="382" spans="1:101" ht="13.5" customHeight="1" x14ac:dyDescent="0.3">
      <c r="A382" s="2">
        <v>46197</v>
      </c>
      <c r="B382" s="3" t="s">
        <v>2274</v>
      </c>
      <c r="C382" s="3" t="s">
        <v>29</v>
      </c>
      <c r="D382" s="3" t="s">
        <v>2275</v>
      </c>
      <c r="E382" s="3">
        <v>0</v>
      </c>
      <c r="F382" s="3">
        <v>0</v>
      </c>
      <c r="G382" s="3">
        <v>0</v>
      </c>
      <c r="H382" s="3">
        <v>2613</v>
      </c>
      <c r="I382" s="3">
        <v>9849.7000000000007</v>
      </c>
      <c r="J382" s="3">
        <v>1.4205000000000001</v>
      </c>
      <c r="K382" s="2"/>
      <c r="U382" s="2"/>
      <c r="AE382" s="2"/>
      <c r="AO382" s="2"/>
      <c r="AY382" s="2"/>
      <c r="BI382" s="2"/>
      <c r="BS382" s="2"/>
      <c r="CC382" s="2"/>
      <c r="CM382" s="2"/>
      <c r="CW382" s="2"/>
    </row>
    <row r="383" spans="1:101" ht="13.5" customHeight="1" x14ac:dyDescent="0.3">
      <c r="A383" s="2">
        <v>46197</v>
      </c>
      <c r="B383" s="3" t="s">
        <v>1679</v>
      </c>
      <c r="C383" s="3" t="s">
        <v>913</v>
      </c>
      <c r="D383" s="3" t="s">
        <v>1680</v>
      </c>
      <c r="E383" s="3">
        <v>0</v>
      </c>
      <c r="F383" s="3">
        <v>0</v>
      </c>
      <c r="G383" s="3">
        <v>0</v>
      </c>
      <c r="H383" s="3">
        <v>1875</v>
      </c>
      <c r="I383" s="3">
        <v>10099.98</v>
      </c>
      <c r="J383" s="3">
        <v>5.0834999999999999</v>
      </c>
      <c r="K383" s="2"/>
      <c r="U383" s="2"/>
      <c r="AE383" s="2"/>
      <c r="AO383" s="2"/>
      <c r="AY383" s="2"/>
      <c r="BI383" s="2"/>
      <c r="BS383" s="2"/>
      <c r="CC383" s="2"/>
      <c r="CM383" s="2"/>
      <c r="CW383" s="2"/>
    </row>
    <row r="384" spans="1:101" ht="13.5" customHeight="1" x14ac:dyDescent="0.3">
      <c r="A384" s="2">
        <v>46197</v>
      </c>
      <c r="B384" s="3" t="s">
        <v>1706</v>
      </c>
      <c r="C384" s="3" t="s">
        <v>1707</v>
      </c>
      <c r="D384" s="3" t="s">
        <v>1708</v>
      </c>
      <c r="E384" s="3">
        <v>0</v>
      </c>
      <c r="F384" s="3">
        <v>0</v>
      </c>
      <c r="G384" s="3">
        <v>0</v>
      </c>
      <c r="H384" s="3">
        <v>765</v>
      </c>
      <c r="I384" s="3">
        <v>9611.82</v>
      </c>
      <c r="J384" s="3">
        <v>2.0234999999999999</v>
      </c>
      <c r="K384" s="2"/>
      <c r="U384" s="2"/>
      <c r="AE384" s="2"/>
      <c r="AO384" s="2"/>
      <c r="AY384" s="2"/>
      <c r="BI384" s="2"/>
      <c r="BS384" s="2"/>
      <c r="CC384" s="2"/>
      <c r="CM384" s="2"/>
      <c r="CW384" s="2"/>
    </row>
    <row r="385" spans="1:101" ht="13.5" customHeight="1" x14ac:dyDescent="0.3">
      <c r="A385" s="2">
        <v>46197</v>
      </c>
      <c r="B385" s="3" t="s">
        <v>1714</v>
      </c>
      <c r="C385" s="3" t="s">
        <v>29</v>
      </c>
      <c r="D385" s="3" t="s">
        <v>1715</v>
      </c>
      <c r="E385" s="3">
        <v>0</v>
      </c>
      <c r="F385" s="3">
        <v>0</v>
      </c>
      <c r="G385" s="3">
        <v>0</v>
      </c>
      <c r="H385" s="3">
        <v>550</v>
      </c>
      <c r="I385" s="3">
        <v>6919.91</v>
      </c>
      <c r="J385" s="3">
        <v>11.769500000000001</v>
      </c>
      <c r="K385" s="2"/>
      <c r="U385" s="2"/>
      <c r="AE385" s="2"/>
      <c r="AO385" s="2"/>
      <c r="AY385" s="2"/>
      <c r="BI385" s="2"/>
      <c r="BS385" s="2"/>
      <c r="CC385" s="2"/>
      <c r="CM385" s="2"/>
      <c r="CW385" s="2"/>
    </row>
    <row r="386" spans="1:101" ht="13.5" customHeight="1" x14ac:dyDescent="0.3">
      <c r="A386" s="2">
        <v>46197</v>
      </c>
      <c r="B386" s="3" t="s">
        <v>7</v>
      </c>
      <c r="C386" s="3" t="s">
        <v>7</v>
      </c>
      <c r="D386" s="3" t="s">
        <v>46</v>
      </c>
      <c r="F386" s="3">
        <v>4.63</v>
      </c>
      <c r="H386" s="3">
        <v>5159948</v>
      </c>
      <c r="K386" s="2"/>
      <c r="U386" s="2"/>
      <c r="AE386" s="2"/>
      <c r="AO386" s="2"/>
      <c r="AY386" s="2"/>
      <c r="BI386" s="2"/>
      <c r="BS386" s="2"/>
      <c r="CC386" s="2"/>
      <c r="CM386" s="2"/>
      <c r="CW386" s="2"/>
    </row>
    <row r="387" spans="1:101" ht="13.5" customHeight="1" x14ac:dyDescent="0.3">
      <c r="A387" s="2"/>
      <c r="K387" s="2"/>
      <c r="U387" s="2"/>
      <c r="AE387" s="2"/>
      <c r="AO387" s="2"/>
      <c r="AY387" s="2"/>
      <c r="BI387" s="2"/>
      <c r="BS387" s="2"/>
      <c r="CC387" s="2"/>
      <c r="CM387" s="2"/>
      <c r="CW387" s="2"/>
    </row>
    <row r="388" spans="1:101" ht="13.5" customHeight="1" x14ac:dyDescent="0.3">
      <c r="A388" s="2"/>
      <c r="K388" s="2"/>
      <c r="U388" s="2"/>
      <c r="AE388" s="2"/>
      <c r="AO388" s="2"/>
      <c r="AY388" s="2"/>
      <c r="BI388" s="2"/>
      <c r="BS388" s="2"/>
      <c r="CC388" s="2"/>
      <c r="CM388" s="2"/>
      <c r="CW388" s="2"/>
    </row>
    <row r="389" spans="1:101" ht="13.5" customHeight="1" x14ac:dyDescent="0.3">
      <c r="A389" s="2"/>
      <c r="K389" s="2"/>
      <c r="U389" s="2"/>
      <c r="AE389" s="2"/>
      <c r="AO389" s="2"/>
      <c r="AY389" s="2"/>
      <c r="BI389" s="2"/>
      <c r="BS389" s="2"/>
      <c r="CC389" s="2"/>
      <c r="CM389" s="2"/>
      <c r="CW389" s="2"/>
    </row>
    <row r="390" spans="1:101" ht="13.5" customHeight="1" x14ac:dyDescent="0.3">
      <c r="A390" s="2"/>
      <c r="K390" s="2"/>
      <c r="U390" s="2"/>
      <c r="AE390" s="2"/>
      <c r="AO390" s="2"/>
      <c r="AY390" s="2"/>
      <c r="BI390" s="2"/>
      <c r="BS390" s="2"/>
      <c r="CC390" s="2"/>
      <c r="CM390" s="2"/>
      <c r="CW390" s="2"/>
    </row>
    <row r="391" spans="1:101" ht="13.5" customHeight="1" x14ac:dyDescent="0.3">
      <c r="A391" s="2"/>
      <c r="K391" s="2"/>
      <c r="U391" s="2"/>
      <c r="AE391" s="2"/>
      <c r="AO391" s="2"/>
      <c r="AY391" s="2"/>
      <c r="BI391" s="2"/>
      <c r="BS391" s="2"/>
      <c r="CC391" s="2"/>
      <c r="CM391" s="2"/>
      <c r="CW391" s="2"/>
    </row>
    <row r="392" spans="1:101" ht="13.5" customHeight="1" x14ac:dyDescent="0.3">
      <c r="A392" s="2"/>
      <c r="K392" s="2"/>
      <c r="U392" s="2"/>
      <c r="AE392" s="2"/>
      <c r="AO392" s="2"/>
      <c r="AY392" s="2"/>
      <c r="BI392" s="2"/>
      <c r="BS392" s="2"/>
      <c r="CC392" s="2"/>
      <c r="CM392" s="2"/>
      <c r="CW392" s="2"/>
    </row>
    <row r="393" spans="1:101" ht="13.5" customHeight="1" x14ac:dyDescent="0.3">
      <c r="A393" s="2"/>
      <c r="K393" s="2"/>
      <c r="U393" s="2"/>
      <c r="AE393" s="2"/>
      <c r="AO393" s="2"/>
      <c r="AY393" s="2"/>
      <c r="BI393" s="2"/>
      <c r="BS393" s="2"/>
      <c r="CC393" s="2"/>
      <c r="CM393" s="2"/>
      <c r="CW393" s="2"/>
    </row>
    <row r="394" spans="1:101" ht="13.5" customHeight="1" x14ac:dyDescent="0.3">
      <c r="A394" s="2"/>
      <c r="K394" s="2"/>
      <c r="U394" s="2"/>
      <c r="AE394" s="2"/>
      <c r="AO394" s="2"/>
      <c r="AY394" s="2"/>
      <c r="BI394" s="2"/>
      <c r="BS394" s="2"/>
      <c r="CC394" s="2"/>
      <c r="CM394" s="2"/>
      <c r="CW394" s="2"/>
    </row>
    <row r="395" spans="1:101" ht="13.5" customHeight="1" x14ac:dyDescent="0.3">
      <c r="A395" s="2"/>
      <c r="K395" s="2"/>
      <c r="U395" s="2"/>
      <c r="AE395" s="2"/>
      <c r="AO395" s="2"/>
      <c r="AY395" s="2"/>
      <c r="BI395" s="2"/>
      <c r="BS395" s="2"/>
      <c r="CC395" s="2"/>
      <c r="CM395" s="2"/>
      <c r="CW395" s="2"/>
    </row>
    <row r="396" spans="1:101" ht="13.5" customHeight="1" x14ac:dyDescent="0.3">
      <c r="A396" s="2"/>
      <c r="K396" s="2"/>
      <c r="U396" s="2"/>
      <c r="AE396" s="2"/>
      <c r="AO396" s="2"/>
      <c r="AY396" s="2"/>
      <c r="BI396" s="2"/>
      <c r="BS396" s="2"/>
      <c r="CC396" s="2"/>
      <c r="CM396" s="2"/>
      <c r="CW396" s="2"/>
    </row>
    <row r="397" spans="1:101" ht="13.5" customHeight="1" x14ac:dyDescent="0.3">
      <c r="A397" s="2"/>
      <c r="K397" s="2"/>
      <c r="U397" s="2"/>
      <c r="AE397" s="2"/>
      <c r="AO397" s="2"/>
      <c r="AY397" s="2"/>
      <c r="BI397" s="2"/>
      <c r="BS397" s="2"/>
      <c r="CC397" s="2"/>
      <c r="CM397" s="2"/>
      <c r="CW397" s="2"/>
    </row>
    <row r="398" spans="1:101" ht="13.5" customHeight="1" x14ac:dyDescent="0.3">
      <c r="A398" s="2"/>
      <c r="K398" s="2"/>
      <c r="U398" s="2"/>
      <c r="AE398" s="2"/>
      <c r="AO398" s="2"/>
      <c r="AY398" s="2"/>
      <c r="BI398" s="2"/>
      <c r="BS398" s="2"/>
      <c r="CC398" s="2"/>
      <c r="CM398" s="2"/>
      <c r="CW398" s="2"/>
    </row>
    <row r="399" spans="1:101" ht="13.5" customHeight="1" x14ac:dyDescent="0.3">
      <c r="A399" s="2"/>
      <c r="K399" s="2"/>
      <c r="U399" s="2"/>
      <c r="AE399" s="2"/>
      <c r="AO399" s="2"/>
      <c r="AY399" s="2"/>
      <c r="BI399" s="2"/>
      <c r="BS399" s="2"/>
      <c r="CC399" s="2"/>
      <c r="CM399" s="2"/>
      <c r="CW399" s="2"/>
    </row>
    <row r="400" spans="1:101" ht="13.5" customHeight="1" x14ac:dyDescent="0.3">
      <c r="A400" s="2"/>
      <c r="K400" s="2"/>
      <c r="U400" s="2"/>
      <c r="AE400" s="2"/>
      <c r="AO400" s="2"/>
      <c r="AY400" s="2"/>
      <c r="BI400" s="2"/>
      <c r="BS400" s="2"/>
      <c r="CC400" s="2"/>
      <c r="CM400" s="2"/>
      <c r="CW400" s="2"/>
    </row>
    <row r="401" spans="1:101" ht="13.5" customHeight="1" x14ac:dyDescent="0.3">
      <c r="A401" s="2"/>
      <c r="K401" s="2"/>
      <c r="U401" s="2"/>
      <c r="AE401" s="2"/>
      <c r="AO401" s="2"/>
      <c r="AY401" s="2"/>
      <c r="BI401" s="2"/>
      <c r="BS401" s="2"/>
      <c r="CC401" s="2"/>
      <c r="CM401" s="2"/>
      <c r="CW401" s="2"/>
    </row>
    <row r="402" spans="1:101" ht="13.5" customHeight="1" x14ac:dyDescent="0.3">
      <c r="A402" s="2"/>
      <c r="K402" s="2"/>
      <c r="U402" s="2"/>
      <c r="AE402" s="2"/>
      <c r="AO402" s="2"/>
      <c r="AY402" s="2"/>
      <c r="BI402" s="2"/>
      <c r="BS402" s="2"/>
      <c r="CC402" s="2"/>
      <c r="CM402" s="2"/>
      <c r="CW402" s="2"/>
    </row>
    <row r="403" spans="1:101" ht="13.5" customHeight="1" x14ac:dyDescent="0.3">
      <c r="A403" s="2"/>
      <c r="K403" s="2"/>
      <c r="U403" s="2"/>
      <c r="AE403" s="2"/>
      <c r="AO403" s="2"/>
      <c r="AY403" s="2"/>
      <c r="BI403" s="2"/>
      <c r="BS403" s="2"/>
      <c r="CC403" s="2"/>
      <c r="CM403" s="2"/>
      <c r="CW403" s="2"/>
    </row>
    <row r="404" spans="1:101" ht="13.5" customHeight="1" x14ac:dyDescent="0.3">
      <c r="A404" s="2"/>
      <c r="K404" s="2"/>
      <c r="U404" s="2"/>
      <c r="AE404" s="2"/>
      <c r="AO404" s="2"/>
      <c r="AY404" s="2"/>
      <c r="BI404" s="2"/>
      <c r="BS404" s="2"/>
      <c r="CC404" s="2"/>
      <c r="CM404" s="2"/>
      <c r="CW404" s="2"/>
    </row>
    <row r="405" spans="1:101" ht="13.5" customHeight="1" x14ac:dyDescent="0.3">
      <c r="A405" s="2"/>
      <c r="K405" s="2"/>
      <c r="U405" s="2"/>
      <c r="AE405" s="2"/>
      <c r="AO405" s="2"/>
      <c r="AY405" s="2"/>
      <c r="BI405" s="2"/>
      <c r="BS405" s="2"/>
      <c r="CC405" s="2"/>
      <c r="CM405" s="2"/>
      <c r="CW405" s="2"/>
    </row>
    <row r="406" spans="1:101" ht="13.5" customHeight="1" x14ac:dyDescent="0.3">
      <c r="A406" s="2"/>
      <c r="K406" s="2"/>
      <c r="U406" s="2"/>
      <c r="AE406" s="2"/>
      <c r="AO406" s="2"/>
      <c r="AY406" s="2"/>
      <c r="BI406" s="2"/>
      <c r="BS406" s="2"/>
      <c r="CC406" s="2"/>
      <c r="CM406" s="2"/>
      <c r="CW406" s="2"/>
    </row>
    <row r="407" spans="1:101" ht="13.5" customHeight="1" x14ac:dyDescent="0.3">
      <c r="A407" s="2"/>
      <c r="K407" s="2"/>
      <c r="U407" s="2"/>
      <c r="AE407" s="2"/>
      <c r="AO407" s="2"/>
      <c r="AY407" s="2"/>
      <c r="BI407" s="2"/>
      <c r="BS407" s="2"/>
      <c r="CC407" s="2"/>
      <c r="CM407" s="2"/>
      <c r="CW407" s="2"/>
    </row>
    <row r="408" spans="1:101" ht="13.5" customHeight="1" x14ac:dyDescent="0.3">
      <c r="A408" s="2"/>
      <c r="K408" s="2"/>
      <c r="U408" s="2"/>
      <c r="AE408" s="2"/>
      <c r="AO408" s="2"/>
      <c r="AY408" s="2"/>
      <c r="BI408" s="2"/>
      <c r="BS408" s="2"/>
      <c r="CC408" s="2"/>
      <c r="CM408" s="2"/>
      <c r="CW408" s="2"/>
    </row>
    <row r="409" spans="1:101" ht="13.5" customHeight="1" x14ac:dyDescent="0.3">
      <c r="A409" s="2"/>
      <c r="K409" s="2"/>
      <c r="U409" s="2"/>
      <c r="AE409" s="2"/>
      <c r="AO409" s="2"/>
      <c r="AY409" s="2"/>
      <c r="BI409" s="2"/>
      <c r="BS409" s="2"/>
      <c r="CC409" s="2"/>
      <c r="CM409" s="2"/>
      <c r="CW409" s="2"/>
    </row>
    <row r="410" spans="1:101" ht="13.5" customHeight="1" x14ac:dyDescent="0.3">
      <c r="A410" s="2"/>
      <c r="K410" s="2"/>
      <c r="U410" s="2"/>
      <c r="AE410" s="2"/>
      <c r="AO410" s="2"/>
      <c r="AY410" s="2"/>
      <c r="BI410" s="2"/>
      <c r="BS410" s="2"/>
      <c r="CC410" s="2"/>
      <c r="CM410" s="2"/>
      <c r="CW410" s="2"/>
    </row>
    <row r="411" spans="1:101" ht="13.5" customHeight="1" x14ac:dyDescent="0.3">
      <c r="A411" s="2"/>
      <c r="K411" s="2"/>
      <c r="U411" s="2"/>
      <c r="AE411" s="2"/>
      <c r="AO411" s="2"/>
      <c r="AY411" s="2"/>
      <c r="BI411" s="2"/>
      <c r="BS411" s="2"/>
      <c r="CC411" s="2"/>
      <c r="CM411" s="2"/>
      <c r="CW411" s="2"/>
    </row>
    <row r="412" spans="1:101" ht="13.5" customHeight="1" x14ac:dyDescent="0.3">
      <c r="A412" s="2"/>
      <c r="K412" s="2"/>
      <c r="U412" s="2"/>
      <c r="AE412" s="2"/>
      <c r="AO412" s="2"/>
      <c r="AY412" s="2"/>
      <c r="BI412" s="2"/>
      <c r="BS412" s="2"/>
      <c r="CC412" s="2"/>
      <c r="CM412" s="2"/>
      <c r="CW412" s="2"/>
    </row>
    <row r="413" spans="1:101" ht="13.5" customHeight="1" x14ac:dyDescent="0.3">
      <c r="A413" s="2"/>
      <c r="K413" s="2"/>
      <c r="U413" s="2"/>
      <c r="AE413" s="2"/>
      <c r="AO413" s="2"/>
      <c r="AY413" s="2"/>
      <c r="BI413" s="2"/>
      <c r="BS413" s="2"/>
      <c r="CC413" s="2"/>
      <c r="CM413" s="2"/>
      <c r="CW413" s="2"/>
    </row>
    <row r="414" spans="1:101" ht="13.5" customHeight="1" x14ac:dyDescent="0.3">
      <c r="A414" s="2"/>
      <c r="K414" s="2"/>
      <c r="U414" s="2"/>
      <c r="AE414" s="2"/>
      <c r="AO414" s="2"/>
      <c r="AY414" s="2"/>
      <c r="BI414" s="2"/>
      <c r="BS414" s="2"/>
      <c r="CC414" s="2"/>
      <c r="CM414" s="2"/>
      <c r="CW414" s="2"/>
    </row>
    <row r="415" spans="1:101" ht="13.5" customHeight="1" x14ac:dyDescent="0.3">
      <c r="A415" s="2"/>
      <c r="K415" s="2"/>
      <c r="U415" s="2"/>
      <c r="AE415" s="2"/>
      <c r="AO415" s="2"/>
      <c r="AY415" s="2"/>
      <c r="BI415" s="2"/>
      <c r="BS415" s="2"/>
      <c r="CC415" s="2"/>
      <c r="CM415" s="2"/>
      <c r="CW415" s="2"/>
    </row>
    <row r="416" spans="1:101" ht="13.5" customHeight="1" x14ac:dyDescent="0.3">
      <c r="A416" s="2"/>
      <c r="K416" s="2"/>
      <c r="U416" s="2"/>
      <c r="AE416" s="2"/>
      <c r="AO416" s="2"/>
      <c r="AY416" s="2"/>
      <c r="BI416" s="2"/>
      <c r="BS416" s="2"/>
      <c r="CC416" s="2"/>
      <c r="CM416" s="2"/>
      <c r="CW416" s="2"/>
    </row>
    <row r="417" spans="1:101" ht="13.5" customHeight="1" x14ac:dyDescent="0.3">
      <c r="A417" s="2"/>
      <c r="K417" s="2"/>
      <c r="U417" s="2"/>
      <c r="AE417" s="2"/>
      <c r="AO417" s="2"/>
      <c r="AY417" s="2"/>
      <c r="BI417" s="2"/>
      <c r="BS417" s="2"/>
      <c r="CC417" s="2"/>
      <c r="CM417" s="2"/>
      <c r="CW417" s="2"/>
    </row>
    <row r="418" spans="1:101" ht="13.5" customHeight="1" x14ac:dyDescent="0.3">
      <c r="A418" s="2"/>
      <c r="K418" s="2"/>
      <c r="U418" s="2"/>
      <c r="AE418" s="2"/>
      <c r="AO418" s="2"/>
      <c r="AY418" s="2"/>
      <c r="BI418" s="2"/>
      <c r="BS418" s="2"/>
      <c r="CC418" s="2"/>
      <c r="CM418" s="2"/>
      <c r="CW418" s="2"/>
    </row>
    <row r="419" spans="1:101" ht="13.5" customHeight="1" x14ac:dyDescent="0.3">
      <c r="A419" s="2"/>
      <c r="K419" s="2"/>
      <c r="U419" s="2"/>
      <c r="AE419" s="2"/>
      <c r="AO419" s="2"/>
      <c r="AY419" s="2"/>
      <c r="BI419" s="2"/>
      <c r="BS419" s="2"/>
      <c r="CC419" s="2"/>
      <c r="CM419" s="2"/>
      <c r="CW419" s="2"/>
    </row>
    <row r="420" spans="1:101" ht="13.5" customHeight="1" x14ac:dyDescent="0.3">
      <c r="A420" s="2"/>
      <c r="K420" s="2"/>
      <c r="U420" s="2"/>
      <c r="AE420" s="2"/>
      <c r="AO420" s="2"/>
      <c r="AY420" s="2"/>
      <c r="BI420" s="2"/>
      <c r="BS420" s="2"/>
      <c r="CC420" s="2"/>
      <c r="CM420" s="2"/>
      <c r="CW420" s="2"/>
    </row>
    <row r="421" spans="1:101" ht="13.5" customHeight="1" x14ac:dyDescent="0.3">
      <c r="A421" s="2"/>
      <c r="K421" s="2"/>
      <c r="U421" s="2"/>
      <c r="AE421" s="2"/>
      <c r="AO421" s="2"/>
      <c r="AY421" s="2"/>
      <c r="BI421" s="2"/>
      <c r="BS421" s="2"/>
      <c r="CC421" s="2"/>
      <c r="CM421" s="2"/>
      <c r="CW421" s="2"/>
    </row>
    <row r="422" spans="1:101" ht="13.5" customHeight="1" x14ac:dyDescent="0.3">
      <c r="A422" s="2"/>
      <c r="K422" s="2"/>
      <c r="U422" s="2"/>
      <c r="AE422" s="2"/>
      <c r="AO422" s="2"/>
      <c r="AY422" s="2"/>
      <c r="BI422" s="2"/>
      <c r="BS422" s="2"/>
      <c r="CC422" s="2"/>
      <c r="CM422" s="2"/>
      <c r="CW422" s="2"/>
    </row>
    <row r="423" spans="1:101" ht="13.5" customHeight="1" x14ac:dyDescent="0.3">
      <c r="A423" s="2"/>
      <c r="K423" s="2"/>
      <c r="U423" s="2"/>
      <c r="AE423" s="2"/>
      <c r="AO423" s="2"/>
      <c r="AY423" s="2"/>
      <c r="BI423" s="2"/>
      <c r="BS423" s="2"/>
      <c r="CC423" s="2"/>
      <c r="CM423" s="2"/>
      <c r="CW423" s="2"/>
    </row>
    <row r="424" spans="1:101" ht="13.5" customHeight="1" x14ac:dyDescent="0.3">
      <c r="A424" s="2"/>
      <c r="K424" s="2"/>
      <c r="U424" s="2"/>
      <c r="AE424" s="2"/>
      <c r="AO424" s="2"/>
      <c r="AY424" s="2"/>
      <c r="BI424" s="2"/>
      <c r="BS424" s="2"/>
      <c r="CC424" s="2"/>
      <c r="CM424" s="2"/>
      <c r="CW424" s="2"/>
    </row>
    <row r="425" spans="1:101" ht="13.5" customHeight="1" x14ac:dyDescent="0.3">
      <c r="A425" s="2"/>
      <c r="K425" s="2"/>
      <c r="U425" s="2"/>
      <c r="AE425" s="2"/>
      <c r="AO425" s="2"/>
      <c r="AY425" s="2"/>
      <c r="BI425" s="2"/>
      <c r="BS425" s="2"/>
      <c r="CC425" s="2"/>
      <c r="CM425" s="2"/>
      <c r="CW425" s="2"/>
    </row>
    <row r="426" spans="1:101" ht="13.5" customHeight="1" x14ac:dyDescent="0.3">
      <c r="A426" s="2"/>
      <c r="K426" s="2"/>
      <c r="U426" s="2"/>
      <c r="AE426" s="2"/>
      <c r="AO426" s="2"/>
      <c r="AY426" s="2"/>
      <c r="BI426" s="2"/>
      <c r="BS426" s="2"/>
      <c r="CC426" s="2"/>
      <c r="CM426" s="2"/>
      <c r="CW426" s="2"/>
    </row>
    <row r="427" spans="1:101" ht="13.5" customHeight="1" x14ac:dyDescent="0.3">
      <c r="A427" s="2"/>
      <c r="K427" s="2"/>
      <c r="U427" s="2"/>
      <c r="AE427" s="2"/>
      <c r="AO427" s="2"/>
      <c r="AY427" s="2"/>
      <c r="BI427" s="2"/>
      <c r="BS427" s="2"/>
      <c r="CC427" s="2"/>
      <c r="CM427" s="2"/>
      <c r="CW427" s="2"/>
    </row>
    <row r="428" spans="1:101" ht="13.5" customHeight="1" x14ac:dyDescent="0.3">
      <c r="A428" s="2"/>
      <c r="K428" s="2"/>
      <c r="U428" s="2"/>
      <c r="AE428" s="2"/>
      <c r="AO428" s="2"/>
      <c r="AY428" s="2"/>
      <c r="BI428" s="2"/>
      <c r="BS428" s="2"/>
      <c r="CC428" s="2"/>
      <c r="CM428" s="2"/>
      <c r="CW428" s="2"/>
    </row>
    <row r="429" spans="1:101" ht="13.5" customHeight="1" x14ac:dyDescent="0.3">
      <c r="A429" s="2"/>
      <c r="K429" s="2"/>
      <c r="U429" s="2"/>
      <c r="AE429" s="2"/>
      <c r="AO429" s="2"/>
      <c r="AY429" s="2"/>
      <c r="BI429" s="2"/>
      <c r="BS429" s="2"/>
      <c r="CC429" s="2"/>
      <c r="CM429" s="2"/>
      <c r="CW429" s="2"/>
    </row>
    <row r="430" spans="1:101" ht="13.5" customHeight="1" x14ac:dyDescent="0.3">
      <c r="A430" s="2"/>
      <c r="K430" s="2"/>
      <c r="U430" s="2"/>
      <c r="AE430" s="2"/>
      <c r="AO430" s="2"/>
      <c r="AY430" s="2"/>
      <c r="BI430" s="2"/>
      <c r="BS430" s="2"/>
      <c r="CC430" s="2"/>
      <c r="CM430" s="2"/>
      <c r="CW430" s="2"/>
    </row>
    <row r="431" spans="1:101" ht="13.5" customHeight="1" x14ac:dyDescent="0.3">
      <c r="A431" s="2"/>
      <c r="K431" s="2"/>
      <c r="U431" s="2"/>
      <c r="AE431" s="2"/>
      <c r="AO431" s="2"/>
      <c r="AY431" s="2"/>
      <c r="BI431" s="2"/>
      <c r="BS431" s="2"/>
      <c r="CC431" s="2"/>
      <c r="CM431" s="2"/>
      <c r="CW431" s="2"/>
    </row>
    <row r="432" spans="1:101" ht="13.5" customHeight="1" x14ac:dyDescent="0.3">
      <c r="A432" s="2"/>
      <c r="K432" s="2"/>
      <c r="U432" s="2"/>
      <c r="AE432" s="2"/>
      <c r="AO432" s="2"/>
      <c r="AY432" s="2"/>
      <c r="BI432" s="2"/>
      <c r="BS432" s="2"/>
      <c r="CC432" s="2"/>
      <c r="CM432" s="2"/>
      <c r="CW432" s="2"/>
    </row>
    <row r="433" spans="1:101" ht="13.5" customHeight="1" x14ac:dyDescent="0.3">
      <c r="A433" s="2"/>
      <c r="K433" s="2"/>
      <c r="U433" s="2"/>
      <c r="AE433" s="2"/>
      <c r="AO433" s="2"/>
      <c r="AY433" s="2"/>
      <c r="BI433" s="2"/>
      <c r="BS433" s="2"/>
      <c r="CC433" s="2"/>
      <c r="CM433" s="2"/>
      <c r="CW433" s="2"/>
    </row>
    <row r="434" spans="1:101" ht="13.5" customHeight="1" x14ac:dyDescent="0.3">
      <c r="A434" s="2"/>
      <c r="K434" s="2"/>
      <c r="U434" s="2"/>
      <c r="AE434" s="2"/>
      <c r="AO434" s="2"/>
      <c r="AY434" s="2"/>
      <c r="BI434" s="2"/>
      <c r="BS434" s="2"/>
      <c r="CC434" s="2"/>
      <c r="CM434" s="2"/>
      <c r="CW434" s="2"/>
    </row>
    <row r="435" spans="1:101" ht="13.5" customHeight="1" x14ac:dyDescent="0.3">
      <c r="A435" s="2"/>
      <c r="K435" s="2"/>
      <c r="U435" s="2"/>
      <c r="AE435" s="2"/>
      <c r="AO435" s="2"/>
      <c r="AY435" s="2"/>
      <c r="BI435" s="2"/>
      <c r="BS435" s="2"/>
      <c r="CC435" s="2"/>
      <c r="CM435" s="2"/>
      <c r="CW435" s="2"/>
    </row>
    <row r="436" spans="1:101" ht="13.5" customHeight="1" x14ac:dyDescent="0.3">
      <c r="A436" s="2"/>
      <c r="K436" s="2"/>
      <c r="U436" s="2"/>
      <c r="AE436" s="2"/>
      <c r="AO436" s="2"/>
      <c r="AY436" s="2"/>
      <c r="BI436" s="2"/>
      <c r="BS436" s="2"/>
      <c r="CC436" s="2"/>
      <c r="CM436" s="2"/>
      <c r="CW436" s="2"/>
    </row>
    <row r="437" spans="1:101" ht="13.5" customHeight="1" x14ac:dyDescent="0.3">
      <c r="A437" s="2"/>
      <c r="K437" s="2"/>
      <c r="U437" s="2"/>
      <c r="AE437" s="2"/>
      <c r="AO437" s="2"/>
      <c r="AY437" s="2"/>
      <c r="BI437" s="2"/>
      <c r="BS437" s="2"/>
      <c r="CC437" s="2"/>
      <c r="CM437" s="2"/>
      <c r="CW437" s="2"/>
    </row>
    <row r="438" spans="1:101" ht="13.5" customHeight="1" x14ac:dyDescent="0.3">
      <c r="A438" s="2"/>
      <c r="K438" s="2"/>
      <c r="U438" s="2"/>
      <c r="AE438" s="2"/>
      <c r="AO438" s="2"/>
      <c r="AY438" s="2"/>
      <c r="BI438" s="2"/>
      <c r="BS438" s="2"/>
      <c r="CC438" s="2"/>
      <c r="CM438" s="2"/>
      <c r="CW438" s="2"/>
    </row>
    <row r="439" spans="1:101" ht="13.5" customHeight="1" x14ac:dyDescent="0.3">
      <c r="A439" s="2"/>
      <c r="K439" s="2"/>
      <c r="U439" s="2"/>
      <c r="AE439" s="2"/>
      <c r="AO439" s="2"/>
      <c r="AY439" s="2"/>
      <c r="BI439" s="2"/>
      <c r="BS439" s="2"/>
      <c r="CC439" s="2"/>
      <c r="CM439" s="2"/>
      <c r="CW439" s="2"/>
    </row>
    <row r="440" spans="1:101" ht="13.5" customHeight="1" x14ac:dyDescent="0.3">
      <c r="A440" s="2"/>
      <c r="K440" s="2"/>
      <c r="U440" s="2"/>
      <c r="AE440" s="2"/>
      <c r="AO440" s="2"/>
      <c r="AY440" s="2"/>
      <c r="BI440" s="2"/>
      <c r="BS440" s="2"/>
      <c r="CC440" s="2"/>
      <c r="CM440" s="2"/>
      <c r="CW440" s="2"/>
    </row>
    <row r="441" spans="1:101" ht="13.5" customHeight="1" x14ac:dyDescent="0.3">
      <c r="A441" s="2"/>
      <c r="K441" s="2"/>
      <c r="U441" s="2"/>
      <c r="AE441" s="2"/>
      <c r="AO441" s="2"/>
      <c r="AY441" s="2"/>
      <c r="BI441" s="2"/>
      <c r="BS441" s="2"/>
      <c r="CC441" s="2"/>
      <c r="CM441" s="2"/>
      <c r="CW441" s="2"/>
    </row>
    <row r="442" spans="1:101" ht="13.5" customHeight="1" x14ac:dyDescent="0.3">
      <c r="A442" s="2"/>
      <c r="K442" s="2"/>
      <c r="U442" s="2"/>
      <c r="AE442" s="2"/>
      <c r="AO442" s="2"/>
      <c r="AY442" s="2"/>
      <c r="BI442" s="2"/>
      <c r="BS442" s="2"/>
      <c r="CC442" s="2"/>
      <c r="CM442" s="2"/>
      <c r="CW442" s="2"/>
    </row>
    <row r="443" spans="1:101" ht="13.5" customHeight="1" x14ac:dyDescent="0.3">
      <c r="A443" s="2"/>
      <c r="K443" s="2"/>
      <c r="U443" s="2"/>
      <c r="AE443" s="2"/>
      <c r="AO443" s="2"/>
      <c r="AY443" s="2"/>
      <c r="BI443" s="2"/>
      <c r="BS443" s="2"/>
      <c r="CC443" s="2"/>
      <c r="CM443" s="2"/>
      <c r="CW443" s="2"/>
    </row>
    <row r="444" spans="1:101" ht="13.5" customHeight="1" x14ac:dyDescent="0.3">
      <c r="A444" s="2"/>
      <c r="K444" s="2"/>
      <c r="U444" s="2"/>
      <c r="AE444" s="2"/>
      <c r="AO444" s="2"/>
      <c r="AY444" s="2"/>
      <c r="BI444" s="2"/>
      <c r="BS444" s="2"/>
      <c r="CC444" s="2"/>
      <c r="CM444" s="2"/>
      <c r="CW444" s="2"/>
    </row>
    <row r="445" spans="1:101" ht="13.5" customHeight="1" x14ac:dyDescent="0.3">
      <c r="A445" s="2"/>
      <c r="K445" s="2"/>
      <c r="U445" s="2"/>
      <c r="AE445" s="2"/>
      <c r="AO445" s="2"/>
      <c r="AY445" s="2"/>
      <c r="BI445" s="2"/>
      <c r="BS445" s="2"/>
      <c r="CC445" s="2"/>
      <c r="CM445" s="2"/>
      <c r="CW445" s="2"/>
    </row>
    <row r="446" spans="1:101" ht="13.5" customHeight="1" x14ac:dyDescent="0.3">
      <c r="A446" s="2"/>
      <c r="K446" s="2"/>
      <c r="U446" s="2"/>
      <c r="AE446" s="2"/>
      <c r="AO446" s="2"/>
      <c r="AY446" s="2"/>
      <c r="BI446" s="2"/>
      <c r="BS446" s="2"/>
      <c r="CC446" s="2"/>
      <c r="CM446" s="2"/>
      <c r="CW446" s="2"/>
    </row>
    <row r="447" spans="1:101" ht="13.5" customHeight="1" x14ac:dyDescent="0.3">
      <c r="A447" s="2"/>
      <c r="K447" s="2"/>
      <c r="U447" s="2"/>
      <c r="AE447" s="2"/>
      <c r="AO447" s="2"/>
      <c r="AY447" s="2"/>
      <c r="BI447" s="2"/>
      <c r="BS447" s="2"/>
      <c r="CC447" s="2"/>
      <c r="CM447" s="2"/>
      <c r="CW447" s="2"/>
    </row>
    <row r="448" spans="1:101" ht="13.5" customHeight="1" x14ac:dyDescent="0.3">
      <c r="A448" s="2"/>
      <c r="K448" s="2"/>
      <c r="U448" s="2"/>
      <c r="AE448" s="2"/>
      <c r="AO448" s="2"/>
      <c r="AY448" s="2"/>
      <c r="BI448" s="2"/>
      <c r="BS448" s="2"/>
      <c r="CC448" s="2"/>
      <c r="CM448" s="2"/>
      <c r="CW448" s="2"/>
    </row>
    <row r="449" spans="1:101" ht="13.5" customHeight="1" x14ac:dyDescent="0.3">
      <c r="A449" s="2"/>
      <c r="K449" s="2"/>
      <c r="U449" s="2"/>
      <c r="AE449" s="2"/>
      <c r="AO449" s="2"/>
      <c r="AY449" s="2"/>
      <c r="BI449" s="2"/>
      <c r="BS449" s="2"/>
      <c r="CC449" s="2"/>
      <c r="CM449" s="2"/>
      <c r="CW449" s="2"/>
    </row>
    <row r="450" spans="1:101" ht="13.5" customHeight="1" x14ac:dyDescent="0.3">
      <c r="A450" s="2"/>
      <c r="K450" s="2"/>
      <c r="U450" s="2"/>
      <c r="AE450" s="2"/>
      <c r="AO450" s="2"/>
      <c r="AY450" s="2"/>
      <c r="BI450" s="2"/>
      <c r="BS450" s="2"/>
      <c r="CC450" s="2"/>
      <c r="CM450" s="2"/>
      <c r="CW450" s="2"/>
    </row>
    <row r="451" spans="1:101" ht="13.5" customHeight="1" x14ac:dyDescent="0.3">
      <c r="A451" s="2"/>
      <c r="K451" s="2"/>
      <c r="U451" s="2"/>
      <c r="AE451" s="2"/>
      <c r="AO451" s="2"/>
      <c r="AY451" s="2"/>
      <c r="BI451" s="2"/>
      <c r="BS451" s="2"/>
      <c r="CC451" s="2"/>
      <c r="CM451" s="2"/>
      <c r="CW451" s="2"/>
    </row>
    <row r="452" spans="1:101" ht="13.5" customHeight="1" x14ac:dyDescent="0.3">
      <c r="A452" s="2"/>
      <c r="K452" s="2"/>
      <c r="U452" s="2"/>
      <c r="AE452" s="2"/>
      <c r="AO452" s="2"/>
      <c r="AY452" s="2"/>
      <c r="BI452" s="2"/>
      <c r="BS452" s="2"/>
      <c r="CC452" s="2"/>
      <c r="CM452" s="2"/>
      <c r="CW452" s="2"/>
    </row>
    <row r="453" spans="1:101" ht="13.5" customHeight="1" x14ac:dyDescent="0.3">
      <c r="A453" s="2"/>
      <c r="K453" s="2"/>
      <c r="U453" s="2"/>
      <c r="AE453" s="2"/>
      <c r="AO453" s="2"/>
      <c r="AY453" s="2"/>
      <c r="BI453" s="2"/>
      <c r="BS453" s="2"/>
      <c r="CC453" s="2"/>
      <c r="CM453" s="2"/>
      <c r="CW453" s="2"/>
    </row>
    <row r="454" spans="1:101" ht="13.5" customHeight="1" x14ac:dyDescent="0.3">
      <c r="A454" s="2"/>
      <c r="K454" s="2"/>
      <c r="U454" s="2"/>
      <c r="AE454" s="2"/>
      <c r="AO454" s="2"/>
      <c r="AY454" s="2"/>
      <c r="BI454" s="2"/>
      <c r="BS454" s="2"/>
      <c r="CC454" s="2"/>
      <c r="CM454" s="2"/>
      <c r="CW454" s="2"/>
    </row>
    <row r="455" spans="1:101" ht="13.5" customHeight="1" x14ac:dyDescent="0.3">
      <c r="A455" s="2"/>
      <c r="K455" s="2"/>
      <c r="U455" s="2"/>
      <c r="AE455" s="2"/>
      <c r="AO455" s="2"/>
      <c r="AY455" s="2"/>
      <c r="BI455" s="2"/>
      <c r="BS455" s="2"/>
      <c r="CC455" s="2"/>
      <c r="CM455" s="2"/>
      <c r="CW455" s="2"/>
    </row>
    <row r="456" spans="1:101" ht="13.5" customHeight="1" x14ac:dyDescent="0.3">
      <c r="A456" s="2"/>
      <c r="K456" s="2"/>
      <c r="U456" s="2"/>
      <c r="AE456" s="2"/>
      <c r="AO456" s="2"/>
      <c r="AY456" s="2"/>
      <c r="BI456" s="2"/>
      <c r="BS456" s="2"/>
      <c r="CC456" s="2"/>
      <c r="CM456" s="2"/>
      <c r="CW456" s="2"/>
    </row>
    <row r="457" spans="1:101" ht="13.5" customHeight="1" x14ac:dyDescent="0.3">
      <c r="A457" s="2"/>
      <c r="K457" s="2"/>
      <c r="U457" s="2"/>
      <c r="AE457" s="2"/>
      <c r="AO457" s="2"/>
      <c r="AY457" s="2"/>
      <c r="BI457" s="2"/>
      <c r="BS457" s="2"/>
      <c r="CC457" s="2"/>
      <c r="CM457" s="2"/>
      <c r="CW457" s="2"/>
    </row>
    <row r="458" spans="1:101" ht="13.5" customHeight="1" x14ac:dyDescent="0.3">
      <c r="A458" s="2"/>
      <c r="K458" s="2"/>
      <c r="U458" s="2"/>
      <c r="AE458" s="2"/>
      <c r="AO458" s="2"/>
      <c r="AY458" s="2"/>
      <c r="BI458" s="2"/>
      <c r="BS458" s="2"/>
      <c r="CC458" s="2"/>
      <c r="CM458" s="2"/>
      <c r="CW458" s="2"/>
    </row>
    <row r="459" spans="1:101" ht="13.5" customHeight="1" x14ac:dyDescent="0.3">
      <c r="A459" s="2"/>
      <c r="K459" s="2"/>
      <c r="U459" s="2"/>
      <c r="AE459" s="2"/>
      <c r="AO459" s="2"/>
      <c r="AY459" s="2"/>
      <c r="BI459" s="2"/>
      <c r="BS459" s="2"/>
      <c r="CC459" s="2"/>
      <c r="CM459" s="2"/>
      <c r="CW459" s="2"/>
    </row>
    <row r="460" spans="1:101" ht="13.5" customHeight="1" x14ac:dyDescent="0.3">
      <c r="A460" s="2"/>
      <c r="K460" s="2"/>
      <c r="U460" s="2"/>
      <c r="AE460" s="2"/>
      <c r="AO460" s="2"/>
      <c r="AY460" s="2"/>
      <c r="BI460" s="2"/>
      <c r="BS460" s="2"/>
      <c r="CC460" s="2"/>
      <c r="CM460" s="2"/>
      <c r="CW460" s="2"/>
    </row>
    <row r="461" spans="1:101" ht="13.5" customHeight="1" x14ac:dyDescent="0.3">
      <c r="A461" s="2"/>
      <c r="K461" s="2"/>
      <c r="U461" s="2"/>
      <c r="AE461" s="2"/>
      <c r="AO461" s="2"/>
      <c r="AY461" s="2"/>
      <c r="BI461" s="2"/>
      <c r="BS461" s="2"/>
      <c r="CC461" s="2"/>
      <c r="CM461" s="2"/>
      <c r="CW461" s="2"/>
    </row>
    <row r="462" spans="1:101" ht="13.5" customHeight="1" x14ac:dyDescent="0.3">
      <c r="A462" s="2"/>
      <c r="K462" s="2"/>
      <c r="U462" s="2"/>
      <c r="AE462" s="2"/>
      <c r="AO462" s="2"/>
      <c r="AY462" s="2"/>
      <c r="BI462" s="2"/>
      <c r="BS462" s="2"/>
      <c r="CC462" s="2"/>
      <c r="CM462" s="2"/>
      <c r="CW462" s="2"/>
    </row>
    <row r="463" spans="1:101" ht="13.5" customHeight="1" x14ac:dyDescent="0.3">
      <c r="A463" s="2"/>
      <c r="K463" s="2"/>
      <c r="U463" s="2"/>
      <c r="AE463" s="2"/>
      <c r="AO463" s="2"/>
      <c r="AY463" s="2"/>
      <c r="BI463" s="2"/>
      <c r="BS463" s="2"/>
      <c r="CC463" s="2"/>
      <c r="CM463" s="2"/>
      <c r="CW463" s="2"/>
    </row>
    <row r="464" spans="1:101" ht="13.5" customHeight="1" x14ac:dyDescent="0.3">
      <c r="A464" s="2"/>
      <c r="K464" s="2"/>
      <c r="U464" s="2"/>
      <c r="AE464" s="2"/>
      <c r="AO464" s="2"/>
      <c r="AY464" s="2"/>
      <c r="BI464" s="2"/>
      <c r="BS464" s="2"/>
      <c r="CC464" s="2"/>
      <c r="CM464" s="2"/>
      <c r="CW464" s="2"/>
    </row>
    <row r="465" spans="1:101" ht="13.5" customHeight="1" x14ac:dyDescent="0.3">
      <c r="A465" s="2"/>
      <c r="K465" s="2"/>
      <c r="U465" s="2"/>
      <c r="AE465" s="2"/>
      <c r="AO465" s="2"/>
      <c r="AY465" s="2"/>
      <c r="BI465" s="2"/>
      <c r="BS465" s="2"/>
      <c r="CC465" s="2"/>
      <c r="CM465" s="2"/>
      <c r="CW465" s="2"/>
    </row>
    <row r="466" spans="1:101" ht="13.5" customHeight="1" x14ac:dyDescent="0.3">
      <c r="A466" s="2"/>
      <c r="K466" s="2"/>
      <c r="U466" s="2"/>
      <c r="AE466" s="2"/>
      <c r="AO466" s="2"/>
      <c r="AY466" s="2"/>
      <c r="BI466" s="2"/>
      <c r="BS466" s="2"/>
      <c r="CC466" s="2"/>
      <c r="CM466" s="2"/>
      <c r="CW466" s="2"/>
    </row>
    <row r="467" spans="1:101" ht="13.5" customHeight="1" x14ac:dyDescent="0.3">
      <c r="A467" s="2"/>
      <c r="K467" s="2"/>
      <c r="U467" s="2"/>
      <c r="AE467" s="2"/>
      <c r="AO467" s="2"/>
      <c r="AY467" s="2"/>
      <c r="BI467" s="2"/>
      <c r="BS467" s="2"/>
      <c r="CC467" s="2"/>
      <c r="CM467" s="2"/>
      <c r="CW467" s="2"/>
    </row>
    <row r="468" spans="1:101" ht="13.5" customHeight="1" x14ac:dyDescent="0.3">
      <c r="A468" s="2"/>
      <c r="K468" s="2"/>
      <c r="U468" s="2"/>
      <c r="AE468" s="2"/>
      <c r="AO468" s="2"/>
      <c r="AY468" s="2"/>
      <c r="BI468" s="2"/>
      <c r="BS468" s="2"/>
      <c r="CC468" s="2"/>
      <c r="CM468" s="2"/>
      <c r="CW468" s="2"/>
    </row>
    <row r="469" spans="1:101" ht="13.5" customHeight="1" x14ac:dyDescent="0.3">
      <c r="A469" s="2"/>
      <c r="K469" s="2"/>
      <c r="U469" s="2"/>
      <c r="AE469" s="2"/>
      <c r="AO469" s="2"/>
      <c r="AY469" s="2"/>
      <c r="BI469" s="2"/>
      <c r="BS469" s="2"/>
      <c r="CC469" s="2"/>
      <c r="CM469" s="2"/>
      <c r="CW469" s="2"/>
    </row>
    <row r="470" spans="1:101" ht="13.5" customHeight="1" x14ac:dyDescent="0.3">
      <c r="A470" s="2"/>
      <c r="K470" s="2"/>
      <c r="U470" s="2"/>
      <c r="AE470" s="2"/>
      <c r="AO470" s="2"/>
      <c r="AY470" s="2"/>
      <c r="BI470" s="2"/>
      <c r="BS470" s="2"/>
      <c r="CC470" s="2"/>
      <c r="CM470" s="2"/>
      <c r="CW470" s="2"/>
    </row>
    <row r="471" spans="1:101" ht="13.5" customHeight="1" x14ac:dyDescent="0.3">
      <c r="A471" s="2"/>
      <c r="K471" s="2"/>
      <c r="U471" s="2"/>
      <c r="AE471" s="2"/>
      <c r="AO471" s="2"/>
      <c r="AY471" s="2"/>
      <c r="BI471" s="2"/>
      <c r="BS471" s="2"/>
      <c r="CC471" s="2"/>
      <c r="CM471" s="2"/>
      <c r="CW471" s="2"/>
    </row>
    <row r="472" spans="1:101" ht="13.5" customHeight="1" x14ac:dyDescent="0.3">
      <c r="A472" s="2"/>
      <c r="K472" s="2"/>
      <c r="U472" s="2"/>
      <c r="AE472" s="2"/>
      <c r="AO472" s="2"/>
      <c r="AY472" s="2"/>
      <c r="BI472" s="2"/>
      <c r="BS472" s="2"/>
      <c r="CC472" s="2"/>
      <c r="CM472" s="2"/>
      <c r="CW472" s="2"/>
    </row>
    <row r="473" spans="1:101" ht="13.5" customHeight="1" x14ac:dyDescent="0.3">
      <c r="A473" s="2"/>
      <c r="K473" s="2"/>
      <c r="U473" s="2"/>
      <c r="AE473" s="2"/>
      <c r="AO473" s="2"/>
      <c r="AY473" s="2"/>
      <c r="BI473" s="2"/>
      <c r="BS473" s="2"/>
      <c r="CC473" s="2"/>
      <c r="CM473" s="2"/>
      <c r="CW473" s="2"/>
    </row>
    <row r="474" spans="1:101" ht="13.5" customHeight="1" x14ac:dyDescent="0.3">
      <c r="A474" s="2"/>
      <c r="K474" s="2"/>
      <c r="U474" s="2"/>
      <c r="AE474" s="2"/>
      <c r="AO474" s="2"/>
      <c r="AY474" s="2"/>
      <c r="BI474" s="2"/>
      <c r="BS474" s="2"/>
      <c r="CC474" s="2"/>
      <c r="CM474" s="2"/>
      <c r="CW474" s="2"/>
    </row>
    <row r="475" spans="1:101" ht="13.5" customHeight="1" x14ac:dyDescent="0.3">
      <c r="A475" s="2"/>
      <c r="K475" s="2"/>
      <c r="U475" s="2"/>
      <c r="AE475" s="2"/>
      <c r="AO475" s="2"/>
      <c r="AY475" s="2"/>
      <c r="BI475" s="2"/>
      <c r="BS475" s="2"/>
      <c r="CC475" s="2"/>
      <c r="CM475" s="2"/>
      <c r="CW475" s="2"/>
    </row>
    <row r="476" spans="1:101" ht="13.5" customHeight="1" x14ac:dyDescent="0.3">
      <c r="A476" s="2"/>
      <c r="K476" s="2"/>
      <c r="U476" s="2"/>
      <c r="AE476" s="2"/>
      <c r="AO476" s="2"/>
      <c r="AY476" s="2"/>
      <c r="BI476" s="2"/>
      <c r="BS476" s="2"/>
      <c r="CC476" s="2"/>
      <c r="CM476" s="2"/>
      <c r="CW476" s="2"/>
    </row>
    <row r="477" spans="1:101" ht="13.5" customHeight="1" x14ac:dyDescent="0.3">
      <c r="A477" s="2"/>
      <c r="K477" s="2"/>
      <c r="U477" s="2"/>
      <c r="AE477" s="2"/>
      <c r="AO477" s="2"/>
      <c r="AY477" s="2"/>
      <c r="BI477" s="2"/>
      <c r="BS477" s="2"/>
      <c r="CC477" s="2"/>
      <c r="CM477" s="2"/>
      <c r="CW477" s="2"/>
    </row>
    <row r="478" spans="1:101" ht="13.5" customHeight="1" x14ac:dyDescent="0.3">
      <c r="A478" s="2"/>
      <c r="K478" s="2"/>
      <c r="U478" s="2"/>
      <c r="AE478" s="2"/>
      <c r="AO478" s="2"/>
      <c r="AY478" s="2"/>
      <c r="BI478" s="2"/>
      <c r="BS478" s="2"/>
      <c r="CC478" s="2"/>
      <c r="CM478" s="2"/>
      <c r="CW478" s="2"/>
    </row>
    <row r="479" spans="1:101" ht="13.5" customHeight="1" x14ac:dyDescent="0.3">
      <c r="A479" s="2"/>
      <c r="K479" s="2"/>
      <c r="U479" s="2"/>
      <c r="AE479" s="2"/>
      <c r="AO479" s="2"/>
      <c r="AY479" s="2"/>
      <c r="BI479" s="2"/>
      <c r="BS479" s="2"/>
      <c r="CC479" s="2"/>
      <c r="CM479" s="2"/>
      <c r="CW479" s="2"/>
    </row>
    <row r="480" spans="1:101" ht="13.5" customHeight="1" x14ac:dyDescent="0.3">
      <c r="A480" s="2"/>
      <c r="K480" s="2"/>
      <c r="U480" s="2"/>
      <c r="AE480" s="2"/>
      <c r="AO480" s="2"/>
      <c r="AY480" s="2"/>
      <c r="BI480" s="2"/>
      <c r="BS480" s="2"/>
      <c r="CC480" s="2"/>
      <c r="CM480" s="2"/>
      <c r="CW480" s="2"/>
    </row>
    <row r="481" spans="1:101" ht="13.5" customHeight="1" x14ac:dyDescent="0.3">
      <c r="A481" s="2"/>
      <c r="K481" s="2"/>
      <c r="U481" s="2"/>
      <c r="AE481" s="2"/>
      <c r="AO481" s="2"/>
      <c r="AY481" s="2"/>
      <c r="BI481" s="2"/>
      <c r="BS481" s="2"/>
      <c r="CC481" s="2"/>
      <c r="CM481" s="2"/>
      <c r="CW481" s="2"/>
    </row>
    <row r="482" spans="1:101" ht="13.5" customHeight="1" x14ac:dyDescent="0.3">
      <c r="A482" s="2"/>
      <c r="K482" s="2"/>
      <c r="U482" s="2"/>
      <c r="AE482" s="2"/>
      <c r="AO482" s="2"/>
      <c r="AY482" s="2"/>
      <c r="BI482" s="2"/>
      <c r="BS482" s="2"/>
      <c r="CC482" s="2"/>
      <c r="CM482" s="2"/>
      <c r="CW482" s="2"/>
    </row>
    <row r="483" spans="1:101" ht="13.5" customHeight="1" x14ac:dyDescent="0.3">
      <c r="A483" s="2"/>
      <c r="K483" s="2"/>
      <c r="U483" s="2"/>
      <c r="AE483" s="2"/>
      <c r="AO483" s="2"/>
      <c r="AY483" s="2"/>
      <c r="BI483" s="2"/>
      <c r="BS483" s="2"/>
      <c r="CC483" s="2"/>
      <c r="CM483" s="2"/>
      <c r="CW483" s="2"/>
    </row>
    <row r="484" spans="1:101" ht="13.5" customHeight="1" x14ac:dyDescent="0.3">
      <c r="A484" s="2"/>
      <c r="K484" s="2"/>
      <c r="U484" s="2"/>
      <c r="AE484" s="2"/>
      <c r="AO484" s="2"/>
      <c r="AY484" s="2"/>
      <c r="BI484" s="2"/>
      <c r="BS484" s="2"/>
      <c r="CC484" s="2"/>
      <c r="CM484" s="2"/>
      <c r="CW484" s="2"/>
    </row>
    <row r="485" spans="1:101" ht="13.5" customHeight="1" x14ac:dyDescent="0.3">
      <c r="A485" s="2"/>
      <c r="K485" s="2"/>
      <c r="U485" s="2"/>
      <c r="AE485" s="2"/>
      <c r="AO485" s="2"/>
      <c r="AY485" s="2"/>
      <c r="BI485" s="2"/>
      <c r="BS485" s="2"/>
      <c r="CC485" s="2"/>
      <c r="CM485" s="2"/>
      <c r="CW485" s="2"/>
    </row>
    <row r="486" spans="1:101" ht="13.5" customHeight="1" x14ac:dyDescent="0.3">
      <c r="A486" s="2"/>
      <c r="K486" s="2"/>
      <c r="U486" s="2"/>
      <c r="AE486" s="2"/>
      <c r="AO486" s="2"/>
      <c r="AY486" s="2"/>
      <c r="BI486" s="2"/>
      <c r="BS486" s="2"/>
      <c r="CC486" s="2"/>
      <c r="CM486" s="2"/>
      <c r="CW486" s="2"/>
    </row>
    <row r="487" spans="1:101" ht="13.5" customHeight="1" x14ac:dyDescent="0.3">
      <c r="A487" s="2"/>
      <c r="K487" s="2"/>
      <c r="U487" s="2"/>
      <c r="AE487" s="2"/>
      <c r="AO487" s="2"/>
      <c r="AY487" s="2"/>
      <c r="BI487" s="2"/>
      <c r="BS487" s="2"/>
      <c r="CC487" s="2"/>
      <c r="CM487" s="2"/>
      <c r="CW487" s="2"/>
    </row>
    <row r="488" spans="1:101" ht="13.5" customHeight="1" x14ac:dyDescent="0.3">
      <c r="A488" s="2"/>
      <c r="K488" s="2"/>
      <c r="U488" s="2"/>
      <c r="AE488" s="2"/>
      <c r="AO488" s="2"/>
      <c r="AY488" s="2"/>
      <c r="BI488" s="2"/>
      <c r="BS488" s="2"/>
      <c r="CC488" s="2"/>
      <c r="CM488" s="2"/>
      <c r="CW488" s="2"/>
    </row>
    <row r="489" spans="1:101" ht="13.5" customHeight="1" x14ac:dyDescent="0.3">
      <c r="A489" s="2"/>
      <c r="K489" s="2"/>
      <c r="U489" s="2"/>
      <c r="AE489" s="2"/>
      <c r="AO489" s="2"/>
      <c r="AY489" s="2"/>
      <c r="BI489" s="2"/>
      <c r="BS489" s="2"/>
      <c r="CC489" s="2"/>
      <c r="CM489" s="2"/>
      <c r="CW489" s="2"/>
    </row>
    <row r="490" spans="1:101" ht="13.5" customHeight="1" x14ac:dyDescent="0.3">
      <c r="A490" s="2"/>
      <c r="K490" s="2"/>
      <c r="U490" s="2"/>
      <c r="AE490" s="2"/>
      <c r="AO490" s="2"/>
      <c r="AY490" s="2"/>
      <c r="BI490" s="2"/>
      <c r="BS490" s="2"/>
      <c r="CC490" s="2"/>
      <c r="CM490" s="2"/>
      <c r="CW490" s="2"/>
    </row>
    <row r="491" spans="1:101" ht="13.5" customHeight="1" x14ac:dyDescent="0.3">
      <c r="A491" s="2"/>
      <c r="K491" s="2"/>
      <c r="U491" s="2"/>
      <c r="AE491" s="2"/>
      <c r="AO491" s="2"/>
      <c r="AY491" s="2"/>
      <c r="BI491" s="2"/>
      <c r="BS491" s="2"/>
      <c r="CC491" s="2"/>
      <c r="CM491" s="2"/>
      <c r="CW491" s="2"/>
    </row>
    <row r="492" spans="1:101" ht="13.5" customHeight="1" x14ac:dyDescent="0.3">
      <c r="A492" s="2"/>
      <c r="K492" s="2"/>
      <c r="U492" s="2"/>
      <c r="AE492" s="2"/>
      <c r="AO492" s="2"/>
      <c r="AY492" s="2"/>
      <c r="BI492" s="2"/>
      <c r="BS492" s="2"/>
      <c r="CC492" s="2"/>
      <c r="CM492" s="2"/>
      <c r="CW492" s="2"/>
    </row>
    <row r="493" spans="1:101" ht="13.5" customHeight="1" x14ac:dyDescent="0.3">
      <c r="A493" s="2"/>
      <c r="K493" s="2"/>
      <c r="U493" s="2"/>
      <c r="AE493" s="2"/>
      <c r="AO493" s="2"/>
      <c r="AY493" s="2"/>
      <c r="BI493" s="2"/>
      <c r="BS493" s="2"/>
      <c r="CC493" s="2"/>
      <c r="CM493" s="2"/>
      <c r="CW493" s="2"/>
    </row>
    <row r="494" spans="1:101" ht="13.5" customHeight="1" x14ac:dyDescent="0.3">
      <c r="A494" s="2"/>
      <c r="K494" s="2"/>
      <c r="U494" s="2"/>
      <c r="AE494" s="2"/>
      <c r="AO494" s="2"/>
      <c r="AY494" s="2"/>
      <c r="BI494" s="2"/>
      <c r="BS494" s="2"/>
      <c r="CC494" s="2"/>
      <c r="CM494" s="2"/>
      <c r="CW494" s="2"/>
    </row>
    <row r="495" spans="1:101" ht="13.5" customHeight="1" x14ac:dyDescent="0.3">
      <c r="A495" s="2"/>
      <c r="K495" s="2"/>
      <c r="U495" s="2"/>
      <c r="AE495" s="2"/>
      <c r="AO495" s="2"/>
      <c r="AY495" s="2"/>
      <c r="BI495" s="2"/>
      <c r="BS495" s="2"/>
      <c r="CC495" s="2"/>
      <c r="CM495" s="2"/>
      <c r="CW495" s="2"/>
    </row>
    <row r="496" spans="1:101" ht="13.5" customHeight="1" x14ac:dyDescent="0.3">
      <c r="A496" s="2"/>
      <c r="K496" s="2"/>
      <c r="U496" s="2"/>
      <c r="AE496" s="2"/>
      <c r="AO496" s="2"/>
      <c r="AY496" s="2"/>
      <c r="BI496" s="2"/>
      <c r="BS496" s="2"/>
      <c r="CC496" s="2"/>
      <c r="CM496" s="2"/>
      <c r="CW496" s="2"/>
    </row>
    <row r="497" spans="1:101" ht="13.5" customHeight="1" x14ac:dyDescent="0.3">
      <c r="A497" s="2"/>
      <c r="K497" s="2"/>
      <c r="U497" s="2"/>
      <c r="AE497" s="2"/>
      <c r="AO497" s="2"/>
      <c r="AY497" s="2"/>
      <c r="BI497" s="2"/>
      <c r="BS497" s="2"/>
      <c r="CC497" s="2"/>
      <c r="CM497" s="2"/>
      <c r="CW497" s="2"/>
    </row>
    <row r="498" spans="1:101" ht="13.5" customHeight="1" x14ac:dyDescent="0.3">
      <c r="A498" s="2"/>
      <c r="K498" s="2"/>
      <c r="U498" s="2"/>
      <c r="AE498" s="2"/>
      <c r="AO498" s="2"/>
      <c r="AY498" s="2"/>
      <c r="BI498" s="2"/>
      <c r="BS498" s="2"/>
      <c r="CC498" s="2"/>
      <c r="CM498" s="2"/>
      <c r="CW498" s="2"/>
    </row>
    <row r="499" spans="1:101" ht="13.5" customHeight="1" x14ac:dyDescent="0.3">
      <c r="A499" s="2"/>
      <c r="K499" s="2"/>
      <c r="U499" s="2"/>
      <c r="AE499" s="2"/>
      <c r="AO499" s="2"/>
      <c r="AY499" s="2"/>
      <c r="BI499" s="2"/>
      <c r="BS499" s="2"/>
      <c r="CC499" s="2"/>
      <c r="CM499" s="2"/>
      <c r="CW499" s="2"/>
    </row>
    <row r="500" spans="1:101" ht="13.5" customHeight="1" x14ac:dyDescent="0.3">
      <c r="A500" s="2"/>
      <c r="K500" s="2"/>
      <c r="U500" s="2"/>
      <c r="AE500" s="2"/>
      <c r="AO500" s="2"/>
      <c r="AY500" s="2"/>
      <c r="BI500" s="2"/>
      <c r="BS500" s="2"/>
      <c r="CC500" s="2"/>
      <c r="CM500" s="2"/>
      <c r="CW500" s="2"/>
    </row>
    <row r="501" spans="1:101" ht="13.5" customHeight="1" x14ac:dyDescent="0.3">
      <c r="A501" s="2"/>
      <c r="K501" s="2"/>
      <c r="U501" s="2"/>
      <c r="AE501" s="2"/>
      <c r="AO501" s="2"/>
      <c r="AY501" s="2"/>
      <c r="BI501" s="2"/>
      <c r="BS501" s="2"/>
      <c r="CC501" s="2"/>
      <c r="CM501" s="2"/>
      <c r="CW501" s="2"/>
    </row>
    <row r="502" spans="1:101" ht="13.5" customHeight="1" x14ac:dyDescent="0.3">
      <c r="A502" s="2"/>
      <c r="K502" s="2"/>
      <c r="U502" s="2"/>
      <c r="AE502" s="2"/>
      <c r="AO502" s="2"/>
      <c r="AY502" s="2"/>
      <c r="BI502" s="2"/>
      <c r="BS502" s="2"/>
      <c r="CC502" s="2"/>
      <c r="CM502" s="2"/>
      <c r="CW502" s="2"/>
    </row>
    <row r="503" spans="1:101" ht="13.5" customHeight="1" x14ac:dyDescent="0.3">
      <c r="A503" s="2"/>
      <c r="K503" s="2"/>
      <c r="U503" s="2"/>
      <c r="AE503" s="2"/>
      <c r="AO503" s="2"/>
      <c r="AY503" s="2"/>
      <c r="BI503" s="2"/>
      <c r="BS503" s="2"/>
      <c r="CC503" s="2"/>
      <c r="CM503" s="2"/>
      <c r="CW503" s="2"/>
    </row>
    <row r="504" spans="1:101" ht="13.5" customHeight="1" x14ac:dyDescent="0.3">
      <c r="A504" s="2"/>
      <c r="K504" s="2"/>
      <c r="U504" s="2"/>
      <c r="AE504" s="2"/>
      <c r="AO504" s="2"/>
      <c r="AY504" s="2"/>
      <c r="BI504" s="2"/>
      <c r="BS504" s="2"/>
      <c r="CC504" s="2"/>
      <c r="CM504" s="2"/>
      <c r="CW504" s="2"/>
    </row>
    <row r="505" spans="1:101" ht="13.5" customHeight="1" x14ac:dyDescent="0.3">
      <c r="A505" s="2"/>
      <c r="K505" s="2"/>
      <c r="U505" s="2"/>
      <c r="AE505" s="2"/>
      <c r="AO505" s="2"/>
      <c r="AY505" s="2"/>
      <c r="BI505" s="2"/>
      <c r="BS505" s="2"/>
      <c r="CC505" s="2"/>
      <c r="CM505" s="2"/>
      <c r="CW505" s="2"/>
    </row>
    <row r="506" spans="1:101" ht="13.5" customHeight="1" x14ac:dyDescent="0.3">
      <c r="A506" s="2"/>
      <c r="K506" s="2"/>
      <c r="U506" s="2"/>
      <c r="AE506" s="2"/>
      <c r="AO506" s="2"/>
      <c r="AY506" s="2"/>
      <c r="BI506" s="2"/>
      <c r="BS506" s="2"/>
      <c r="CC506" s="2"/>
      <c r="CM506" s="2"/>
      <c r="CW506" s="2"/>
    </row>
    <row r="507" spans="1:101" ht="13.5" customHeight="1" x14ac:dyDescent="0.3">
      <c r="A507" s="2"/>
      <c r="K507" s="2"/>
      <c r="U507" s="2"/>
      <c r="AE507" s="2"/>
      <c r="AO507" s="2"/>
      <c r="AY507" s="2"/>
      <c r="BI507" s="2"/>
      <c r="BS507" s="2"/>
      <c r="CC507" s="2"/>
      <c r="CM507" s="2"/>
      <c r="CW507" s="2"/>
    </row>
    <row r="508" spans="1:101" ht="13.5" customHeight="1" x14ac:dyDescent="0.3">
      <c r="A508" s="2"/>
      <c r="K508" s="2"/>
      <c r="U508" s="2"/>
      <c r="AE508" s="2"/>
      <c r="AO508" s="2"/>
      <c r="AY508" s="2"/>
      <c r="BI508" s="2"/>
      <c r="BS508" s="2"/>
      <c r="CC508" s="2"/>
      <c r="CM508" s="2"/>
      <c r="CW508" s="2"/>
    </row>
    <row r="509" spans="1:101" ht="13.5" customHeight="1" x14ac:dyDescent="0.3">
      <c r="A509" s="2"/>
      <c r="K509" s="2"/>
      <c r="U509" s="2"/>
      <c r="AE509" s="2"/>
      <c r="AO509" s="2"/>
      <c r="AY509" s="2"/>
      <c r="BI509" s="2"/>
      <c r="BS509" s="2"/>
      <c r="CC509" s="2"/>
      <c r="CM509" s="2"/>
      <c r="CW509" s="2"/>
    </row>
    <row r="510" spans="1:101" ht="13.5" customHeight="1" x14ac:dyDescent="0.3">
      <c r="A510" s="2"/>
      <c r="K510" s="2"/>
      <c r="U510" s="2"/>
      <c r="AE510" s="2"/>
      <c r="AO510" s="2"/>
      <c r="AY510" s="2"/>
      <c r="BI510" s="2"/>
      <c r="BS510" s="2"/>
      <c r="CC510" s="2"/>
      <c r="CM510" s="2"/>
      <c r="CW510" s="2"/>
    </row>
    <row r="511" spans="1:101" ht="13.5" customHeight="1" x14ac:dyDescent="0.3">
      <c r="A511" s="2"/>
      <c r="K511" s="2"/>
      <c r="U511" s="2"/>
      <c r="AE511" s="2"/>
      <c r="AO511" s="2"/>
      <c r="AY511" s="2"/>
      <c r="BI511" s="2"/>
      <c r="BS511" s="2"/>
      <c r="CC511" s="2"/>
      <c r="CM511" s="2"/>
      <c r="CW511" s="2"/>
    </row>
    <row r="512" spans="1:101" ht="13.5" customHeight="1" x14ac:dyDescent="0.3">
      <c r="A512" s="2"/>
      <c r="K512" s="2"/>
      <c r="U512" s="2"/>
      <c r="AE512" s="2"/>
      <c r="AO512" s="2"/>
      <c r="AY512" s="2"/>
      <c r="BI512" s="2"/>
      <c r="BS512" s="2"/>
      <c r="CC512" s="2"/>
      <c r="CM512" s="2"/>
      <c r="CW512" s="2"/>
    </row>
    <row r="513" spans="1:101" ht="13.5" customHeight="1" x14ac:dyDescent="0.3">
      <c r="A513" s="2"/>
      <c r="K513" s="2"/>
      <c r="U513" s="2"/>
      <c r="AE513" s="2"/>
      <c r="AO513" s="2"/>
      <c r="AY513" s="2"/>
      <c r="BI513" s="2"/>
      <c r="BS513" s="2"/>
      <c r="CC513" s="2"/>
      <c r="CM513" s="2"/>
      <c r="CW513" s="2"/>
    </row>
    <row r="514" spans="1:101" ht="13.5" customHeight="1" x14ac:dyDescent="0.3">
      <c r="A514" s="2"/>
      <c r="K514" s="2"/>
      <c r="U514" s="2"/>
      <c r="AE514" s="2"/>
      <c r="AO514" s="2"/>
      <c r="AY514" s="2"/>
      <c r="BI514" s="2"/>
      <c r="BS514" s="2"/>
      <c r="CC514" s="2"/>
      <c r="CM514" s="2"/>
      <c r="CW514" s="2"/>
    </row>
    <row r="515" spans="1:101" ht="13.5" customHeight="1" x14ac:dyDescent="0.3">
      <c r="A515" s="2"/>
      <c r="K515" s="2"/>
      <c r="U515" s="2"/>
      <c r="AE515" s="2"/>
      <c r="AO515" s="2"/>
      <c r="AY515" s="2"/>
      <c r="BI515" s="2"/>
      <c r="BS515" s="2"/>
      <c r="CC515" s="2"/>
      <c r="CM515" s="2"/>
      <c r="CW515" s="2"/>
    </row>
    <row r="516" spans="1:101" ht="13.5" customHeight="1" x14ac:dyDescent="0.3">
      <c r="A516" s="2"/>
      <c r="K516" s="2"/>
      <c r="U516" s="2"/>
      <c r="AE516" s="2"/>
      <c r="AO516" s="2"/>
      <c r="AY516" s="2"/>
      <c r="BI516" s="2"/>
      <c r="BS516" s="2"/>
      <c r="CC516" s="2"/>
      <c r="CM516" s="2"/>
      <c r="CW516" s="2"/>
    </row>
    <row r="517" spans="1:101" ht="13.5" customHeight="1" x14ac:dyDescent="0.3">
      <c r="A517" s="2"/>
      <c r="K517" s="2"/>
      <c r="U517" s="2"/>
      <c r="AE517" s="2"/>
      <c r="AO517" s="2"/>
      <c r="AY517" s="2"/>
      <c r="BI517" s="2"/>
      <c r="BS517" s="2"/>
      <c r="CC517" s="2"/>
      <c r="CM517" s="2"/>
      <c r="CW517" s="2"/>
    </row>
    <row r="518" spans="1:101" ht="13.5" customHeight="1" x14ac:dyDescent="0.3">
      <c r="A518" s="2"/>
      <c r="K518" s="2"/>
      <c r="U518" s="2"/>
      <c r="AE518" s="2"/>
      <c r="AO518" s="2"/>
      <c r="AY518" s="2"/>
      <c r="BI518" s="2"/>
      <c r="BS518" s="2"/>
      <c r="CC518" s="2"/>
      <c r="CM518" s="2"/>
      <c r="CW518" s="2"/>
    </row>
    <row r="519" spans="1:101" ht="13.5" customHeight="1" x14ac:dyDescent="0.3">
      <c r="A519" s="2"/>
      <c r="K519" s="2"/>
      <c r="U519" s="2"/>
      <c r="AE519" s="2"/>
      <c r="AO519" s="2"/>
      <c r="AY519" s="2"/>
      <c r="BI519" s="2"/>
      <c r="BS519" s="2"/>
      <c r="CC519" s="2"/>
      <c r="CM519" s="2"/>
      <c r="CW519" s="2"/>
    </row>
    <row r="520" spans="1:101" ht="13.5" customHeight="1" x14ac:dyDescent="0.3">
      <c r="A520" s="2"/>
      <c r="K520" s="2"/>
      <c r="U520" s="2"/>
      <c r="AE520" s="2"/>
      <c r="AO520" s="2"/>
      <c r="AY520" s="2"/>
      <c r="BI520" s="2"/>
      <c r="BS520" s="2"/>
      <c r="CC520" s="2"/>
      <c r="CM520" s="2"/>
      <c r="CW520" s="2"/>
    </row>
    <row r="521" spans="1:101" ht="13.5" customHeight="1" x14ac:dyDescent="0.3">
      <c r="A521" s="2"/>
      <c r="K521" s="2"/>
      <c r="U521" s="2"/>
      <c r="AE521" s="2"/>
      <c r="AO521" s="2"/>
      <c r="AY521" s="2"/>
      <c r="BI521" s="2"/>
      <c r="BS521" s="2"/>
      <c r="CC521" s="2"/>
      <c r="CM521" s="2"/>
      <c r="CW521" s="2"/>
    </row>
    <row r="522" spans="1:101" ht="13.5" customHeight="1" x14ac:dyDescent="0.3">
      <c r="A522" s="2"/>
      <c r="K522" s="2"/>
      <c r="U522" s="2"/>
      <c r="AE522" s="2"/>
      <c r="AO522" s="2"/>
      <c r="AY522" s="2"/>
      <c r="BI522" s="2"/>
      <c r="BS522" s="2"/>
      <c r="CC522" s="2"/>
      <c r="CM522" s="2"/>
      <c r="CW522" s="2"/>
    </row>
    <row r="523" spans="1:101" ht="13.5" customHeight="1" x14ac:dyDescent="0.3">
      <c r="A523" s="2"/>
      <c r="K523" s="2"/>
      <c r="U523" s="2"/>
      <c r="AE523" s="2"/>
      <c r="AO523" s="2"/>
      <c r="AY523" s="2"/>
      <c r="BI523" s="2"/>
      <c r="BS523" s="2"/>
      <c r="CC523" s="2"/>
      <c r="CM523" s="2"/>
      <c r="CW523" s="2"/>
    </row>
    <row r="524" spans="1:101" ht="13.5" customHeight="1" x14ac:dyDescent="0.3">
      <c r="A524" s="2"/>
      <c r="K524" s="2"/>
      <c r="U524" s="2"/>
      <c r="AE524" s="2"/>
      <c r="AO524" s="2"/>
      <c r="AY524" s="2"/>
      <c r="BI524" s="2"/>
      <c r="BS524" s="2"/>
      <c r="CC524" s="2"/>
      <c r="CM524" s="2"/>
      <c r="CW524" s="2"/>
    </row>
    <row r="525" spans="1:101" ht="13.5" customHeight="1" x14ac:dyDescent="0.3">
      <c r="A525" s="2"/>
      <c r="K525" s="2"/>
      <c r="U525" s="2"/>
      <c r="AE525" s="2"/>
      <c r="AO525" s="2"/>
      <c r="AY525" s="2"/>
      <c r="BI525" s="2"/>
      <c r="BS525" s="2"/>
      <c r="CC525" s="2"/>
      <c r="CM525" s="2"/>
      <c r="CW525" s="2"/>
    </row>
    <row r="526" spans="1:101" ht="13.5" customHeight="1" x14ac:dyDescent="0.3">
      <c r="A526" s="2"/>
      <c r="K526" s="2"/>
      <c r="U526" s="2"/>
      <c r="AE526" s="2"/>
      <c r="AO526" s="2"/>
      <c r="AY526" s="2"/>
      <c r="BI526" s="2"/>
      <c r="BS526" s="2"/>
      <c r="CC526" s="2"/>
      <c r="CM526" s="2"/>
      <c r="CW526" s="2"/>
    </row>
    <row r="527" spans="1:101" ht="13.5" customHeight="1" x14ac:dyDescent="0.3">
      <c r="A527" s="2"/>
      <c r="K527" s="2"/>
      <c r="U527" s="2"/>
      <c r="AE527" s="2"/>
      <c r="AO527" s="2"/>
      <c r="AY527" s="2"/>
      <c r="BI527" s="2"/>
      <c r="BS527" s="2"/>
      <c r="CC527" s="2"/>
      <c r="CM527" s="2"/>
      <c r="CW527" s="2"/>
    </row>
    <row r="528" spans="1:101" ht="13.5" customHeight="1" x14ac:dyDescent="0.3">
      <c r="A528" s="2"/>
      <c r="K528" s="2"/>
      <c r="U528" s="2"/>
      <c r="AE528" s="2"/>
      <c r="AO528" s="2"/>
      <c r="AY528" s="2"/>
      <c r="BI528" s="2"/>
      <c r="BS528" s="2"/>
      <c r="CC528" s="2"/>
      <c r="CM528" s="2"/>
      <c r="CW528" s="2"/>
    </row>
    <row r="529" spans="1:101" ht="13.5" customHeight="1" x14ac:dyDescent="0.3">
      <c r="A529" s="2"/>
      <c r="K529" s="2"/>
      <c r="U529" s="2"/>
      <c r="AE529" s="2"/>
      <c r="AO529" s="2"/>
      <c r="AY529" s="2"/>
      <c r="BI529" s="2"/>
      <c r="BS529" s="2"/>
      <c r="CC529" s="2"/>
      <c r="CM529" s="2"/>
      <c r="CW529" s="2"/>
    </row>
    <row r="530" spans="1:101" ht="13.5" customHeight="1" x14ac:dyDescent="0.3">
      <c r="A530" s="2"/>
      <c r="K530" s="2"/>
      <c r="U530" s="2"/>
      <c r="AE530" s="2"/>
      <c r="AO530" s="2"/>
      <c r="AY530" s="2"/>
      <c r="BI530" s="2"/>
      <c r="BS530" s="2"/>
      <c r="CC530" s="2"/>
      <c r="CM530" s="2"/>
      <c r="CW530" s="2"/>
    </row>
    <row r="531" spans="1:101" ht="13.5" customHeight="1" x14ac:dyDescent="0.3">
      <c r="A531" s="2"/>
      <c r="K531" s="2"/>
      <c r="U531" s="2"/>
      <c r="AE531" s="2"/>
      <c r="AO531" s="2"/>
      <c r="AY531" s="2"/>
      <c r="BI531" s="2"/>
      <c r="BS531" s="2"/>
      <c r="CC531" s="2"/>
      <c r="CM531" s="2"/>
      <c r="CW531" s="2"/>
    </row>
    <row r="532" spans="1:101" ht="13.5" customHeight="1" x14ac:dyDescent="0.3">
      <c r="A532" s="2"/>
      <c r="K532" s="2"/>
      <c r="U532" s="2"/>
      <c r="AE532" s="2"/>
      <c r="AO532" s="2"/>
      <c r="AY532" s="2"/>
      <c r="BI532" s="2"/>
      <c r="BS532" s="2"/>
      <c r="CC532" s="2"/>
      <c r="CM532" s="2"/>
      <c r="CW532" s="2"/>
    </row>
    <row r="533" spans="1:101" ht="13.5" customHeight="1" x14ac:dyDescent="0.3">
      <c r="A533" s="2"/>
      <c r="K533" s="2"/>
      <c r="U533" s="2"/>
      <c r="AE533" s="2"/>
      <c r="AO533" s="2"/>
      <c r="AY533" s="2"/>
      <c r="BI533" s="2"/>
      <c r="BS533" s="2"/>
      <c r="CC533" s="2"/>
      <c r="CM533" s="2"/>
      <c r="CW533" s="2"/>
    </row>
    <row r="534" spans="1:101" ht="13.5" customHeight="1" x14ac:dyDescent="0.3">
      <c r="A534" s="2"/>
      <c r="K534" s="2"/>
      <c r="U534" s="2"/>
      <c r="AE534" s="2"/>
      <c r="AO534" s="2"/>
      <c r="AY534" s="2"/>
      <c r="BI534" s="2"/>
      <c r="BS534" s="2"/>
      <c r="CC534" s="2"/>
      <c r="CM534" s="2"/>
      <c r="CW534" s="2"/>
    </row>
    <row r="535" spans="1:101" ht="13.5" customHeight="1" x14ac:dyDescent="0.3">
      <c r="A535" s="2"/>
      <c r="K535" s="2"/>
      <c r="U535" s="2"/>
      <c r="AE535" s="2"/>
      <c r="AO535" s="2"/>
      <c r="AY535" s="2"/>
      <c r="BI535" s="2"/>
      <c r="BS535" s="2"/>
      <c r="CC535" s="2"/>
      <c r="CM535" s="2"/>
      <c r="CW535" s="2"/>
    </row>
    <row r="536" spans="1:101" ht="13.5" customHeight="1" x14ac:dyDescent="0.3">
      <c r="A536" s="2"/>
      <c r="K536" s="2"/>
      <c r="U536" s="2"/>
      <c r="AE536" s="2"/>
      <c r="AO536" s="2"/>
      <c r="AY536" s="2"/>
      <c r="BI536" s="2"/>
      <c r="BS536" s="2"/>
      <c r="CC536" s="2"/>
      <c r="CM536" s="2"/>
      <c r="CW536" s="2"/>
    </row>
    <row r="537" spans="1:101" ht="13.5" customHeight="1" x14ac:dyDescent="0.3">
      <c r="A537" s="2"/>
      <c r="K537" s="2"/>
      <c r="U537" s="2"/>
      <c r="AE537" s="2"/>
      <c r="AO537" s="2"/>
      <c r="AY537" s="2"/>
      <c r="BI537" s="2"/>
      <c r="BS537" s="2"/>
      <c r="CC537" s="2"/>
      <c r="CM537" s="2"/>
      <c r="CW537" s="2"/>
    </row>
    <row r="538" spans="1:101" ht="13.5" customHeight="1" x14ac:dyDescent="0.3">
      <c r="A538" s="2"/>
      <c r="K538" s="2"/>
      <c r="U538" s="2"/>
      <c r="AE538" s="2"/>
      <c r="AO538" s="2"/>
      <c r="AY538" s="2"/>
      <c r="BI538" s="2"/>
      <c r="BS538" s="2"/>
      <c r="CC538" s="2"/>
      <c r="CM538" s="2"/>
      <c r="CW538" s="2"/>
    </row>
    <row r="539" spans="1:101" ht="13.5" customHeight="1" x14ac:dyDescent="0.3">
      <c r="A539" s="2"/>
      <c r="K539" s="2"/>
      <c r="U539" s="2"/>
      <c r="AE539" s="2"/>
      <c r="AO539" s="2"/>
      <c r="AY539" s="2"/>
      <c r="BI539" s="2"/>
      <c r="BS539" s="2"/>
      <c r="CC539" s="2"/>
      <c r="CM539" s="2"/>
      <c r="CW539" s="2"/>
    </row>
    <row r="540" spans="1:101" ht="13.5" customHeight="1" x14ac:dyDescent="0.3">
      <c r="A540" s="2"/>
      <c r="K540" s="2"/>
      <c r="U540" s="2"/>
      <c r="AE540" s="2"/>
      <c r="AO540" s="2"/>
      <c r="AY540" s="2"/>
      <c r="BI540" s="2"/>
      <c r="BS540" s="2"/>
      <c r="CC540" s="2"/>
      <c r="CM540" s="2"/>
      <c r="CW540" s="2"/>
    </row>
    <row r="541" spans="1:101" ht="13.5" customHeight="1" x14ac:dyDescent="0.3">
      <c r="A541" s="2"/>
      <c r="K541" s="2"/>
      <c r="U541" s="2"/>
      <c r="AE541" s="2"/>
      <c r="AO541" s="2"/>
      <c r="AY541" s="2"/>
      <c r="BI541" s="2"/>
      <c r="BS541" s="2"/>
      <c r="CC541" s="2"/>
      <c r="CM541" s="2"/>
      <c r="CW541" s="2"/>
    </row>
    <row r="542" spans="1:101" ht="13.5" customHeight="1" x14ac:dyDescent="0.3">
      <c r="A542" s="2"/>
      <c r="K542" s="2"/>
      <c r="U542" s="2"/>
      <c r="AE542" s="2"/>
      <c r="AO542" s="2"/>
      <c r="AY542" s="2"/>
      <c r="BI542" s="2"/>
      <c r="BS542" s="2"/>
      <c r="CC542" s="2"/>
      <c r="CM542" s="2"/>
      <c r="CW542" s="2"/>
    </row>
    <row r="543" spans="1:101" ht="13.5" customHeight="1" x14ac:dyDescent="0.3">
      <c r="A543" s="2"/>
      <c r="K543" s="2"/>
      <c r="U543" s="2"/>
      <c r="AE543" s="2"/>
      <c r="AO543" s="2"/>
      <c r="AY543" s="2"/>
      <c r="BI543" s="2"/>
      <c r="BS543" s="2"/>
      <c r="CC543" s="2"/>
      <c r="CM543" s="2"/>
      <c r="CW543" s="2"/>
    </row>
    <row r="544" spans="1:101" ht="13.5" customHeight="1" x14ac:dyDescent="0.3">
      <c r="A544" s="2"/>
      <c r="K544" s="2"/>
      <c r="U544" s="2"/>
      <c r="AE544" s="2"/>
      <c r="AO544" s="2"/>
      <c r="AY544" s="2"/>
      <c r="BI544" s="2"/>
      <c r="BS544" s="2"/>
      <c r="CC544" s="2"/>
      <c r="CM544" s="2"/>
      <c r="CW544" s="2"/>
    </row>
    <row r="545" spans="1:101" ht="13.5" customHeight="1" x14ac:dyDescent="0.3">
      <c r="A545" s="2"/>
      <c r="K545" s="2"/>
      <c r="U545" s="2"/>
      <c r="AE545" s="2"/>
      <c r="AO545" s="2"/>
      <c r="AY545" s="2"/>
      <c r="BI545" s="2"/>
      <c r="BS545" s="2"/>
      <c r="CC545" s="2"/>
      <c r="CM545" s="2"/>
      <c r="CW545" s="2"/>
    </row>
    <row r="546" spans="1:101" ht="13.5" customHeight="1" x14ac:dyDescent="0.3">
      <c r="A546" s="2"/>
      <c r="K546" s="2"/>
      <c r="U546" s="2"/>
      <c r="AE546" s="2"/>
      <c r="AO546" s="2"/>
      <c r="AY546" s="2"/>
      <c r="BI546" s="2"/>
      <c r="BS546" s="2"/>
      <c r="CC546" s="2"/>
      <c r="CM546" s="2"/>
      <c r="CW546" s="2"/>
    </row>
    <row r="547" spans="1:101" ht="13.5" customHeight="1" x14ac:dyDescent="0.3">
      <c r="A547" s="2"/>
      <c r="K547" s="2"/>
      <c r="U547" s="2"/>
      <c r="AE547" s="2"/>
      <c r="AO547" s="2"/>
      <c r="AY547" s="2"/>
      <c r="BI547" s="2"/>
      <c r="BS547" s="2"/>
      <c r="CC547" s="2"/>
      <c r="CM547" s="2"/>
      <c r="CW547" s="2"/>
    </row>
    <row r="548" spans="1:101" ht="13.5" customHeight="1" x14ac:dyDescent="0.3">
      <c r="A548" s="2"/>
      <c r="K548" s="2"/>
      <c r="U548" s="2"/>
      <c r="AE548" s="2"/>
      <c r="AO548" s="2"/>
      <c r="AY548" s="2"/>
      <c r="BI548" s="2"/>
      <c r="BS548" s="2"/>
      <c r="CC548" s="2"/>
      <c r="CM548" s="2"/>
      <c r="CW548" s="2"/>
    </row>
    <row r="549" spans="1:101" ht="13.5" customHeight="1" x14ac:dyDescent="0.3">
      <c r="A549" s="2"/>
      <c r="K549" s="2"/>
      <c r="U549" s="2"/>
      <c r="AE549" s="2"/>
      <c r="AO549" s="2"/>
      <c r="AY549" s="2"/>
      <c r="BI549" s="2"/>
      <c r="BS549" s="2"/>
      <c r="CC549" s="2"/>
      <c r="CM549" s="2"/>
      <c r="CW549" s="2"/>
    </row>
    <row r="550" spans="1:101" ht="13.5" customHeight="1" x14ac:dyDescent="0.3">
      <c r="A550" s="2"/>
      <c r="K550" s="2"/>
      <c r="U550" s="2"/>
      <c r="AE550" s="2"/>
      <c r="AO550" s="2"/>
      <c r="AY550" s="2"/>
      <c r="BI550" s="2"/>
      <c r="BS550" s="2"/>
      <c r="CC550" s="2"/>
      <c r="CM550" s="2"/>
      <c r="CW550" s="2"/>
    </row>
    <row r="551" spans="1:101" ht="13.5" customHeight="1" x14ac:dyDescent="0.3">
      <c r="A551" s="2"/>
      <c r="K551" s="2"/>
      <c r="U551" s="2"/>
      <c r="AE551" s="2"/>
      <c r="AO551" s="2"/>
      <c r="AY551" s="2"/>
      <c r="BI551" s="2"/>
      <c r="BS551" s="2"/>
      <c r="CC551" s="2"/>
      <c r="CM551" s="2"/>
      <c r="CW551" s="2"/>
    </row>
    <row r="552" spans="1:101" ht="13.5" customHeight="1" x14ac:dyDescent="0.3">
      <c r="A552" s="2"/>
      <c r="K552" s="2"/>
      <c r="U552" s="2"/>
      <c r="AE552" s="2"/>
      <c r="AO552" s="2"/>
      <c r="AY552" s="2"/>
      <c r="BI552" s="2"/>
      <c r="BS552" s="2"/>
      <c r="CC552" s="2"/>
      <c r="CM552" s="2"/>
      <c r="CW552" s="2"/>
    </row>
    <row r="553" spans="1:101" ht="13.5" customHeight="1" x14ac:dyDescent="0.3">
      <c r="A553" s="2"/>
      <c r="K553" s="2"/>
      <c r="U553" s="2"/>
      <c r="AE553" s="2"/>
      <c r="AO553" s="2"/>
      <c r="AY553" s="2"/>
      <c r="BI553" s="2"/>
      <c r="BS553" s="2"/>
      <c r="CC553" s="2"/>
      <c r="CM553" s="2"/>
      <c r="CW553" s="2"/>
    </row>
    <row r="554" spans="1:101" ht="13.5" customHeight="1" x14ac:dyDescent="0.3">
      <c r="A554" s="2"/>
      <c r="K554" s="2"/>
      <c r="U554" s="2"/>
      <c r="AE554" s="2"/>
      <c r="AO554" s="2"/>
      <c r="AY554" s="2"/>
      <c r="BI554" s="2"/>
      <c r="BS554" s="2"/>
      <c r="CC554" s="2"/>
      <c r="CM554" s="2"/>
      <c r="CW554" s="2"/>
    </row>
    <row r="555" spans="1:101" ht="13.5" customHeight="1" x14ac:dyDescent="0.3">
      <c r="A555" s="2"/>
      <c r="K555" s="2"/>
      <c r="U555" s="2"/>
      <c r="AE555" s="2"/>
      <c r="AO555" s="2"/>
      <c r="AY555" s="2"/>
      <c r="BI555" s="2"/>
      <c r="BS555" s="2"/>
      <c r="CC555" s="2"/>
      <c r="CM555" s="2"/>
      <c r="CW555" s="2"/>
    </row>
    <row r="556" spans="1:101" ht="13.5" customHeight="1" x14ac:dyDescent="0.3">
      <c r="A556" s="2"/>
      <c r="K556" s="2"/>
      <c r="U556" s="2"/>
      <c r="AE556" s="2"/>
      <c r="AO556" s="2"/>
      <c r="AY556" s="2"/>
      <c r="BI556" s="2"/>
      <c r="BS556" s="2"/>
      <c r="CC556" s="2"/>
      <c r="CM556" s="2"/>
      <c r="CW556" s="2"/>
    </row>
    <row r="557" spans="1:101" ht="13.5" customHeight="1" x14ac:dyDescent="0.3">
      <c r="A557" s="2"/>
      <c r="K557" s="2"/>
      <c r="U557" s="2"/>
      <c r="AE557" s="2"/>
      <c r="AO557" s="2"/>
      <c r="AY557" s="2"/>
      <c r="BI557" s="2"/>
      <c r="BS557" s="2"/>
      <c r="CC557" s="2"/>
      <c r="CM557" s="2"/>
      <c r="CW557" s="2"/>
    </row>
    <row r="558" spans="1:101" ht="13.5" customHeight="1" x14ac:dyDescent="0.3">
      <c r="A558" s="2"/>
      <c r="K558" s="2"/>
      <c r="U558" s="2"/>
      <c r="AE558" s="2"/>
      <c r="AO558" s="2"/>
      <c r="AY558" s="2"/>
      <c r="BI558" s="2"/>
      <c r="BS558" s="2"/>
      <c r="CC558" s="2"/>
      <c r="CM558" s="2"/>
      <c r="CW558" s="2"/>
    </row>
    <row r="559" spans="1:101" ht="13.5" customHeight="1" x14ac:dyDescent="0.3">
      <c r="A559" s="2"/>
      <c r="K559" s="2"/>
      <c r="U559" s="2"/>
      <c r="AE559" s="2"/>
      <c r="AO559" s="2"/>
      <c r="AY559" s="2"/>
      <c r="BI559" s="2"/>
      <c r="BS559" s="2"/>
      <c r="CC559" s="2"/>
      <c r="CM559" s="2"/>
      <c r="CW559" s="2"/>
    </row>
    <row r="560" spans="1:101" ht="13.5" customHeight="1" x14ac:dyDescent="0.3">
      <c r="A560" s="2"/>
      <c r="K560" s="2"/>
      <c r="U560" s="2"/>
      <c r="AE560" s="2"/>
      <c r="AO560" s="2"/>
      <c r="AY560" s="2"/>
      <c r="BI560" s="2"/>
      <c r="BS560" s="2"/>
      <c r="CC560" s="2"/>
      <c r="CM560" s="2"/>
      <c r="CW560" s="2"/>
    </row>
    <row r="561" spans="1:101" ht="13.5" customHeight="1" x14ac:dyDescent="0.3">
      <c r="A561" s="2"/>
      <c r="K561" s="2"/>
      <c r="U561" s="2"/>
      <c r="AE561" s="2"/>
      <c r="AO561" s="2"/>
      <c r="AY561" s="2"/>
      <c r="BI561" s="2"/>
      <c r="BS561" s="2"/>
      <c r="CC561" s="2"/>
      <c r="CM561" s="2"/>
      <c r="CW561" s="2"/>
    </row>
    <row r="562" spans="1:101" ht="13.5" customHeight="1" x14ac:dyDescent="0.3">
      <c r="A562" s="2"/>
      <c r="K562" s="2"/>
      <c r="U562" s="2"/>
      <c r="AE562" s="2"/>
      <c r="AO562" s="2"/>
      <c r="AY562" s="2"/>
      <c r="BI562" s="2"/>
      <c r="BS562" s="2"/>
      <c r="CC562" s="2"/>
      <c r="CM562" s="2"/>
      <c r="CW562" s="2"/>
    </row>
    <row r="563" spans="1:101" ht="13.5" customHeight="1" x14ac:dyDescent="0.3">
      <c r="A563" s="2"/>
      <c r="K563" s="2"/>
      <c r="U563" s="2"/>
      <c r="AE563" s="2"/>
      <c r="AO563" s="2"/>
      <c r="AY563" s="2"/>
      <c r="BI563" s="2"/>
      <c r="BS563" s="2"/>
      <c r="CC563" s="2"/>
      <c r="CM563" s="2"/>
      <c r="CW563" s="2"/>
    </row>
    <row r="564" spans="1:101" ht="13.5" customHeight="1" x14ac:dyDescent="0.3">
      <c r="A564" s="2"/>
      <c r="K564" s="2"/>
      <c r="U564" s="2"/>
      <c r="AE564" s="2"/>
      <c r="AO564" s="2"/>
      <c r="AY564" s="2"/>
      <c r="BI564" s="2"/>
      <c r="BS564" s="2"/>
      <c r="CC564" s="2"/>
      <c r="CM564" s="2"/>
      <c r="CW564" s="2"/>
    </row>
    <row r="565" spans="1:101" ht="13.5" customHeight="1" x14ac:dyDescent="0.3">
      <c r="A565" s="2"/>
      <c r="K565" s="2"/>
      <c r="U565" s="2"/>
      <c r="AE565" s="2"/>
      <c r="AO565" s="2"/>
      <c r="AY565" s="2"/>
      <c r="BI565" s="2"/>
      <c r="BS565" s="2"/>
      <c r="CC565" s="2"/>
      <c r="CM565" s="2"/>
      <c r="CW565" s="2"/>
    </row>
    <row r="566" spans="1:101" ht="13.5" customHeight="1" x14ac:dyDescent="0.3">
      <c r="A566" s="2"/>
      <c r="K566" s="2"/>
      <c r="U566" s="2"/>
      <c r="AE566" s="2"/>
      <c r="AO566" s="2"/>
      <c r="AY566" s="2"/>
      <c r="BI566" s="2"/>
      <c r="BS566" s="2"/>
      <c r="CC566" s="2"/>
      <c r="CM566" s="2"/>
      <c r="CW566" s="2"/>
    </row>
    <row r="567" spans="1:101" ht="13.5" customHeight="1" x14ac:dyDescent="0.3">
      <c r="A567" s="2"/>
      <c r="K567" s="2"/>
      <c r="U567" s="2"/>
      <c r="AE567" s="2"/>
      <c r="AO567" s="2"/>
      <c r="AY567" s="2"/>
      <c r="BI567" s="2"/>
      <c r="BS567" s="2"/>
      <c r="CC567" s="2"/>
      <c r="CM567" s="2"/>
      <c r="CW567" s="2"/>
    </row>
    <row r="568" spans="1:101" ht="13.5" customHeight="1" x14ac:dyDescent="0.3">
      <c r="A568" s="2"/>
      <c r="K568" s="2"/>
      <c r="U568" s="2"/>
      <c r="AE568" s="2"/>
      <c r="AO568" s="2"/>
      <c r="AY568" s="2"/>
      <c r="BI568" s="2"/>
      <c r="BS568" s="2"/>
      <c r="CC568" s="2"/>
      <c r="CM568" s="2"/>
      <c r="CW568" s="2"/>
    </row>
    <row r="569" spans="1:101" ht="13.5" customHeight="1" x14ac:dyDescent="0.3">
      <c r="A569" s="2"/>
      <c r="K569" s="2"/>
      <c r="U569" s="2"/>
      <c r="AE569" s="2"/>
      <c r="AO569" s="2"/>
      <c r="AY569" s="2"/>
      <c r="BI569" s="2"/>
      <c r="BS569" s="2"/>
      <c r="CC569" s="2"/>
      <c r="CM569" s="2"/>
      <c r="CW569" s="2"/>
    </row>
    <row r="570" spans="1:101" ht="13.5" customHeight="1" x14ac:dyDescent="0.3">
      <c r="A570" s="2"/>
      <c r="K570" s="2"/>
      <c r="U570" s="2"/>
      <c r="AE570" s="2"/>
      <c r="AO570" s="2"/>
      <c r="AY570" s="2"/>
      <c r="BI570" s="2"/>
      <c r="BS570" s="2"/>
      <c r="CC570" s="2"/>
      <c r="CM570" s="2"/>
      <c r="CW570" s="2"/>
    </row>
    <row r="571" spans="1:101" ht="13.5" customHeight="1" x14ac:dyDescent="0.3">
      <c r="A571" s="2"/>
      <c r="K571" s="2"/>
      <c r="U571" s="2"/>
      <c r="AE571" s="2"/>
      <c r="AO571" s="2"/>
      <c r="AY571" s="2"/>
      <c r="BI571" s="2"/>
      <c r="BS571" s="2"/>
      <c r="CC571" s="2"/>
      <c r="CM571" s="2"/>
      <c r="CW571" s="2"/>
    </row>
    <row r="572" spans="1:101" ht="13.5" customHeight="1" x14ac:dyDescent="0.3">
      <c r="A572" s="2"/>
      <c r="K572" s="2"/>
      <c r="U572" s="2"/>
      <c r="AE572" s="2"/>
      <c r="AO572" s="2"/>
      <c r="AY572" s="2"/>
      <c r="BI572" s="2"/>
      <c r="BS572" s="2"/>
      <c r="CC572" s="2"/>
      <c r="CM572" s="2"/>
      <c r="CW572" s="2"/>
    </row>
    <row r="573" spans="1:101" ht="13.5" customHeight="1" x14ac:dyDescent="0.3">
      <c r="A573" s="2"/>
      <c r="K573" s="2"/>
      <c r="U573" s="2"/>
      <c r="AE573" s="2"/>
      <c r="AO573" s="2"/>
      <c r="AY573" s="2"/>
      <c r="BI573" s="2"/>
      <c r="BS573" s="2"/>
      <c r="CC573" s="2"/>
      <c r="CM573" s="2"/>
      <c r="CW573" s="2"/>
    </row>
    <row r="574" spans="1:101" ht="13.5" customHeight="1" x14ac:dyDescent="0.3">
      <c r="A574" s="2"/>
      <c r="K574" s="2"/>
      <c r="U574" s="2"/>
      <c r="AE574" s="2"/>
      <c r="AO574" s="2"/>
      <c r="AY574" s="2"/>
      <c r="BI574" s="2"/>
      <c r="BS574" s="2"/>
      <c r="CC574" s="2"/>
      <c r="CM574" s="2"/>
      <c r="CW574" s="2"/>
    </row>
    <row r="575" spans="1:101" ht="13.5" customHeight="1" x14ac:dyDescent="0.3">
      <c r="A575" s="2"/>
      <c r="K575" s="2"/>
      <c r="U575" s="2"/>
      <c r="AE575" s="2"/>
      <c r="AO575" s="2"/>
      <c r="AY575" s="2"/>
      <c r="BI575" s="2"/>
      <c r="BS575" s="2"/>
      <c r="CC575" s="2"/>
      <c r="CM575" s="2"/>
      <c r="CW575" s="2"/>
    </row>
    <row r="576" spans="1:101" ht="13.5" customHeight="1" x14ac:dyDescent="0.3">
      <c r="A576" s="2"/>
      <c r="K576" s="2"/>
      <c r="U576" s="2"/>
      <c r="AE576" s="2"/>
      <c r="AO576" s="2"/>
      <c r="AY576" s="2"/>
      <c r="BI576" s="2"/>
      <c r="BS576" s="2"/>
      <c r="CC576" s="2"/>
      <c r="CM576" s="2"/>
      <c r="CW576" s="2"/>
    </row>
    <row r="577" spans="1:101" ht="13.5" customHeight="1" x14ac:dyDescent="0.3">
      <c r="A577" s="2"/>
      <c r="K577" s="2"/>
      <c r="U577" s="2"/>
      <c r="AE577" s="2"/>
      <c r="AO577" s="2"/>
      <c r="AY577" s="2"/>
      <c r="BI577" s="2"/>
      <c r="BS577" s="2"/>
      <c r="CC577" s="2"/>
      <c r="CM577" s="2"/>
      <c r="CW577" s="2"/>
    </row>
    <row r="578" spans="1:101" ht="13.5" customHeight="1" x14ac:dyDescent="0.3">
      <c r="A578" s="2"/>
      <c r="K578" s="2"/>
      <c r="U578" s="2"/>
      <c r="AE578" s="2"/>
      <c r="AO578" s="2"/>
      <c r="AY578" s="2"/>
      <c r="BI578" s="2"/>
      <c r="BS578" s="2"/>
      <c r="CC578" s="2"/>
      <c r="CM578" s="2"/>
      <c r="CW578" s="2"/>
    </row>
    <row r="579" spans="1:101" ht="13.5" customHeight="1" x14ac:dyDescent="0.3">
      <c r="A579" s="2"/>
      <c r="K579" s="2"/>
      <c r="U579" s="2"/>
      <c r="AE579" s="2"/>
      <c r="AO579" s="2"/>
      <c r="AY579" s="2"/>
      <c r="BI579" s="2"/>
      <c r="BS579" s="2"/>
      <c r="CC579" s="2"/>
      <c r="CM579" s="2"/>
      <c r="CW579" s="2"/>
    </row>
    <row r="580" spans="1:101" ht="13.5" customHeight="1" x14ac:dyDescent="0.3">
      <c r="A580" s="2"/>
      <c r="K580" s="2"/>
      <c r="U580" s="2"/>
      <c r="AE580" s="2"/>
      <c r="AO580" s="2"/>
      <c r="AY580" s="2"/>
      <c r="BI580" s="2"/>
      <c r="BS580" s="2"/>
      <c r="CC580" s="2"/>
      <c r="CM580" s="2"/>
      <c r="CW580" s="2"/>
    </row>
    <row r="581" spans="1:101" ht="13.5" customHeight="1" x14ac:dyDescent="0.3">
      <c r="A581" s="2"/>
      <c r="K581" s="2"/>
      <c r="U581" s="2"/>
      <c r="AE581" s="2"/>
      <c r="AO581" s="2"/>
      <c r="AY581" s="2"/>
      <c r="BI581" s="2"/>
      <c r="BS581" s="2"/>
      <c r="CC581" s="2"/>
      <c r="CM581" s="2"/>
      <c r="CW581" s="2"/>
    </row>
    <row r="582" spans="1:101" ht="13.5" customHeight="1" x14ac:dyDescent="0.3">
      <c r="A582" s="2"/>
      <c r="K582" s="2"/>
      <c r="U582" s="2"/>
      <c r="AE582" s="2"/>
      <c r="AO582" s="2"/>
      <c r="AY582" s="2"/>
      <c r="BI582" s="2"/>
      <c r="BS582" s="2"/>
      <c r="CC582" s="2"/>
      <c r="CM582" s="2"/>
      <c r="CW582" s="2"/>
    </row>
    <row r="583" spans="1:101" ht="13.5" customHeight="1" x14ac:dyDescent="0.3">
      <c r="A583" s="2"/>
      <c r="K583" s="2"/>
      <c r="U583" s="2"/>
      <c r="AE583" s="2"/>
      <c r="AO583" s="2"/>
      <c r="AY583" s="2"/>
      <c r="BI583" s="2"/>
      <c r="BS583" s="2"/>
      <c r="CC583" s="2"/>
      <c r="CM583" s="2"/>
      <c r="CW583" s="2"/>
    </row>
    <row r="584" spans="1:101" ht="13.5" customHeight="1" x14ac:dyDescent="0.3">
      <c r="A584" s="2"/>
      <c r="K584" s="2"/>
      <c r="U584" s="2"/>
      <c r="AE584" s="2"/>
      <c r="AO584" s="2"/>
      <c r="AY584" s="2"/>
      <c r="BI584" s="2"/>
      <c r="BS584" s="2"/>
      <c r="CC584" s="2"/>
      <c r="CM584" s="2"/>
      <c r="CW584" s="2"/>
    </row>
    <row r="585" spans="1:101" ht="13.5" customHeight="1" x14ac:dyDescent="0.3">
      <c r="A585" s="2"/>
      <c r="K585" s="2"/>
      <c r="U585" s="2"/>
      <c r="AE585" s="2"/>
      <c r="AO585" s="2"/>
      <c r="AY585" s="2"/>
      <c r="BI585" s="2"/>
      <c r="BS585" s="2"/>
      <c r="CC585" s="2"/>
      <c r="CM585" s="2"/>
      <c r="CW585" s="2"/>
    </row>
    <row r="586" spans="1:101" ht="13.5" customHeight="1" x14ac:dyDescent="0.3">
      <c r="A586" s="2"/>
      <c r="K586" s="2"/>
      <c r="U586" s="2"/>
      <c r="AE586" s="2"/>
      <c r="AO586" s="2"/>
      <c r="AY586" s="2"/>
      <c r="BI586" s="2"/>
      <c r="BS586" s="2"/>
      <c r="CC586" s="2"/>
      <c r="CM586" s="2"/>
      <c r="CW586" s="2"/>
    </row>
    <row r="587" spans="1:101" ht="13.5" customHeight="1" x14ac:dyDescent="0.3">
      <c r="A587" s="2"/>
      <c r="K587" s="2"/>
      <c r="U587" s="2"/>
      <c r="AE587" s="2"/>
      <c r="AO587" s="2"/>
      <c r="AY587" s="2"/>
      <c r="BI587" s="2"/>
      <c r="BS587" s="2"/>
      <c r="CC587" s="2"/>
      <c r="CM587" s="2"/>
      <c r="CW587" s="2"/>
    </row>
    <row r="588" spans="1:101" ht="13.5" customHeight="1" x14ac:dyDescent="0.3">
      <c r="A588" s="2"/>
      <c r="K588" s="2"/>
      <c r="U588" s="2"/>
      <c r="AE588" s="2"/>
      <c r="AO588" s="2"/>
      <c r="AY588" s="2"/>
      <c r="BI588" s="2"/>
      <c r="BS588" s="2"/>
      <c r="CC588" s="2"/>
      <c r="CM588" s="2"/>
      <c r="CW588" s="2"/>
    </row>
    <row r="589" spans="1:101" ht="13.5" customHeight="1" x14ac:dyDescent="0.3">
      <c r="A589" s="2"/>
      <c r="K589" s="2"/>
      <c r="U589" s="2"/>
      <c r="AE589" s="2"/>
      <c r="AO589" s="2"/>
      <c r="AY589" s="2"/>
      <c r="BI589" s="2"/>
      <c r="BS589" s="2"/>
      <c r="CC589" s="2"/>
      <c r="CM589" s="2"/>
      <c r="CW589" s="2"/>
    </row>
    <row r="590" spans="1:101" ht="13.5" customHeight="1" x14ac:dyDescent="0.3">
      <c r="A590" s="2"/>
      <c r="K590" s="2"/>
      <c r="U590" s="2"/>
      <c r="AE590" s="2"/>
      <c r="AO590" s="2"/>
      <c r="AY590" s="2"/>
      <c r="BI590" s="2"/>
      <c r="BS590" s="2"/>
      <c r="CC590" s="2"/>
      <c r="CM590" s="2"/>
      <c r="CW590" s="2"/>
    </row>
    <row r="591" spans="1:101" ht="13.5" customHeight="1" x14ac:dyDescent="0.3">
      <c r="A591" s="2"/>
      <c r="K591" s="2"/>
      <c r="U591" s="2"/>
      <c r="AE591" s="2"/>
      <c r="AO591" s="2"/>
      <c r="AY591" s="2"/>
      <c r="BI591" s="2"/>
      <c r="BS591" s="2"/>
      <c r="CC591" s="2"/>
      <c r="CM591" s="2"/>
      <c r="CW591" s="2"/>
    </row>
    <row r="592" spans="1:101" ht="13.5" customHeight="1" x14ac:dyDescent="0.3">
      <c r="A592" s="2"/>
      <c r="K592" s="2"/>
      <c r="U592" s="2"/>
      <c r="AE592" s="2"/>
      <c r="AO592" s="2"/>
      <c r="AY592" s="2"/>
      <c r="BI592" s="2"/>
      <c r="BS592" s="2"/>
      <c r="CC592" s="2"/>
      <c r="CM592" s="2"/>
      <c r="CW592" s="2"/>
    </row>
    <row r="593" spans="1:101" ht="13.5" customHeight="1" x14ac:dyDescent="0.3">
      <c r="A593" s="2"/>
      <c r="K593" s="2"/>
      <c r="U593" s="2"/>
      <c r="AE593" s="2"/>
      <c r="AO593" s="2"/>
      <c r="AY593" s="2"/>
      <c r="BI593" s="2"/>
      <c r="BS593" s="2"/>
      <c r="CC593" s="2"/>
      <c r="CM593" s="2"/>
      <c r="CW593" s="2"/>
    </row>
    <row r="594" spans="1:101" ht="13.5" customHeight="1" x14ac:dyDescent="0.3">
      <c r="A594" s="2"/>
      <c r="K594" s="2"/>
      <c r="U594" s="2"/>
      <c r="AE594" s="2"/>
      <c r="AO594" s="2"/>
      <c r="AY594" s="2"/>
      <c r="BI594" s="2"/>
      <c r="BS594" s="2"/>
      <c r="CC594" s="2"/>
      <c r="CM594" s="2"/>
      <c r="CW594" s="2"/>
    </row>
    <row r="595" spans="1:101" ht="13.5" customHeight="1" x14ac:dyDescent="0.3">
      <c r="A595" s="2"/>
      <c r="K595" s="2"/>
      <c r="U595" s="2"/>
      <c r="AE595" s="2"/>
      <c r="AO595" s="2"/>
      <c r="AY595" s="2"/>
      <c r="BI595" s="2"/>
      <c r="BS595" s="2"/>
      <c r="CC595" s="2"/>
      <c r="CM595" s="2"/>
      <c r="CW595" s="2"/>
    </row>
    <row r="596" spans="1:101" ht="13.5" customHeight="1" x14ac:dyDescent="0.3">
      <c r="A596" s="2"/>
      <c r="K596" s="2"/>
      <c r="U596" s="2"/>
      <c r="AE596" s="2"/>
      <c r="AO596" s="2"/>
      <c r="AY596" s="2"/>
      <c r="BI596" s="2"/>
      <c r="BS596" s="2"/>
      <c r="CC596" s="2"/>
      <c r="CM596" s="2"/>
      <c r="CW596" s="2"/>
    </row>
    <row r="597" spans="1:101" ht="13.5" customHeight="1" x14ac:dyDescent="0.3">
      <c r="A597" s="2"/>
      <c r="K597" s="2"/>
      <c r="U597" s="2"/>
      <c r="AE597" s="2"/>
      <c r="AO597" s="2"/>
      <c r="AY597" s="2"/>
      <c r="BI597" s="2"/>
      <c r="BS597" s="2"/>
      <c r="CC597" s="2"/>
      <c r="CM597" s="2"/>
      <c r="CW597" s="2"/>
    </row>
    <row r="598" spans="1:101" ht="13.5" customHeight="1" x14ac:dyDescent="0.3">
      <c r="A598" s="2"/>
      <c r="K598" s="2"/>
      <c r="U598" s="2"/>
      <c r="AE598" s="2"/>
      <c r="AO598" s="2"/>
      <c r="AY598" s="2"/>
      <c r="BI598" s="2"/>
      <c r="BS598" s="2"/>
      <c r="CC598" s="2"/>
      <c r="CM598" s="2"/>
      <c r="CW598" s="2"/>
    </row>
    <row r="599" spans="1:101" ht="13.5" customHeight="1" x14ac:dyDescent="0.3">
      <c r="A599" s="2"/>
      <c r="K599" s="2"/>
      <c r="U599" s="2"/>
      <c r="AE599" s="2"/>
      <c r="AO599" s="2"/>
      <c r="AY599" s="2"/>
      <c r="BI599" s="2"/>
      <c r="BS599" s="2"/>
      <c r="CC599" s="2"/>
      <c r="CM599" s="2"/>
      <c r="CW599" s="2"/>
    </row>
    <row r="600" spans="1:101" ht="13.5" customHeight="1" x14ac:dyDescent="0.3">
      <c r="A600" s="2"/>
      <c r="K600" s="2"/>
      <c r="U600" s="2"/>
      <c r="AE600" s="2"/>
      <c r="AO600" s="2"/>
      <c r="AY600" s="2"/>
      <c r="BI600" s="2"/>
      <c r="BS600" s="2"/>
      <c r="CC600" s="2"/>
      <c r="CM600" s="2"/>
      <c r="CW600" s="2"/>
    </row>
    <row r="601" spans="1:101" ht="13.5" customHeight="1" x14ac:dyDescent="0.3">
      <c r="A601" s="2"/>
      <c r="K601" s="2"/>
      <c r="U601" s="2"/>
      <c r="AE601" s="2"/>
      <c r="AO601" s="2"/>
      <c r="AY601" s="2"/>
      <c r="BI601" s="2"/>
      <c r="BS601" s="2"/>
      <c r="CC601" s="2"/>
      <c r="CM601" s="2"/>
      <c r="CW601" s="2"/>
    </row>
    <row r="602" spans="1:101" ht="13.5" customHeight="1" x14ac:dyDescent="0.3">
      <c r="A602" s="2"/>
      <c r="K602" s="2"/>
      <c r="U602" s="2"/>
      <c r="AE602" s="2"/>
      <c r="AO602" s="2"/>
      <c r="AY602" s="2"/>
      <c r="BI602" s="2"/>
      <c r="BS602" s="2"/>
      <c r="CC602" s="2"/>
      <c r="CM602" s="2"/>
      <c r="CW602" s="2"/>
    </row>
    <row r="603" spans="1:101" ht="13.5" customHeight="1" x14ac:dyDescent="0.3">
      <c r="A603" s="2"/>
      <c r="K603" s="2"/>
      <c r="U603" s="2"/>
      <c r="AE603" s="2"/>
      <c r="AO603" s="2"/>
      <c r="AY603" s="2"/>
      <c r="BI603" s="2"/>
      <c r="BS603" s="2"/>
      <c r="CC603" s="2"/>
      <c r="CM603" s="2"/>
      <c r="CW603" s="2"/>
    </row>
    <row r="604" spans="1:101" ht="13.5" customHeight="1" x14ac:dyDescent="0.3">
      <c r="A604" s="2"/>
      <c r="K604" s="2"/>
      <c r="U604" s="2"/>
      <c r="AE604" s="2"/>
      <c r="AO604" s="2"/>
      <c r="AY604" s="2"/>
      <c r="BI604" s="2"/>
      <c r="BS604" s="2"/>
      <c r="CC604" s="2"/>
      <c r="CM604" s="2"/>
      <c r="CW604" s="2"/>
    </row>
    <row r="605" spans="1:101" ht="13.5" customHeight="1" x14ac:dyDescent="0.3">
      <c r="A605" s="2"/>
      <c r="K605" s="2"/>
      <c r="U605" s="2"/>
      <c r="AE605" s="2"/>
      <c r="AO605" s="2"/>
      <c r="AY605" s="2"/>
      <c r="BI605" s="2"/>
      <c r="BS605" s="2"/>
      <c r="CC605" s="2"/>
      <c r="CM605" s="2"/>
      <c r="CW605" s="2"/>
    </row>
    <row r="606" spans="1:101" ht="13.5" customHeight="1" x14ac:dyDescent="0.3">
      <c r="A606" s="2"/>
      <c r="K606" s="2"/>
      <c r="U606" s="2"/>
      <c r="AE606" s="2"/>
      <c r="AO606" s="2"/>
      <c r="AY606" s="2"/>
      <c r="BI606" s="2"/>
      <c r="BS606" s="2"/>
      <c r="CC606" s="2"/>
      <c r="CM606" s="2"/>
      <c r="CW606" s="2"/>
    </row>
    <row r="607" spans="1:101" ht="13.5" customHeight="1" x14ac:dyDescent="0.3">
      <c r="A607" s="2"/>
      <c r="K607" s="2"/>
      <c r="U607" s="2"/>
      <c r="AE607" s="2"/>
      <c r="AO607" s="2"/>
      <c r="AY607" s="2"/>
      <c r="BI607" s="2"/>
      <c r="BS607" s="2"/>
      <c r="CC607" s="2"/>
      <c r="CM607" s="2"/>
      <c r="CW607" s="2"/>
    </row>
    <row r="608" spans="1:101" ht="13.5" customHeight="1" x14ac:dyDescent="0.3">
      <c r="A608" s="2"/>
      <c r="K608" s="2"/>
      <c r="U608" s="2"/>
      <c r="AE608" s="2"/>
      <c r="AO608" s="2"/>
      <c r="AY608" s="2"/>
      <c r="BI608" s="2"/>
      <c r="BS608" s="2"/>
      <c r="CC608" s="2"/>
      <c r="CM608" s="2"/>
      <c r="CW608" s="2"/>
    </row>
    <row r="609" spans="1:101" ht="13.5" customHeight="1" x14ac:dyDescent="0.3">
      <c r="A609" s="2"/>
      <c r="K609" s="2"/>
      <c r="U609" s="2"/>
      <c r="AE609" s="2"/>
      <c r="AO609" s="2"/>
      <c r="AY609" s="2"/>
      <c r="BI609" s="2"/>
      <c r="BS609" s="2"/>
      <c r="CC609" s="2"/>
      <c r="CM609" s="2"/>
      <c r="CW609" s="2"/>
    </row>
    <row r="610" spans="1:101" ht="13.5" customHeight="1" x14ac:dyDescent="0.3">
      <c r="A610" s="2"/>
      <c r="K610" s="2"/>
      <c r="U610" s="2"/>
      <c r="AE610" s="2"/>
      <c r="AO610" s="2"/>
      <c r="AY610" s="2"/>
      <c r="BI610" s="2"/>
      <c r="BS610" s="2"/>
      <c r="CC610" s="2"/>
      <c r="CM610" s="2"/>
      <c r="CW610" s="2"/>
    </row>
    <row r="611" spans="1:101" ht="13.5" customHeight="1" x14ac:dyDescent="0.3">
      <c r="A611" s="2"/>
      <c r="K611" s="2"/>
      <c r="U611" s="2"/>
      <c r="AE611" s="2"/>
      <c r="AO611" s="2"/>
      <c r="AY611" s="2"/>
      <c r="BI611" s="2"/>
      <c r="BS611" s="2"/>
      <c r="CC611" s="2"/>
      <c r="CM611" s="2"/>
      <c r="CW611" s="2"/>
    </row>
    <row r="612" spans="1:101" ht="13.5" customHeight="1" x14ac:dyDescent="0.3">
      <c r="A612" s="2"/>
      <c r="K612" s="2"/>
      <c r="U612" s="2"/>
      <c r="AE612" s="2"/>
      <c r="AO612" s="2"/>
      <c r="AY612" s="2"/>
      <c r="BI612" s="2"/>
      <c r="BS612" s="2"/>
      <c r="CC612" s="2"/>
      <c r="CM612" s="2"/>
      <c r="CW612" s="2"/>
    </row>
    <row r="613" spans="1:101" ht="13.5" customHeight="1" x14ac:dyDescent="0.3">
      <c r="A613" s="2"/>
      <c r="K613" s="2"/>
      <c r="U613" s="2"/>
      <c r="AE613" s="2"/>
      <c r="AO613" s="2"/>
      <c r="AY613" s="2"/>
      <c r="BI613" s="2"/>
      <c r="BS613" s="2"/>
      <c r="CC613" s="2"/>
      <c r="CM613" s="2"/>
      <c r="CW613" s="2"/>
    </row>
    <row r="614" spans="1:101" ht="13.5" customHeight="1" x14ac:dyDescent="0.3">
      <c r="A614" s="2"/>
      <c r="K614" s="2"/>
      <c r="U614" s="2"/>
      <c r="AE614" s="2"/>
      <c r="AO614" s="2"/>
      <c r="AY614" s="2"/>
      <c r="BI614" s="2"/>
      <c r="BS614" s="2"/>
      <c r="CC614" s="2"/>
      <c r="CM614" s="2"/>
      <c r="CW614" s="2"/>
    </row>
    <row r="615" spans="1:101" ht="13.5" customHeight="1" x14ac:dyDescent="0.3">
      <c r="A615" s="2"/>
      <c r="K615" s="2"/>
      <c r="U615" s="2"/>
      <c r="AE615" s="2"/>
      <c r="AO615" s="2"/>
      <c r="AY615" s="2"/>
      <c r="BI615" s="2"/>
      <c r="BS615" s="2"/>
      <c r="CC615" s="2"/>
      <c r="CM615" s="2"/>
      <c r="CW615" s="2"/>
    </row>
    <row r="616" spans="1:101" ht="13.5" customHeight="1" x14ac:dyDescent="0.3">
      <c r="A616" s="2"/>
      <c r="K616" s="2"/>
      <c r="U616" s="2"/>
      <c r="AE616" s="2"/>
      <c r="AO616" s="2"/>
      <c r="AY616" s="2"/>
      <c r="BI616" s="2"/>
      <c r="BS616" s="2"/>
      <c r="CC616" s="2"/>
      <c r="CM616" s="2"/>
      <c r="CW616" s="2"/>
    </row>
    <row r="617" spans="1:101" ht="13.5" customHeight="1" x14ac:dyDescent="0.3">
      <c r="A617" s="2"/>
      <c r="K617" s="2"/>
      <c r="U617" s="2"/>
      <c r="AE617" s="2"/>
      <c r="AO617" s="2"/>
      <c r="AY617" s="2"/>
      <c r="BI617" s="2"/>
      <c r="BS617" s="2"/>
      <c r="CC617" s="2"/>
      <c r="CM617" s="2"/>
      <c r="CW617" s="2"/>
    </row>
    <row r="618" spans="1:101" ht="13.5" customHeight="1" x14ac:dyDescent="0.3">
      <c r="A618" s="2"/>
      <c r="K618" s="2"/>
      <c r="U618" s="2"/>
      <c r="AE618" s="2"/>
      <c r="AO618" s="2"/>
      <c r="AY618" s="2"/>
      <c r="BI618" s="2"/>
      <c r="BS618" s="2"/>
      <c r="CC618" s="2"/>
      <c r="CM618" s="2"/>
      <c r="CW618" s="2"/>
    </row>
    <row r="619" spans="1:101" ht="13.5" customHeight="1" x14ac:dyDescent="0.3">
      <c r="A619" s="2"/>
      <c r="K619" s="2"/>
      <c r="U619" s="2"/>
      <c r="AE619" s="2"/>
      <c r="AO619" s="2"/>
      <c r="AY619" s="2"/>
      <c r="BI619" s="2"/>
      <c r="BS619" s="2"/>
      <c r="CC619" s="2"/>
      <c r="CM619" s="2"/>
      <c r="CW619" s="2"/>
    </row>
    <row r="620" spans="1:101" ht="13.5" customHeight="1" x14ac:dyDescent="0.3">
      <c r="A620" s="2"/>
      <c r="K620" s="2"/>
      <c r="U620" s="2"/>
      <c r="AE620" s="2"/>
      <c r="AO620" s="2"/>
      <c r="AY620" s="2"/>
      <c r="BI620" s="2"/>
      <c r="BS620" s="2"/>
      <c r="CC620" s="2"/>
      <c r="CM620" s="2"/>
      <c r="CW620" s="2"/>
    </row>
    <row r="621" spans="1:101" ht="13.5" customHeight="1" x14ac:dyDescent="0.3">
      <c r="A621" s="2"/>
      <c r="K621" s="2"/>
      <c r="U621" s="2"/>
      <c r="AE621" s="2"/>
      <c r="AO621" s="2"/>
      <c r="AY621" s="2"/>
      <c r="BI621" s="2"/>
      <c r="BS621" s="2"/>
      <c r="CC621" s="2"/>
      <c r="CM621" s="2"/>
      <c r="CW621" s="2"/>
    </row>
    <row r="622" spans="1:101" ht="13.5" customHeight="1" x14ac:dyDescent="0.3">
      <c r="A622" s="2"/>
      <c r="K622" s="2"/>
      <c r="U622" s="2"/>
      <c r="AE622" s="2"/>
      <c r="AO622" s="2"/>
      <c r="AY622" s="2"/>
      <c r="BI622" s="2"/>
      <c r="BS622" s="2"/>
      <c r="CC622" s="2"/>
      <c r="CM622" s="2"/>
      <c r="CW622" s="2"/>
    </row>
    <row r="623" spans="1:101" ht="13.5" customHeight="1" x14ac:dyDescent="0.3">
      <c r="A623" s="2"/>
      <c r="K623" s="2"/>
      <c r="U623" s="2"/>
      <c r="AE623" s="2"/>
      <c r="AO623" s="2"/>
      <c r="AY623" s="2"/>
      <c r="BI623" s="2"/>
      <c r="BS623" s="2"/>
      <c r="CC623" s="2"/>
      <c r="CM623" s="2"/>
      <c r="CW623" s="2"/>
    </row>
    <row r="624" spans="1:101" ht="13.5" customHeight="1" x14ac:dyDescent="0.3">
      <c r="A624" s="2"/>
      <c r="K624" s="2"/>
      <c r="U624" s="2"/>
      <c r="AE624" s="2"/>
      <c r="AO624" s="2"/>
      <c r="AY624" s="2"/>
      <c r="BI624" s="2"/>
      <c r="BS624" s="2"/>
      <c r="CC624" s="2"/>
      <c r="CM624" s="2"/>
      <c r="CW624" s="2"/>
    </row>
    <row r="625" spans="1:101" ht="13.5" customHeight="1" x14ac:dyDescent="0.3">
      <c r="A625" s="2"/>
      <c r="K625" s="2"/>
      <c r="U625" s="2"/>
      <c r="AE625" s="2"/>
      <c r="AO625" s="2"/>
      <c r="AY625" s="2"/>
      <c r="BI625" s="2"/>
      <c r="BS625" s="2"/>
      <c r="CC625" s="2"/>
      <c r="CM625" s="2"/>
      <c r="CW625" s="2"/>
    </row>
    <row r="626" spans="1:101" ht="13.5" customHeight="1" x14ac:dyDescent="0.3">
      <c r="A626" s="2"/>
      <c r="K626" s="2"/>
      <c r="U626" s="2"/>
      <c r="AE626" s="2"/>
      <c r="AO626" s="2"/>
      <c r="AY626" s="2"/>
      <c r="BI626" s="2"/>
      <c r="BS626" s="2"/>
      <c r="CC626" s="2"/>
      <c r="CM626" s="2"/>
      <c r="CW626" s="2"/>
    </row>
    <row r="627" spans="1:101" ht="13.5" customHeight="1" x14ac:dyDescent="0.3">
      <c r="A627" s="2"/>
      <c r="K627" s="2"/>
      <c r="U627" s="2"/>
      <c r="AE627" s="2"/>
      <c r="AO627" s="2"/>
      <c r="AY627" s="2"/>
      <c r="BI627" s="2"/>
      <c r="BS627" s="2"/>
      <c r="CC627" s="2"/>
      <c r="CM627" s="2"/>
      <c r="CW627" s="2"/>
    </row>
    <row r="628" spans="1:101" ht="13.5" customHeight="1" x14ac:dyDescent="0.3">
      <c r="A628" s="2"/>
      <c r="K628" s="2"/>
      <c r="U628" s="2"/>
      <c r="AE628" s="2"/>
      <c r="AO628" s="2"/>
      <c r="AY628" s="2"/>
      <c r="BI628" s="2"/>
      <c r="BS628" s="2"/>
      <c r="CC628" s="2"/>
      <c r="CM628" s="2"/>
      <c r="CW628" s="2"/>
    </row>
    <row r="629" spans="1:101" ht="13.5" customHeight="1" x14ac:dyDescent="0.3">
      <c r="A629" s="2"/>
      <c r="K629" s="2"/>
      <c r="U629" s="2"/>
      <c r="AE629" s="2"/>
      <c r="AO629" s="2"/>
      <c r="AY629" s="2"/>
      <c r="BI629" s="2"/>
      <c r="BS629" s="2"/>
      <c r="CC629" s="2"/>
      <c r="CM629" s="2"/>
      <c r="CW629" s="2"/>
    </row>
    <row r="630" spans="1:101" ht="13.5" customHeight="1" x14ac:dyDescent="0.3">
      <c r="A630" s="2"/>
      <c r="K630" s="2"/>
      <c r="U630" s="2"/>
      <c r="AE630" s="2"/>
      <c r="AO630" s="2"/>
      <c r="AY630" s="2"/>
      <c r="BI630" s="2"/>
      <c r="BS630" s="2"/>
      <c r="CC630" s="2"/>
      <c r="CM630" s="2"/>
      <c r="CW630" s="2"/>
    </row>
    <row r="631" spans="1:101" ht="13.5" customHeight="1" x14ac:dyDescent="0.3">
      <c r="A631" s="2"/>
      <c r="K631" s="2"/>
      <c r="U631" s="2"/>
      <c r="AE631" s="2"/>
      <c r="AO631" s="2"/>
      <c r="AY631" s="2"/>
      <c r="BI631" s="2"/>
      <c r="BS631" s="2"/>
      <c r="CC631" s="2"/>
      <c r="CM631" s="2"/>
      <c r="CW631" s="2"/>
    </row>
    <row r="632" spans="1:101" ht="13.5" customHeight="1" x14ac:dyDescent="0.3">
      <c r="A632" s="2"/>
      <c r="K632" s="2"/>
      <c r="U632" s="2"/>
      <c r="AE632" s="2"/>
      <c r="AO632" s="2"/>
      <c r="AY632" s="2"/>
      <c r="BI632" s="2"/>
      <c r="BS632" s="2"/>
      <c r="CC632" s="2"/>
      <c r="CM632" s="2"/>
      <c r="CW632" s="2"/>
    </row>
    <row r="633" spans="1:101" ht="13.5" customHeight="1" x14ac:dyDescent="0.3">
      <c r="A633" s="2"/>
      <c r="K633" s="2"/>
      <c r="U633" s="2"/>
      <c r="AE633" s="2"/>
      <c r="AO633" s="2"/>
      <c r="AY633" s="2"/>
      <c r="BI633" s="2"/>
      <c r="BS633" s="2"/>
      <c r="CC633" s="2"/>
      <c r="CM633" s="2"/>
      <c r="CW633" s="2"/>
    </row>
    <row r="634" spans="1:101" ht="13.5" customHeight="1" x14ac:dyDescent="0.3">
      <c r="A634" s="2"/>
      <c r="K634" s="2"/>
      <c r="U634" s="2"/>
      <c r="AE634" s="2"/>
      <c r="AO634" s="2"/>
      <c r="AY634" s="2"/>
      <c r="BI634" s="2"/>
      <c r="BS634" s="2"/>
      <c r="CC634" s="2"/>
      <c r="CM634" s="2"/>
      <c r="CW634" s="2"/>
    </row>
    <row r="635" spans="1:101" ht="13.5" customHeight="1" x14ac:dyDescent="0.3">
      <c r="A635" s="2"/>
      <c r="K635" s="2"/>
      <c r="U635" s="2"/>
      <c r="AE635" s="2"/>
      <c r="AO635" s="2"/>
      <c r="AY635" s="2"/>
      <c r="BI635" s="2"/>
      <c r="BS635" s="2"/>
      <c r="CC635" s="2"/>
      <c r="CM635" s="2"/>
      <c r="CW635" s="2"/>
    </row>
    <row r="636" spans="1:101" ht="13.5" customHeight="1" x14ac:dyDescent="0.3">
      <c r="A636" s="2"/>
      <c r="K636" s="2"/>
      <c r="U636" s="2"/>
      <c r="AE636" s="2"/>
      <c r="AO636" s="2"/>
      <c r="AY636" s="2"/>
      <c r="BI636" s="2"/>
      <c r="BS636" s="2"/>
      <c r="CC636" s="2"/>
      <c r="CM636" s="2"/>
      <c r="CW636" s="2"/>
    </row>
    <row r="637" spans="1:101" ht="13.5" customHeight="1" x14ac:dyDescent="0.3">
      <c r="A637" s="2"/>
      <c r="K637" s="2"/>
      <c r="U637" s="2"/>
      <c r="AE637" s="2"/>
      <c r="AO637" s="2"/>
      <c r="AY637" s="2"/>
      <c r="BI637" s="2"/>
      <c r="BS637" s="2"/>
      <c r="CC637" s="2"/>
      <c r="CM637" s="2"/>
      <c r="CW637" s="2"/>
    </row>
    <row r="638" spans="1:101" ht="13.5" customHeight="1" x14ac:dyDescent="0.3">
      <c r="A638" s="2"/>
      <c r="K638" s="2"/>
      <c r="U638" s="2"/>
      <c r="AE638" s="2"/>
      <c r="AO638" s="2"/>
      <c r="AY638" s="2"/>
      <c r="BI638" s="2"/>
      <c r="BS638" s="2"/>
      <c r="CC638" s="2"/>
      <c r="CM638" s="2"/>
      <c r="CW638" s="2"/>
    </row>
    <row r="639" spans="1:101" ht="13.5" customHeight="1" x14ac:dyDescent="0.3">
      <c r="A639" s="2"/>
      <c r="K639" s="2"/>
      <c r="U639" s="2"/>
      <c r="AE639" s="2"/>
      <c r="AO639" s="2"/>
      <c r="AY639" s="2"/>
      <c r="BI639" s="2"/>
      <c r="BS639" s="2"/>
      <c r="CC639" s="2"/>
      <c r="CM639" s="2"/>
      <c r="CW639" s="2"/>
    </row>
    <row r="640" spans="1:101" ht="13.5" customHeight="1" x14ac:dyDescent="0.3">
      <c r="A640" s="2"/>
      <c r="K640" s="2"/>
      <c r="U640" s="2"/>
      <c r="AE640" s="2"/>
      <c r="AO640" s="2"/>
      <c r="AY640" s="2"/>
      <c r="BI640" s="2"/>
      <c r="BS640" s="2"/>
      <c r="CC640" s="2"/>
      <c r="CM640" s="2"/>
      <c r="CW640" s="2"/>
    </row>
    <row r="641" spans="1:101" ht="13.5" customHeight="1" x14ac:dyDescent="0.3">
      <c r="A641" s="2"/>
      <c r="K641" s="2"/>
      <c r="U641" s="2"/>
      <c r="AE641" s="2"/>
      <c r="AO641" s="2"/>
      <c r="AY641" s="2"/>
      <c r="BI641" s="2"/>
      <c r="BS641" s="2"/>
      <c r="CC641" s="2"/>
      <c r="CM641" s="2"/>
      <c r="CW641" s="2"/>
    </row>
    <row r="642" spans="1:101" ht="13.5" customHeight="1" x14ac:dyDescent="0.3">
      <c r="A642" s="2"/>
      <c r="K642" s="2"/>
      <c r="U642" s="2"/>
      <c r="AE642" s="2"/>
      <c r="AO642" s="2"/>
      <c r="AY642" s="2"/>
      <c r="BI642" s="2"/>
      <c r="BS642" s="2"/>
      <c r="CC642" s="2"/>
      <c r="CM642" s="2"/>
      <c r="CW642" s="2"/>
    </row>
    <row r="643" spans="1:101" ht="13.5" customHeight="1" x14ac:dyDescent="0.3">
      <c r="A643" s="2"/>
      <c r="K643" s="2"/>
      <c r="U643" s="2"/>
      <c r="AE643" s="2"/>
      <c r="AO643" s="2"/>
      <c r="AY643" s="2"/>
      <c r="BI643" s="2"/>
      <c r="BS643" s="2"/>
      <c r="CC643" s="2"/>
      <c r="CM643" s="2"/>
      <c r="CW643" s="2"/>
    </row>
    <row r="644" spans="1:101" ht="13.5" customHeight="1" x14ac:dyDescent="0.3">
      <c r="A644" s="2"/>
      <c r="K644" s="2"/>
      <c r="U644" s="2"/>
      <c r="AE644" s="2"/>
      <c r="AO644" s="2"/>
      <c r="AY644" s="2"/>
      <c r="BI644" s="2"/>
      <c r="BS644" s="2"/>
      <c r="CC644" s="2"/>
      <c r="CM644" s="2"/>
      <c r="CW644" s="2"/>
    </row>
    <row r="645" spans="1:101" ht="13.5" customHeight="1" x14ac:dyDescent="0.3">
      <c r="A645" s="2"/>
      <c r="K645" s="2"/>
      <c r="U645" s="2"/>
      <c r="AE645" s="2"/>
      <c r="AO645" s="2"/>
      <c r="AY645" s="2"/>
      <c r="BI645" s="2"/>
      <c r="BS645" s="2"/>
      <c r="CC645" s="2"/>
      <c r="CM645" s="2"/>
      <c r="CW645" s="2"/>
    </row>
    <row r="646" spans="1:101" ht="13.5" customHeight="1" x14ac:dyDescent="0.3">
      <c r="A646" s="2"/>
      <c r="K646" s="2"/>
      <c r="U646" s="2"/>
      <c r="AE646" s="2"/>
      <c r="AO646" s="2"/>
      <c r="AY646" s="2"/>
      <c r="BI646" s="2"/>
      <c r="BS646" s="2"/>
      <c r="CC646" s="2"/>
      <c r="CM646" s="2"/>
      <c r="CW646" s="2"/>
    </row>
    <row r="647" spans="1:101" ht="13.5" customHeight="1" x14ac:dyDescent="0.3">
      <c r="A647" s="2"/>
      <c r="K647" s="2"/>
      <c r="U647" s="2"/>
      <c r="AE647" s="2"/>
      <c r="AO647" s="2"/>
      <c r="AY647" s="2"/>
      <c r="BI647" s="2"/>
      <c r="BS647" s="2"/>
      <c r="CC647" s="2"/>
      <c r="CM647" s="2"/>
      <c r="CW647" s="2"/>
    </row>
    <row r="648" spans="1:101" ht="13.5" customHeight="1" x14ac:dyDescent="0.3">
      <c r="A648" s="2"/>
      <c r="K648" s="2"/>
      <c r="U648" s="2"/>
      <c r="AE648" s="2"/>
      <c r="AO648" s="2"/>
      <c r="AY648" s="2"/>
      <c r="BI648" s="2"/>
      <c r="BS648" s="2"/>
      <c r="CC648" s="2"/>
      <c r="CM648" s="2"/>
      <c r="CW648" s="2"/>
    </row>
    <row r="649" spans="1:101" ht="13.5" customHeight="1" x14ac:dyDescent="0.3">
      <c r="A649" s="2"/>
      <c r="K649" s="2"/>
      <c r="U649" s="2"/>
      <c r="AE649" s="2"/>
      <c r="AO649" s="2"/>
      <c r="AY649" s="2"/>
      <c r="BI649" s="2"/>
      <c r="BS649" s="2"/>
      <c r="CC649" s="2"/>
      <c r="CM649" s="2"/>
      <c r="CW649" s="2"/>
    </row>
    <row r="650" spans="1:101" ht="13.5" customHeight="1" x14ac:dyDescent="0.3">
      <c r="A650" s="2"/>
      <c r="K650" s="2"/>
      <c r="U650" s="2"/>
      <c r="AE650" s="2"/>
      <c r="AO650" s="2"/>
      <c r="AY650" s="2"/>
      <c r="BI650" s="2"/>
      <c r="BS650" s="2"/>
      <c r="CC650" s="2"/>
      <c r="CM650" s="2"/>
      <c r="CW650" s="2"/>
    </row>
    <row r="651" spans="1:101" ht="13.5" customHeight="1" x14ac:dyDescent="0.3">
      <c r="A651" s="2"/>
      <c r="K651" s="2"/>
      <c r="U651" s="2"/>
      <c r="AE651" s="2"/>
      <c r="AO651" s="2"/>
      <c r="AY651" s="2"/>
      <c r="BI651" s="2"/>
      <c r="BS651" s="2"/>
      <c r="CC651" s="2"/>
      <c r="CM651" s="2"/>
      <c r="CW651" s="2"/>
    </row>
    <row r="652" spans="1:101" ht="13.5" customHeight="1" x14ac:dyDescent="0.3">
      <c r="A652" s="2"/>
      <c r="K652" s="2"/>
      <c r="U652" s="2"/>
      <c r="AE652" s="2"/>
      <c r="AO652" s="2"/>
      <c r="AY652" s="2"/>
      <c r="BI652" s="2"/>
      <c r="BS652" s="2"/>
      <c r="CC652" s="2"/>
      <c r="CM652" s="2"/>
      <c r="CW652" s="2"/>
    </row>
    <row r="653" spans="1:101" ht="13.5" customHeight="1" x14ac:dyDescent="0.3">
      <c r="A653" s="2"/>
      <c r="K653" s="2"/>
      <c r="U653" s="2"/>
      <c r="AE653" s="2"/>
      <c r="AO653" s="2"/>
      <c r="AY653" s="2"/>
      <c r="BI653" s="2"/>
      <c r="BS653" s="2"/>
      <c r="CC653" s="2"/>
      <c r="CM653" s="2"/>
      <c r="CW653" s="2"/>
    </row>
    <row r="654" spans="1:101" ht="13.5" customHeight="1" x14ac:dyDescent="0.3">
      <c r="A654" s="2"/>
      <c r="K654" s="2"/>
      <c r="U654" s="2"/>
      <c r="AE654" s="2"/>
      <c r="AO654" s="2"/>
      <c r="AY654" s="2"/>
      <c r="BI654" s="2"/>
      <c r="BS654" s="2"/>
      <c r="CC654" s="2"/>
      <c r="CM654" s="2"/>
      <c r="CW654" s="2"/>
    </row>
    <row r="655" spans="1:101" ht="13.5" customHeight="1" x14ac:dyDescent="0.3">
      <c r="A655" s="2"/>
      <c r="K655" s="2"/>
      <c r="U655" s="2"/>
      <c r="AE655" s="2"/>
      <c r="AO655" s="2"/>
      <c r="AY655" s="2"/>
      <c r="BI655" s="2"/>
      <c r="BS655" s="2"/>
      <c r="CC655" s="2"/>
      <c r="CM655" s="2"/>
      <c r="CW655" s="2"/>
    </row>
    <row r="656" spans="1:101" ht="13.5" customHeight="1" x14ac:dyDescent="0.3">
      <c r="A656" s="2"/>
      <c r="K656" s="2"/>
      <c r="U656" s="2"/>
      <c r="AE656" s="2"/>
      <c r="AO656" s="2"/>
      <c r="AY656" s="2"/>
      <c r="BI656" s="2"/>
      <c r="BS656" s="2"/>
      <c r="CC656" s="2"/>
      <c r="CM656" s="2"/>
      <c r="CW656" s="2"/>
    </row>
    <row r="657" spans="1:101" ht="13.5" customHeight="1" x14ac:dyDescent="0.3">
      <c r="A657" s="2"/>
      <c r="K657" s="2"/>
      <c r="U657" s="2"/>
      <c r="AE657" s="2"/>
      <c r="AO657" s="2"/>
      <c r="AY657" s="2"/>
      <c r="BI657" s="2"/>
      <c r="BS657" s="2"/>
      <c r="CC657" s="2"/>
      <c r="CM657" s="2"/>
      <c r="CW657" s="2"/>
    </row>
    <row r="658" spans="1:101" ht="13.5" customHeight="1" x14ac:dyDescent="0.3">
      <c r="A658" s="2"/>
      <c r="K658" s="2"/>
      <c r="U658" s="2"/>
      <c r="AE658" s="2"/>
      <c r="AO658" s="2"/>
      <c r="AY658" s="2"/>
      <c r="BI658" s="2"/>
      <c r="BS658" s="2"/>
      <c r="CC658" s="2"/>
      <c r="CM658" s="2"/>
      <c r="CW658" s="2"/>
    </row>
    <row r="659" spans="1:101" ht="13.5" customHeight="1" x14ac:dyDescent="0.3">
      <c r="A659" s="2"/>
      <c r="K659" s="2"/>
      <c r="U659" s="2"/>
      <c r="AE659" s="2"/>
      <c r="AO659" s="2"/>
      <c r="AY659" s="2"/>
      <c r="BI659" s="2"/>
      <c r="BS659" s="2"/>
      <c r="CC659" s="2"/>
      <c r="CM659" s="2"/>
      <c r="CW659" s="2"/>
    </row>
    <row r="660" spans="1:101" ht="13.5" customHeight="1" x14ac:dyDescent="0.3">
      <c r="A660" s="2"/>
      <c r="K660" s="2"/>
      <c r="U660" s="2"/>
      <c r="AE660" s="2"/>
      <c r="AO660" s="2"/>
      <c r="AY660" s="2"/>
      <c r="BI660" s="2"/>
      <c r="BS660" s="2"/>
      <c r="CC660" s="2"/>
      <c r="CM660" s="2"/>
      <c r="CW660" s="2"/>
    </row>
    <row r="661" spans="1:101" ht="13.5" customHeight="1" x14ac:dyDescent="0.3">
      <c r="A661" s="2"/>
      <c r="K661" s="2"/>
      <c r="U661" s="2"/>
      <c r="AE661" s="2"/>
      <c r="AO661" s="2"/>
      <c r="AY661" s="2"/>
      <c r="BI661" s="2"/>
      <c r="BS661" s="2"/>
      <c r="CC661" s="2"/>
      <c r="CM661" s="2"/>
      <c r="CW661" s="2"/>
    </row>
    <row r="662" spans="1:101" ht="13.5" customHeight="1" x14ac:dyDescent="0.3">
      <c r="A662" s="2"/>
      <c r="K662" s="2"/>
      <c r="U662" s="2"/>
      <c r="AE662" s="2"/>
      <c r="AO662" s="2"/>
      <c r="AY662" s="2"/>
      <c r="BI662" s="2"/>
      <c r="BS662" s="2"/>
      <c r="CC662" s="2"/>
      <c r="CM662" s="2"/>
      <c r="CW662" s="2"/>
    </row>
    <row r="663" spans="1:101" ht="13.5" customHeight="1" x14ac:dyDescent="0.3">
      <c r="A663" s="2"/>
      <c r="K663" s="2"/>
      <c r="U663" s="2"/>
      <c r="AE663" s="2"/>
      <c r="AO663" s="2"/>
      <c r="AY663" s="2"/>
      <c r="BI663" s="2"/>
      <c r="BS663" s="2"/>
      <c r="CC663" s="2"/>
      <c r="CM663" s="2"/>
      <c r="CW663" s="2"/>
    </row>
    <row r="664" spans="1:101" ht="13.5" customHeight="1" x14ac:dyDescent="0.3">
      <c r="A664" s="2"/>
      <c r="K664" s="2"/>
      <c r="U664" s="2"/>
      <c r="AE664" s="2"/>
      <c r="AO664" s="2"/>
      <c r="AY664" s="2"/>
      <c r="BI664" s="2"/>
      <c r="BS664" s="2"/>
      <c r="CC664" s="2"/>
      <c r="CM664" s="2"/>
      <c r="CW664" s="2"/>
    </row>
    <row r="665" spans="1:101" ht="13.5" customHeight="1" x14ac:dyDescent="0.3">
      <c r="A665" s="2"/>
      <c r="K665" s="2"/>
      <c r="U665" s="2"/>
      <c r="AE665" s="2"/>
      <c r="AO665" s="2"/>
      <c r="AY665" s="2"/>
      <c r="BI665" s="2"/>
      <c r="BS665" s="2"/>
      <c r="CC665" s="2"/>
      <c r="CM665" s="2"/>
      <c r="CW665" s="2"/>
    </row>
    <row r="666" spans="1:101" ht="13.5" customHeight="1" x14ac:dyDescent="0.3">
      <c r="A666" s="2"/>
      <c r="K666" s="2"/>
      <c r="U666" s="2"/>
      <c r="AE666" s="2"/>
      <c r="AO666" s="2"/>
      <c r="AY666" s="2"/>
      <c r="BI666" s="2"/>
      <c r="BS666" s="2"/>
      <c r="CC666" s="2"/>
      <c r="CM666" s="2"/>
      <c r="CW666" s="2"/>
    </row>
    <row r="667" spans="1:101" ht="13.5" customHeight="1" x14ac:dyDescent="0.3">
      <c r="A667" s="2"/>
      <c r="K667" s="2"/>
      <c r="U667" s="2"/>
      <c r="AE667" s="2"/>
      <c r="AO667" s="2"/>
      <c r="AY667" s="2"/>
      <c r="BI667" s="2"/>
      <c r="BS667" s="2"/>
      <c r="CC667" s="2"/>
      <c r="CM667" s="2"/>
      <c r="CW667" s="2"/>
    </row>
    <row r="668" spans="1:101" ht="13.5" customHeight="1" x14ac:dyDescent="0.3">
      <c r="A668" s="2"/>
      <c r="K668" s="2"/>
      <c r="U668" s="2"/>
      <c r="AE668" s="2"/>
      <c r="AO668" s="2"/>
      <c r="AY668" s="2"/>
      <c r="BI668" s="2"/>
      <c r="BS668" s="2"/>
      <c r="CC668" s="2"/>
      <c r="CM668" s="2"/>
      <c r="CW668" s="2"/>
    </row>
    <row r="669" spans="1:101" ht="13.5" customHeight="1" x14ac:dyDescent="0.3">
      <c r="A669" s="2"/>
      <c r="K669" s="2"/>
      <c r="U669" s="2"/>
      <c r="AE669" s="2"/>
      <c r="AO669" s="2"/>
      <c r="AY669" s="2"/>
      <c r="BI669" s="2"/>
      <c r="BS669" s="2"/>
      <c r="CC669" s="2"/>
      <c r="CM669" s="2"/>
      <c r="CW669" s="2"/>
    </row>
    <row r="670" spans="1:101" ht="13.5" customHeight="1" x14ac:dyDescent="0.3">
      <c r="A670" s="2"/>
      <c r="K670" s="2"/>
      <c r="U670" s="2"/>
      <c r="AE670" s="2"/>
      <c r="AO670" s="2"/>
      <c r="AY670" s="2"/>
      <c r="BI670" s="2"/>
      <c r="BS670" s="2"/>
      <c r="CC670" s="2"/>
      <c r="CM670" s="2"/>
      <c r="CW670" s="2"/>
    </row>
    <row r="671" spans="1:101" ht="13.5" customHeight="1" x14ac:dyDescent="0.3">
      <c r="A671" s="2"/>
      <c r="K671" s="2"/>
      <c r="U671" s="2"/>
      <c r="AE671" s="2"/>
      <c r="AO671" s="2"/>
      <c r="AY671" s="2"/>
      <c r="BI671" s="2"/>
      <c r="BS671" s="2"/>
      <c r="CC671" s="2"/>
      <c r="CM671" s="2"/>
      <c r="CW671" s="2"/>
    </row>
    <row r="672" spans="1:101" ht="13.5" customHeight="1" x14ac:dyDescent="0.3">
      <c r="A672" s="2"/>
      <c r="K672" s="2"/>
      <c r="U672" s="2"/>
      <c r="AE672" s="2"/>
      <c r="AO672" s="2"/>
      <c r="AY672" s="2"/>
      <c r="BI672" s="2"/>
      <c r="BS672" s="2"/>
      <c r="CC672" s="2"/>
      <c r="CM672" s="2"/>
      <c r="CW672" s="2"/>
    </row>
    <row r="673" spans="1:101" ht="13.5" customHeight="1" x14ac:dyDescent="0.3">
      <c r="A673" s="2"/>
      <c r="K673" s="2"/>
      <c r="U673" s="2"/>
      <c r="AE673" s="2"/>
      <c r="AO673" s="2"/>
      <c r="AY673" s="2"/>
      <c r="BI673" s="2"/>
      <c r="BS673" s="2"/>
      <c r="CC673" s="2"/>
      <c r="CM673" s="2"/>
      <c r="CW673" s="2"/>
    </row>
    <row r="674" spans="1:101" ht="13.5" customHeight="1" x14ac:dyDescent="0.3">
      <c r="A674" s="2"/>
      <c r="K674" s="2"/>
      <c r="U674" s="2"/>
      <c r="AE674" s="2"/>
      <c r="AO674" s="2"/>
      <c r="AY674" s="2"/>
      <c r="BI674" s="2"/>
      <c r="BS674" s="2"/>
      <c r="CC674" s="2"/>
      <c r="CM674" s="2"/>
      <c r="CW674" s="2"/>
    </row>
    <row r="675" spans="1:101" ht="13.5" customHeight="1" x14ac:dyDescent="0.3">
      <c r="A675" s="2"/>
      <c r="K675" s="2"/>
      <c r="U675" s="2"/>
      <c r="AE675" s="2"/>
      <c r="AO675" s="2"/>
      <c r="AY675" s="2"/>
      <c r="BI675" s="2"/>
      <c r="BS675" s="2"/>
      <c r="CC675" s="2"/>
      <c r="CM675" s="2"/>
      <c r="CW675" s="2"/>
    </row>
    <row r="676" spans="1:101" ht="13.5" customHeight="1" x14ac:dyDescent="0.3">
      <c r="A676" s="2"/>
      <c r="K676" s="2"/>
      <c r="U676" s="2"/>
      <c r="AE676" s="2"/>
      <c r="AO676" s="2"/>
      <c r="AY676" s="2"/>
      <c r="BI676" s="2"/>
      <c r="BS676" s="2"/>
      <c r="CC676" s="2"/>
      <c r="CM676" s="2"/>
      <c r="CW676" s="2"/>
    </row>
    <row r="677" spans="1:101" ht="13.5" customHeight="1" x14ac:dyDescent="0.3">
      <c r="A677" s="2"/>
      <c r="K677" s="2"/>
      <c r="U677" s="2"/>
      <c r="AE677" s="2"/>
      <c r="AO677" s="2"/>
      <c r="AY677" s="2"/>
      <c r="BI677" s="2"/>
      <c r="BS677" s="2"/>
      <c r="CC677" s="2"/>
      <c r="CM677" s="2"/>
      <c r="CW677" s="2"/>
    </row>
    <row r="678" spans="1:101" ht="13.5" customHeight="1" x14ac:dyDescent="0.3">
      <c r="A678" s="2"/>
      <c r="K678" s="2"/>
      <c r="U678" s="2"/>
      <c r="AE678" s="2"/>
      <c r="AO678" s="2"/>
      <c r="AY678" s="2"/>
      <c r="BI678" s="2"/>
      <c r="BS678" s="2"/>
      <c r="CC678" s="2"/>
      <c r="CM678" s="2"/>
      <c r="CW678" s="2"/>
    </row>
    <row r="679" spans="1:101" ht="13.5" customHeight="1" x14ac:dyDescent="0.3">
      <c r="A679" s="2"/>
      <c r="K679" s="2"/>
      <c r="U679" s="2"/>
      <c r="AE679" s="2"/>
      <c r="AO679" s="2"/>
      <c r="AY679" s="2"/>
      <c r="BI679" s="2"/>
      <c r="BS679" s="2"/>
      <c r="CC679" s="2"/>
      <c r="CM679" s="2"/>
      <c r="CW679" s="2"/>
    </row>
    <row r="680" spans="1:101" ht="13.5" customHeight="1" x14ac:dyDescent="0.3">
      <c r="A680" s="2"/>
      <c r="K680" s="2"/>
      <c r="U680" s="2"/>
      <c r="AE680" s="2"/>
      <c r="AO680" s="2"/>
      <c r="AY680" s="2"/>
      <c r="BI680" s="2"/>
      <c r="BS680" s="2"/>
      <c r="CC680" s="2"/>
      <c r="CM680" s="2"/>
      <c r="CW680" s="2"/>
    </row>
    <row r="681" spans="1:101" ht="13.5" customHeight="1" x14ac:dyDescent="0.3">
      <c r="A681" s="2"/>
      <c r="K681" s="2"/>
      <c r="U681" s="2"/>
      <c r="AE681" s="2"/>
      <c r="AO681" s="2"/>
      <c r="AY681" s="2"/>
      <c r="BI681" s="2"/>
      <c r="BS681" s="2"/>
      <c r="CC681" s="2"/>
      <c r="CM681" s="2"/>
      <c r="CW681" s="2"/>
    </row>
    <row r="682" spans="1:101" ht="13.5" customHeight="1" x14ac:dyDescent="0.3">
      <c r="A682" s="2"/>
      <c r="K682" s="2"/>
      <c r="U682" s="2"/>
      <c r="AE682" s="2"/>
      <c r="AO682" s="2"/>
      <c r="AY682" s="2"/>
      <c r="BI682" s="2"/>
      <c r="BS682" s="2"/>
      <c r="CC682" s="2"/>
      <c r="CM682" s="2"/>
      <c r="CW682" s="2"/>
    </row>
    <row r="683" spans="1:101" ht="13.5" customHeight="1" x14ac:dyDescent="0.3">
      <c r="A683" s="2"/>
      <c r="K683" s="2"/>
      <c r="U683" s="2"/>
      <c r="AE683" s="2"/>
      <c r="AO683" s="2"/>
      <c r="AY683" s="2"/>
      <c r="BI683" s="2"/>
      <c r="BS683" s="2"/>
      <c r="CC683" s="2"/>
      <c r="CM683" s="2"/>
      <c r="CW683" s="2"/>
    </row>
    <row r="684" spans="1:101" ht="13.5" customHeight="1" x14ac:dyDescent="0.3">
      <c r="A684" s="2"/>
      <c r="K684" s="2"/>
      <c r="U684" s="2"/>
      <c r="AE684" s="2"/>
      <c r="AO684" s="2"/>
      <c r="AY684" s="2"/>
      <c r="BI684" s="2"/>
      <c r="BS684" s="2"/>
      <c r="CC684" s="2"/>
      <c r="CM684" s="2"/>
      <c r="CW684" s="2"/>
    </row>
    <row r="685" spans="1:101" ht="13.5" customHeight="1" x14ac:dyDescent="0.3">
      <c r="A685" s="2"/>
      <c r="K685" s="2"/>
      <c r="U685" s="2"/>
      <c r="AE685" s="2"/>
      <c r="AO685" s="2"/>
      <c r="AY685" s="2"/>
      <c r="BI685" s="2"/>
      <c r="BS685" s="2"/>
      <c r="CC685" s="2"/>
      <c r="CM685" s="2"/>
      <c r="CW685" s="2"/>
    </row>
    <row r="686" spans="1:101" ht="13.5" customHeight="1" x14ac:dyDescent="0.3">
      <c r="A686" s="2"/>
      <c r="K686" s="2"/>
      <c r="U686" s="2"/>
      <c r="AE686" s="2"/>
      <c r="AO686" s="2"/>
      <c r="AY686" s="2"/>
      <c r="BI686" s="2"/>
      <c r="BS686" s="2"/>
      <c r="CC686" s="2"/>
      <c r="CM686" s="2"/>
      <c r="CW686" s="2"/>
    </row>
    <row r="687" spans="1:101" ht="13.5" customHeight="1" x14ac:dyDescent="0.3">
      <c r="A687" s="2"/>
      <c r="K687" s="2"/>
      <c r="U687" s="2"/>
      <c r="AE687" s="2"/>
      <c r="AO687" s="2"/>
      <c r="AY687" s="2"/>
      <c r="BI687" s="2"/>
      <c r="BS687" s="2"/>
      <c r="CC687" s="2"/>
      <c r="CM687" s="2"/>
      <c r="CW687" s="2"/>
    </row>
    <row r="688" spans="1:101" ht="13.5" customHeight="1" x14ac:dyDescent="0.3">
      <c r="A688" s="2"/>
      <c r="K688" s="2"/>
      <c r="U688" s="2"/>
      <c r="AE688" s="2"/>
      <c r="AO688" s="2"/>
      <c r="AY688" s="2"/>
      <c r="BI688" s="2"/>
      <c r="BS688" s="2"/>
      <c r="CC688" s="2"/>
      <c r="CM688" s="2"/>
      <c r="CW688" s="2"/>
    </row>
    <row r="689" spans="1:101" ht="13.5" customHeight="1" x14ac:dyDescent="0.3">
      <c r="A689" s="2"/>
      <c r="K689" s="2"/>
      <c r="U689" s="2"/>
      <c r="AE689" s="2"/>
      <c r="AO689" s="2"/>
      <c r="AY689" s="2"/>
      <c r="BI689" s="2"/>
      <c r="BS689" s="2"/>
      <c r="CC689" s="2"/>
      <c r="CM689" s="2"/>
      <c r="CW689" s="2"/>
    </row>
    <row r="690" spans="1:101" ht="13.5" customHeight="1" x14ac:dyDescent="0.3">
      <c r="A690" s="2"/>
      <c r="K690" s="2"/>
      <c r="U690" s="2"/>
      <c r="AE690" s="2"/>
      <c r="AO690" s="2"/>
      <c r="AY690" s="2"/>
      <c r="BI690" s="2"/>
      <c r="BS690" s="2"/>
      <c r="CC690" s="2"/>
      <c r="CM690" s="2"/>
      <c r="CW690" s="2"/>
    </row>
    <row r="691" spans="1:101" ht="13.5" customHeight="1" x14ac:dyDescent="0.3">
      <c r="A691" s="2"/>
      <c r="K691" s="2"/>
      <c r="U691" s="2"/>
      <c r="AE691" s="2"/>
      <c r="AO691" s="2"/>
      <c r="AY691" s="2"/>
      <c r="BI691" s="2"/>
      <c r="BS691" s="2"/>
      <c r="CC691" s="2"/>
      <c r="CM691" s="2"/>
      <c r="CW691" s="2"/>
    </row>
    <row r="692" spans="1:101" ht="13.5" customHeight="1" x14ac:dyDescent="0.3">
      <c r="A692" s="2"/>
      <c r="K692" s="2"/>
      <c r="U692" s="2"/>
      <c r="AE692" s="2"/>
      <c r="AO692" s="2"/>
      <c r="AY692" s="2"/>
      <c r="BI692" s="2"/>
      <c r="BS692" s="2"/>
      <c r="CC692" s="2"/>
      <c r="CM692" s="2"/>
      <c r="CW692" s="2"/>
    </row>
    <row r="693" spans="1:101" ht="13.5" customHeight="1" x14ac:dyDescent="0.3">
      <c r="A693" s="2"/>
      <c r="K693" s="2"/>
      <c r="U693" s="2"/>
      <c r="AE693" s="2"/>
      <c r="AO693" s="2"/>
      <c r="AY693" s="2"/>
      <c r="BI693" s="2"/>
      <c r="BS693" s="2"/>
      <c r="CC693" s="2"/>
      <c r="CM693" s="2"/>
      <c r="CW693" s="2"/>
    </row>
    <row r="694" spans="1:101" ht="13.5" customHeight="1" x14ac:dyDescent="0.3">
      <c r="A694" s="2"/>
      <c r="K694" s="2"/>
      <c r="U694" s="2"/>
      <c r="AE694" s="2"/>
      <c r="AO694" s="2"/>
      <c r="AY694" s="2"/>
      <c r="BI694" s="2"/>
      <c r="BS694" s="2"/>
      <c r="CC694" s="2"/>
      <c r="CM694" s="2"/>
      <c r="CW694" s="2"/>
    </row>
    <row r="695" spans="1:101" ht="13.5" customHeight="1" x14ac:dyDescent="0.3">
      <c r="A695" s="2"/>
      <c r="K695" s="2"/>
      <c r="U695" s="2"/>
      <c r="AE695" s="2"/>
      <c r="AO695" s="2"/>
      <c r="AY695" s="2"/>
      <c r="BI695" s="2"/>
      <c r="BS695" s="2"/>
      <c r="CC695" s="2"/>
      <c r="CM695" s="2"/>
      <c r="CW695" s="2"/>
    </row>
    <row r="696" spans="1:101" ht="13.5" customHeight="1" x14ac:dyDescent="0.3">
      <c r="A696" s="2"/>
      <c r="K696" s="2"/>
      <c r="U696" s="2"/>
      <c r="AE696" s="2"/>
      <c r="AO696" s="2"/>
      <c r="AY696" s="2"/>
      <c r="BI696" s="2"/>
      <c r="BS696" s="2"/>
      <c r="CC696" s="2"/>
      <c r="CM696" s="2"/>
      <c r="CW696" s="2"/>
    </row>
    <row r="697" spans="1:101" ht="13.5" customHeight="1" x14ac:dyDescent="0.3">
      <c r="A697" s="2"/>
      <c r="K697" s="2"/>
      <c r="U697" s="2"/>
      <c r="AE697" s="2"/>
      <c r="AO697" s="2"/>
      <c r="AY697" s="2"/>
      <c r="BI697" s="2"/>
      <c r="BS697" s="2"/>
      <c r="CC697" s="2"/>
      <c r="CM697" s="2"/>
      <c r="CW697" s="2"/>
    </row>
    <row r="698" spans="1:101" ht="13.5" customHeight="1" x14ac:dyDescent="0.3">
      <c r="A698" s="2"/>
      <c r="K698" s="2"/>
      <c r="U698" s="2"/>
      <c r="AE698" s="2"/>
      <c r="AO698" s="2"/>
      <c r="AY698" s="2"/>
      <c r="BI698" s="2"/>
      <c r="BS698" s="2"/>
      <c r="CC698" s="2"/>
      <c r="CM698" s="2"/>
      <c r="CW698" s="2"/>
    </row>
    <row r="699" spans="1:101" ht="13.5" customHeight="1" x14ac:dyDescent="0.3">
      <c r="A699" s="2"/>
      <c r="K699" s="2"/>
      <c r="U699" s="2"/>
      <c r="AE699" s="2"/>
      <c r="AO699" s="2"/>
      <c r="AY699" s="2"/>
      <c r="BI699" s="2"/>
      <c r="BS699" s="2"/>
      <c r="CC699" s="2"/>
      <c r="CM699" s="2"/>
      <c r="CW699" s="2"/>
    </row>
    <row r="700" spans="1:101" ht="13.5" customHeight="1" x14ac:dyDescent="0.3">
      <c r="A700" s="2"/>
      <c r="K700" s="2"/>
      <c r="U700" s="2"/>
      <c r="AE700" s="2"/>
      <c r="AO700" s="2"/>
      <c r="AY700" s="2"/>
      <c r="BI700" s="2"/>
      <c r="BS700" s="2"/>
      <c r="CC700" s="2"/>
      <c r="CM700" s="2"/>
      <c r="CW700" s="2"/>
    </row>
    <row r="701" spans="1:101" ht="13.5" customHeight="1" x14ac:dyDescent="0.3">
      <c r="A701" s="2"/>
      <c r="K701" s="2"/>
      <c r="U701" s="2"/>
      <c r="AE701" s="2"/>
      <c r="AO701" s="2"/>
      <c r="AY701" s="2"/>
      <c r="BI701" s="2"/>
      <c r="BS701" s="2"/>
      <c r="CC701" s="2"/>
      <c r="CM701" s="2"/>
      <c r="CW701" s="2"/>
    </row>
    <row r="702" spans="1:101" ht="13.5" customHeight="1" x14ac:dyDescent="0.3">
      <c r="A702" s="2"/>
      <c r="K702" s="2"/>
      <c r="U702" s="2"/>
      <c r="AE702" s="2"/>
      <c r="AO702" s="2"/>
      <c r="AY702" s="2"/>
      <c r="BI702" s="2"/>
      <c r="BS702" s="2"/>
      <c r="CC702" s="2"/>
      <c r="CM702" s="2"/>
      <c r="CW702" s="2"/>
    </row>
    <row r="703" spans="1:101" ht="13.5" customHeight="1" x14ac:dyDescent="0.3">
      <c r="A703" s="2"/>
      <c r="K703" s="2"/>
      <c r="U703" s="2"/>
      <c r="AE703" s="2"/>
      <c r="AO703" s="2"/>
      <c r="AY703" s="2"/>
      <c r="BI703" s="2"/>
      <c r="BS703" s="2"/>
      <c r="CC703" s="2"/>
      <c r="CM703" s="2"/>
      <c r="CW703" s="2"/>
    </row>
    <row r="704" spans="1:101" ht="13.5" customHeight="1" x14ac:dyDescent="0.3">
      <c r="A704" s="2"/>
      <c r="K704" s="2"/>
      <c r="U704" s="2"/>
      <c r="AE704" s="2"/>
      <c r="AO704" s="2"/>
      <c r="AY704" s="2"/>
      <c r="BI704" s="2"/>
      <c r="BS704" s="2"/>
      <c r="CC704" s="2"/>
      <c r="CM704" s="2"/>
      <c r="CW704" s="2"/>
    </row>
    <row r="705" spans="1:101" ht="13.5" customHeight="1" x14ac:dyDescent="0.3">
      <c r="A705" s="2"/>
      <c r="K705" s="2"/>
      <c r="U705" s="2"/>
      <c r="AE705" s="2"/>
      <c r="AO705" s="2"/>
      <c r="AY705" s="2"/>
      <c r="BI705" s="2"/>
      <c r="BS705" s="2"/>
      <c r="CC705" s="2"/>
      <c r="CM705" s="2"/>
      <c r="CW705" s="2"/>
    </row>
    <row r="706" spans="1:101" ht="13.5" customHeight="1" x14ac:dyDescent="0.3">
      <c r="A706" s="2"/>
      <c r="K706" s="2"/>
      <c r="U706" s="2"/>
      <c r="AE706" s="2"/>
      <c r="AO706" s="2"/>
      <c r="AY706" s="2"/>
      <c r="BI706" s="2"/>
      <c r="BS706" s="2"/>
      <c r="CC706" s="2"/>
      <c r="CM706" s="2"/>
      <c r="CW706" s="2"/>
    </row>
    <row r="707" spans="1:101" ht="13.5" customHeight="1" x14ac:dyDescent="0.3">
      <c r="A707" s="2"/>
      <c r="K707" s="2"/>
      <c r="U707" s="2"/>
      <c r="AE707" s="2"/>
      <c r="AO707" s="2"/>
      <c r="AY707" s="2"/>
      <c r="BI707" s="2"/>
      <c r="BS707" s="2"/>
      <c r="CC707" s="2"/>
      <c r="CM707" s="2"/>
      <c r="CW707" s="2"/>
    </row>
    <row r="708" spans="1:101" ht="13.5" customHeight="1" x14ac:dyDescent="0.3">
      <c r="A708" s="2"/>
      <c r="K708" s="2"/>
      <c r="U708" s="2"/>
      <c r="AE708" s="2"/>
      <c r="AO708" s="2"/>
      <c r="AY708" s="2"/>
      <c r="BI708" s="2"/>
      <c r="BS708" s="2"/>
      <c r="CC708" s="2"/>
      <c r="CM708" s="2"/>
      <c r="CW708" s="2"/>
    </row>
    <row r="709" spans="1:101" ht="13.5" customHeight="1" x14ac:dyDescent="0.3">
      <c r="A709" s="2"/>
      <c r="K709" s="2"/>
      <c r="U709" s="2"/>
      <c r="AE709" s="2"/>
      <c r="AO709" s="2"/>
      <c r="AY709" s="2"/>
      <c r="BI709" s="2"/>
      <c r="BS709" s="2"/>
      <c r="CC709" s="2"/>
      <c r="CM709" s="2"/>
      <c r="CW709" s="2"/>
    </row>
    <row r="710" spans="1:101" ht="13.5" customHeight="1" x14ac:dyDescent="0.3">
      <c r="A710" s="2"/>
      <c r="K710" s="2"/>
      <c r="U710" s="2"/>
      <c r="AE710" s="2"/>
      <c r="AO710" s="2"/>
      <c r="AY710" s="2"/>
      <c r="BI710" s="2"/>
      <c r="BS710" s="2"/>
      <c r="CC710" s="2"/>
      <c r="CM710" s="2"/>
      <c r="CW710" s="2"/>
    </row>
    <row r="711" spans="1:101" ht="13.5" customHeight="1" x14ac:dyDescent="0.3">
      <c r="A711" s="2"/>
      <c r="K711" s="2"/>
      <c r="U711" s="2"/>
      <c r="AE711" s="2"/>
      <c r="AO711" s="2"/>
      <c r="AY711" s="2"/>
      <c r="BI711" s="2"/>
      <c r="BS711" s="2"/>
      <c r="CC711" s="2"/>
      <c r="CM711" s="2"/>
      <c r="CW711" s="2"/>
    </row>
    <row r="712" spans="1:101" ht="13.5" customHeight="1" x14ac:dyDescent="0.3">
      <c r="A712" s="2"/>
      <c r="K712" s="2"/>
      <c r="U712" s="2"/>
      <c r="AE712" s="2"/>
      <c r="AO712" s="2"/>
      <c r="AY712" s="2"/>
      <c r="BI712" s="2"/>
      <c r="BS712" s="2"/>
      <c r="CC712" s="2"/>
      <c r="CM712" s="2"/>
      <c r="CW712" s="2"/>
    </row>
    <row r="713" spans="1:101" ht="13.5" customHeight="1" x14ac:dyDescent="0.3">
      <c r="A713" s="2"/>
      <c r="K713" s="2"/>
      <c r="U713" s="2"/>
      <c r="AE713" s="2"/>
      <c r="AO713" s="2"/>
      <c r="AY713" s="2"/>
      <c r="BI713" s="2"/>
      <c r="BS713" s="2"/>
      <c r="CC713" s="2"/>
      <c r="CM713" s="2"/>
      <c r="CW713" s="2"/>
    </row>
    <row r="714" spans="1:101" ht="13.5" customHeight="1" x14ac:dyDescent="0.3">
      <c r="A714" s="2"/>
      <c r="K714" s="2"/>
      <c r="U714" s="2"/>
      <c r="AE714" s="2"/>
      <c r="AO714" s="2"/>
      <c r="AY714" s="2"/>
      <c r="BI714" s="2"/>
      <c r="BS714" s="2"/>
      <c r="CC714" s="2"/>
      <c r="CM714" s="2"/>
      <c r="CW714" s="2"/>
    </row>
    <row r="715" spans="1:101" ht="13.5" customHeight="1" x14ac:dyDescent="0.3">
      <c r="A715" s="2"/>
      <c r="K715" s="2"/>
      <c r="U715" s="2"/>
      <c r="AE715" s="2"/>
      <c r="AO715" s="2"/>
      <c r="AY715" s="2"/>
      <c r="BI715" s="2"/>
      <c r="BS715" s="2"/>
      <c r="CC715" s="2"/>
      <c r="CM715" s="2"/>
      <c r="CW715" s="2"/>
    </row>
    <row r="716" spans="1:101" ht="13.5" customHeight="1" x14ac:dyDescent="0.3">
      <c r="A716" s="2"/>
      <c r="K716" s="2"/>
      <c r="U716" s="2"/>
      <c r="AE716" s="2"/>
      <c r="AO716" s="2"/>
      <c r="AY716" s="2"/>
      <c r="BI716" s="2"/>
      <c r="BS716" s="2"/>
      <c r="CC716" s="2"/>
      <c r="CM716" s="2"/>
      <c r="CW716" s="2"/>
    </row>
    <row r="717" spans="1:101" ht="13.5" customHeight="1" x14ac:dyDescent="0.3">
      <c r="A717" s="2"/>
      <c r="K717" s="2"/>
      <c r="U717" s="2"/>
      <c r="AE717" s="2"/>
      <c r="AO717" s="2"/>
      <c r="AY717" s="2"/>
      <c r="BI717" s="2"/>
      <c r="BS717" s="2"/>
      <c r="CC717" s="2"/>
      <c r="CM717" s="2"/>
      <c r="CW717" s="2"/>
    </row>
    <row r="718" spans="1:101" ht="13.5" customHeight="1" x14ac:dyDescent="0.3">
      <c r="A718" s="2"/>
      <c r="K718" s="2"/>
      <c r="U718" s="2"/>
      <c r="AE718" s="2"/>
      <c r="AO718" s="2"/>
      <c r="AY718" s="2"/>
      <c r="BI718" s="2"/>
      <c r="BS718" s="2"/>
      <c r="CC718" s="2"/>
      <c r="CM718" s="2"/>
      <c r="CW718" s="2"/>
    </row>
    <row r="719" spans="1:101" ht="13.5" customHeight="1" x14ac:dyDescent="0.3">
      <c r="A719" s="2"/>
      <c r="K719" s="2"/>
      <c r="U719" s="2"/>
      <c r="AE719" s="2"/>
      <c r="AO719" s="2"/>
      <c r="AY719" s="2"/>
      <c r="BI719" s="2"/>
      <c r="BS719" s="2"/>
      <c r="CC719" s="2"/>
      <c r="CM719" s="2"/>
      <c r="CW719" s="2"/>
    </row>
    <row r="720" spans="1:101" ht="13.5" customHeight="1" x14ac:dyDescent="0.3">
      <c r="A720" s="2"/>
      <c r="K720" s="2"/>
      <c r="U720" s="2"/>
      <c r="AE720" s="2"/>
      <c r="AO720" s="2"/>
      <c r="AY720" s="2"/>
      <c r="BI720" s="2"/>
      <c r="BS720" s="2"/>
      <c r="CC720" s="2"/>
      <c r="CM720" s="2"/>
      <c r="CW720" s="2"/>
    </row>
    <row r="721" spans="1:101" ht="13.5" customHeight="1" x14ac:dyDescent="0.3">
      <c r="A721" s="2"/>
      <c r="K721" s="2"/>
      <c r="U721" s="2"/>
      <c r="AE721" s="2"/>
      <c r="AO721" s="2"/>
      <c r="AY721" s="2"/>
      <c r="BI721" s="2"/>
      <c r="BS721" s="2"/>
      <c r="CC721" s="2"/>
      <c r="CM721" s="2"/>
      <c r="CW721" s="2"/>
    </row>
    <row r="722" spans="1:101" ht="13.5" customHeight="1" x14ac:dyDescent="0.3">
      <c r="A722" s="2"/>
      <c r="K722" s="2"/>
      <c r="U722" s="2"/>
      <c r="AE722" s="2"/>
      <c r="AO722" s="2"/>
      <c r="AY722" s="2"/>
      <c r="BI722" s="2"/>
      <c r="BS722" s="2"/>
      <c r="CC722" s="2"/>
      <c r="CM722" s="2"/>
      <c r="CW722" s="2"/>
    </row>
    <row r="723" spans="1:101" ht="13.5" customHeight="1" x14ac:dyDescent="0.3">
      <c r="A723" s="2"/>
      <c r="K723" s="2"/>
      <c r="U723" s="2"/>
      <c r="AE723" s="2"/>
      <c r="AO723" s="2"/>
      <c r="AY723" s="2"/>
      <c r="BI723" s="2"/>
      <c r="BS723" s="2"/>
      <c r="CC723" s="2"/>
      <c r="CM723" s="2"/>
      <c r="CW723" s="2"/>
    </row>
    <row r="724" spans="1:101" ht="13.5" customHeight="1" x14ac:dyDescent="0.3">
      <c r="A724" s="2"/>
      <c r="K724" s="2"/>
      <c r="U724" s="2"/>
      <c r="AE724" s="2"/>
      <c r="AO724" s="2"/>
      <c r="AY724" s="2"/>
      <c r="BI724" s="2"/>
      <c r="BS724" s="2"/>
      <c r="CC724" s="2"/>
      <c r="CM724" s="2"/>
      <c r="CW724" s="2"/>
    </row>
    <row r="725" spans="1:101" ht="13.5" customHeight="1" x14ac:dyDescent="0.3">
      <c r="A725" s="2"/>
      <c r="K725" s="2"/>
      <c r="U725" s="2"/>
      <c r="AE725" s="2"/>
      <c r="AO725" s="2"/>
      <c r="AY725" s="2"/>
      <c r="BI725" s="2"/>
      <c r="BS725" s="2"/>
      <c r="CC725" s="2"/>
      <c r="CM725" s="2"/>
      <c r="CW725" s="2"/>
    </row>
    <row r="726" spans="1:101" ht="13.5" customHeight="1" x14ac:dyDescent="0.3">
      <c r="A726" s="2"/>
      <c r="K726" s="2"/>
      <c r="U726" s="2"/>
      <c r="AE726" s="2"/>
      <c r="AO726" s="2"/>
      <c r="AY726" s="2"/>
      <c r="BI726" s="2"/>
      <c r="BS726" s="2"/>
      <c r="CC726" s="2"/>
      <c r="CM726" s="2"/>
      <c r="CW726" s="2"/>
    </row>
    <row r="727" spans="1:101" ht="13.5" customHeight="1" x14ac:dyDescent="0.3">
      <c r="A727" s="2"/>
      <c r="K727" s="2"/>
      <c r="U727" s="2"/>
      <c r="AE727" s="2"/>
      <c r="AO727" s="2"/>
      <c r="AY727" s="2"/>
      <c r="BI727" s="2"/>
      <c r="BS727" s="2"/>
      <c r="CC727" s="2"/>
      <c r="CM727" s="2"/>
      <c r="CW727" s="2"/>
    </row>
    <row r="728" spans="1:101" ht="13.5" customHeight="1" x14ac:dyDescent="0.3">
      <c r="A728" s="2"/>
      <c r="K728" s="2"/>
      <c r="U728" s="2"/>
      <c r="AE728" s="2"/>
      <c r="AO728" s="2"/>
      <c r="AY728" s="2"/>
      <c r="BI728" s="2"/>
      <c r="BS728" s="2"/>
      <c r="CC728" s="2"/>
      <c r="CM728" s="2"/>
      <c r="CW728" s="2"/>
    </row>
    <row r="729" spans="1:101" ht="13.5" customHeight="1" x14ac:dyDescent="0.3">
      <c r="A729" s="2"/>
      <c r="K729" s="2"/>
      <c r="U729" s="2"/>
      <c r="AE729" s="2"/>
      <c r="AO729" s="2"/>
      <c r="AY729" s="2"/>
      <c r="BI729" s="2"/>
      <c r="BS729" s="2"/>
      <c r="CC729" s="2"/>
      <c r="CM729" s="2"/>
      <c r="CW729" s="2"/>
    </row>
    <row r="730" spans="1:101" ht="13.5" customHeight="1" x14ac:dyDescent="0.3">
      <c r="A730" s="2"/>
      <c r="K730" s="2"/>
      <c r="U730" s="2"/>
      <c r="AE730" s="2"/>
      <c r="AO730" s="2"/>
      <c r="AY730" s="2"/>
      <c r="BI730" s="2"/>
      <c r="BS730" s="2"/>
      <c r="CC730" s="2"/>
      <c r="CM730" s="2"/>
      <c r="CW730" s="2"/>
    </row>
    <row r="731" spans="1:101" ht="13.5" customHeight="1" x14ac:dyDescent="0.3">
      <c r="A731" s="2"/>
      <c r="K731" s="2"/>
      <c r="U731" s="2"/>
      <c r="AE731" s="2"/>
      <c r="AO731" s="2"/>
      <c r="AY731" s="2"/>
      <c r="BI731" s="2"/>
      <c r="BS731" s="2"/>
      <c r="CC731" s="2"/>
      <c r="CM731" s="2"/>
      <c r="CW731" s="2"/>
    </row>
    <row r="732" spans="1:101" ht="13.5" customHeight="1" x14ac:dyDescent="0.3">
      <c r="A732" s="2"/>
      <c r="K732" s="2"/>
      <c r="U732" s="2"/>
      <c r="AE732" s="2"/>
      <c r="AO732" s="2"/>
      <c r="AY732" s="2"/>
      <c r="BI732" s="2"/>
      <c r="BS732" s="2"/>
      <c r="CC732" s="2"/>
      <c r="CM732" s="2"/>
      <c r="CW732" s="2"/>
    </row>
    <row r="733" spans="1:101" ht="13.5" customHeight="1" x14ac:dyDescent="0.3">
      <c r="A733" s="2"/>
      <c r="K733" s="2"/>
      <c r="U733" s="2"/>
      <c r="AE733" s="2"/>
      <c r="AO733" s="2"/>
      <c r="AY733" s="2"/>
      <c r="BI733" s="2"/>
      <c r="BS733" s="2"/>
      <c r="CC733" s="2"/>
      <c r="CM733" s="2"/>
      <c r="CW733" s="2"/>
    </row>
    <row r="734" spans="1:101" ht="13.5" customHeight="1" x14ac:dyDescent="0.3">
      <c r="A734" s="2"/>
      <c r="K734" s="2"/>
      <c r="U734" s="2"/>
      <c r="AE734" s="2"/>
      <c r="AO734" s="2"/>
      <c r="AY734" s="2"/>
      <c r="BI734" s="2"/>
      <c r="BS734" s="2"/>
      <c r="CC734" s="2"/>
      <c r="CM734" s="2"/>
      <c r="CW734" s="2"/>
    </row>
    <row r="735" spans="1:101" ht="13.5" customHeight="1" x14ac:dyDescent="0.3">
      <c r="A735" s="2"/>
      <c r="K735" s="2"/>
      <c r="U735" s="2"/>
      <c r="AE735" s="2"/>
      <c r="AO735" s="2"/>
      <c r="AY735" s="2"/>
      <c r="BI735" s="2"/>
      <c r="BS735" s="2"/>
      <c r="CC735" s="2"/>
      <c r="CM735" s="2"/>
      <c r="CW735" s="2"/>
    </row>
    <row r="736" spans="1:101" ht="13.5" customHeight="1" x14ac:dyDescent="0.3">
      <c r="A736" s="2"/>
      <c r="K736" s="2"/>
      <c r="U736" s="2"/>
      <c r="AE736" s="2"/>
      <c r="AO736" s="2"/>
      <c r="AY736" s="2"/>
      <c r="BI736" s="2"/>
      <c r="BS736" s="2"/>
      <c r="CC736" s="2"/>
      <c r="CM736" s="2"/>
      <c r="CW736" s="2"/>
    </row>
    <row r="737" spans="1:101" ht="13.5" customHeight="1" x14ac:dyDescent="0.3">
      <c r="A737" s="2"/>
      <c r="K737" s="2"/>
      <c r="U737" s="2"/>
      <c r="AE737" s="2"/>
      <c r="AO737" s="2"/>
      <c r="AY737" s="2"/>
      <c r="BI737" s="2"/>
      <c r="BS737" s="2"/>
      <c r="CC737" s="2"/>
      <c r="CM737" s="2"/>
      <c r="CW737" s="2"/>
    </row>
    <row r="738" spans="1:101" ht="13.5" customHeight="1" x14ac:dyDescent="0.3">
      <c r="A738" s="2"/>
      <c r="K738" s="2"/>
      <c r="U738" s="2"/>
      <c r="AE738" s="2"/>
      <c r="AO738" s="2"/>
      <c r="AY738" s="2"/>
      <c r="BI738" s="2"/>
      <c r="BS738" s="2"/>
      <c r="CC738" s="2"/>
      <c r="CM738" s="2"/>
      <c r="CW738" s="2"/>
    </row>
    <row r="739" spans="1:101" ht="13.5" customHeight="1" x14ac:dyDescent="0.3">
      <c r="A739" s="2"/>
      <c r="K739" s="2"/>
      <c r="U739" s="2"/>
      <c r="AE739" s="2"/>
      <c r="AO739" s="2"/>
      <c r="AY739" s="2"/>
      <c r="BI739" s="2"/>
      <c r="BS739" s="2"/>
      <c r="CC739" s="2"/>
      <c r="CM739" s="2"/>
      <c r="CW739" s="2"/>
    </row>
    <row r="740" spans="1:101" ht="13.5" customHeight="1" x14ac:dyDescent="0.3">
      <c r="A740" s="2"/>
      <c r="K740" s="2"/>
      <c r="U740" s="2"/>
      <c r="AE740" s="2"/>
      <c r="AO740" s="2"/>
      <c r="AY740" s="2"/>
      <c r="BI740" s="2"/>
      <c r="BS740" s="2"/>
      <c r="CC740" s="2"/>
      <c r="CM740" s="2"/>
      <c r="CW740" s="2"/>
    </row>
    <row r="741" spans="1:101" ht="13.5" customHeight="1" x14ac:dyDescent="0.3">
      <c r="A741" s="2"/>
      <c r="K741" s="2"/>
      <c r="U741" s="2"/>
      <c r="AE741" s="2"/>
      <c r="AO741" s="2"/>
      <c r="AY741" s="2"/>
      <c r="BI741" s="2"/>
      <c r="BS741" s="2"/>
      <c r="CC741" s="2"/>
      <c r="CM741" s="2"/>
      <c r="CW741" s="2"/>
    </row>
    <row r="742" spans="1:101" ht="13.5" customHeight="1" x14ac:dyDescent="0.3">
      <c r="A742" s="2"/>
      <c r="K742" s="2"/>
      <c r="U742" s="2"/>
      <c r="AE742" s="2"/>
      <c r="AO742" s="2"/>
      <c r="AY742" s="2"/>
      <c r="BI742" s="2"/>
      <c r="BS742" s="2"/>
      <c r="CC742" s="2"/>
      <c r="CM742" s="2"/>
      <c r="CW742" s="2"/>
    </row>
    <row r="743" spans="1:101" ht="13.5" customHeight="1" x14ac:dyDescent="0.3">
      <c r="A743" s="2"/>
      <c r="K743" s="2"/>
      <c r="U743" s="2"/>
      <c r="AE743" s="2"/>
      <c r="AO743" s="2"/>
      <c r="AY743" s="2"/>
      <c r="BI743" s="2"/>
      <c r="BS743" s="2"/>
      <c r="CC743" s="2"/>
      <c r="CM743" s="2"/>
      <c r="CW743" s="2"/>
    </row>
    <row r="744" spans="1:101" ht="13.5" customHeight="1" x14ac:dyDescent="0.3">
      <c r="A744" s="2"/>
      <c r="K744" s="2"/>
      <c r="U744" s="2"/>
      <c r="AE744" s="2"/>
      <c r="AO744" s="2"/>
      <c r="AY744" s="2"/>
      <c r="BI744" s="2"/>
      <c r="BS744" s="2"/>
      <c r="CC744" s="2"/>
      <c r="CM744" s="2"/>
      <c r="CW744" s="2"/>
    </row>
    <row r="745" spans="1:101" ht="13.5" customHeight="1" x14ac:dyDescent="0.3">
      <c r="A745" s="2"/>
      <c r="K745" s="2"/>
      <c r="U745" s="2"/>
      <c r="AE745" s="2"/>
      <c r="AO745" s="2"/>
      <c r="AY745" s="2"/>
      <c r="BI745" s="2"/>
      <c r="BS745" s="2"/>
      <c r="CC745" s="2"/>
      <c r="CM745" s="2"/>
      <c r="CW745" s="2"/>
    </row>
    <row r="746" spans="1:101" ht="13.5" customHeight="1" x14ac:dyDescent="0.3">
      <c r="A746" s="2"/>
      <c r="K746" s="2"/>
      <c r="U746" s="2"/>
      <c r="AE746" s="2"/>
      <c r="AO746" s="2"/>
      <c r="AY746" s="2"/>
      <c r="BI746" s="2"/>
      <c r="BS746" s="2"/>
      <c r="CC746" s="2"/>
      <c r="CM746" s="2"/>
      <c r="CW746" s="2"/>
    </row>
    <row r="747" spans="1:101" ht="13.5" customHeight="1" x14ac:dyDescent="0.3">
      <c r="A747" s="2"/>
      <c r="K747" s="2"/>
      <c r="U747" s="2"/>
      <c r="AE747" s="2"/>
      <c r="AO747" s="2"/>
      <c r="AY747" s="2"/>
      <c r="BI747" s="2"/>
      <c r="BS747" s="2"/>
      <c r="CC747" s="2"/>
      <c r="CM747" s="2"/>
      <c r="CW747" s="2"/>
    </row>
    <row r="748" spans="1:101" ht="13.5" customHeight="1" x14ac:dyDescent="0.3">
      <c r="A748" s="2"/>
      <c r="K748" s="2"/>
      <c r="U748" s="2"/>
      <c r="AE748" s="2"/>
      <c r="AO748" s="2"/>
      <c r="AY748" s="2"/>
      <c r="BI748" s="2"/>
      <c r="BS748" s="2"/>
      <c r="CC748" s="2"/>
      <c r="CM748" s="2"/>
      <c r="CW748" s="2"/>
    </row>
    <row r="749" spans="1:101" ht="13.5" customHeight="1" x14ac:dyDescent="0.3">
      <c r="A749" s="2"/>
      <c r="K749" s="2"/>
      <c r="U749" s="2"/>
      <c r="AE749" s="2"/>
      <c r="AO749" s="2"/>
      <c r="AY749" s="2"/>
      <c r="BI749" s="2"/>
      <c r="BS749" s="2"/>
      <c r="CC749" s="2"/>
      <c r="CM749" s="2"/>
      <c r="CW749" s="2"/>
    </row>
    <row r="750" spans="1:101" ht="13.5" customHeight="1" x14ac:dyDescent="0.3">
      <c r="A750" s="2"/>
      <c r="K750" s="2"/>
      <c r="U750" s="2"/>
      <c r="AE750" s="2"/>
      <c r="AO750" s="2"/>
      <c r="AY750" s="2"/>
      <c r="BI750" s="2"/>
      <c r="BS750" s="2"/>
      <c r="CC750" s="2"/>
      <c r="CM750" s="2"/>
      <c r="CW750" s="2"/>
    </row>
    <row r="751" spans="1:101" ht="13.5" customHeight="1" x14ac:dyDescent="0.3">
      <c r="A751" s="2"/>
      <c r="K751" s="2"/>
      <c r="U751" s="2"/>
      <c r="AE751" s="2"/>
      <c r="AO751" s="2"/>
      <c r="AY751" s="2"/>
      <c r="BI751" s="2"/>
      <c r="BS751" s="2"/>
      <c r="CC751" s="2"/>
      <c r="CM751" s="2"/>
      <c r="CW751" s="2"/>
    </row>
    <row r="752" spans="1:101" ht="13.5" customHeight="1" x14ac:dyDescent="0.3">
      <c r="A752" s="2"/>
      <c r="K752" s="2"/>
      <c r="U752" s="2"/>
      <c r="AE752" s="2"/>
      <c r="AO752" s="2"/>
      <c r="AY752" s="2"/>
      <c r="BI752" s="2"/>
      <c r="BS752" s="2"/>
      <c r="CC752" s="2"/>
      <c r="CM752" s="2"/>
      <c r="CW752" s="2"/>
    </row>
    <row r="753" spans="1:101" ht="13.5" customHeight="1" x14ac:dyDescent="0.3">
      <c r="A753" s="2"/>
      <c r="K753" s="2"/>
      <c r="U753" s="2"/>
      <c r="AE753" s="2"/>
      <c r="AO753" s="2"/>
      <c r="AY753" s="2"/>
      <c r="BI753" s="2"/>
      <c r="BS753" s="2"/>
      <c r="CC753" s="2"/>
      <c r="CM753" s="2"/>
      <c r="CW753" s="2"/>
    </row>
    <row r="754" spans="1:101" ht="13.5" customHeight="1" x14ac:dyDescent="0.3">
      <c r="A754" s="2"/>
      <c r="K754" s="2"/>
      <c r="U754" s="2"/>
      <c r="AE754" s="2"/>
      <c r="AO754" s="2"/>
      <c r="AY754" s="2"/>
      <c r="BI754" s="2"/>
      <c r="BS754" s="2"/>
      <c r="CC754" s="2"/>
      <c r="CM754" s="2"/>
      <c r="CW754" s="2"/>
    </row>
    <row r="755" spans="1:101" ht="13.5" customHeight="1" x14ac:dyDescent="0.3">
      <c r="A755" s="2"/>
      <c r="K755" s="2"/>
      <c r="U755" s="2"/>
      <c r="AE755" s="2"/>
      <c r="AO755" s="2"/>
      <c r="AY755" s="2"/>
      <c r="BI755" s="2"/>
      <c r="BS755" s="2"/>
      <c r="CC755" s="2"/>
      <c r="CM755" s="2"/>
      <c r="CW755" s="2"/>
    </row>
    <row r="756" spans="1:101" ht="13.5" customHeight="1" x14ac:dyDescent="0.3">
      <c r="A756" s="2"/>
      <c r="K756" s="2"/>
      <c r="U756" s="2"/>
      <c r="AE756" s="2"/>
      <c r="AO756" s="2"/>
      <c r="AY756" s="2"/>
      <c r="BI756" s="2"/>
      <c r="BS756" s="2"/>
      <c r="CC756" s="2"/>
      <c r="CM756" s="2"/>
      <c r="CW756" s="2"/>
    </row>
    <row r="757" spans="1:101" ht="13.5" customHeight="1" x14ac:dyDescent="0.3">
      <c r="A757" s="2"/>
      <c r="K757" s="2"/>
      <c r="U757" s="2"/>
      <c r="AE757" s="2"/>
      <c r="AO757" s="2"/>
      <c r="AY757" s="2"/>
      <c r="BI757" s="2"/>
      <c r="BS757" s="2"/>
      <c r="CC757" s="2"/>
      <c r="CM757" s="2"/>
      <c r="CW757" s="2"/>
    </row>
    <row r="758" spans="1:101" ht="13.5" customHeight="1" x14ac:dyDescent="0.3">
      <c r="A758" s="2"/>
      <c r="K758" s="2"/>
      <c r="U758" s="2"/>
      <c r="AE758" s="2"/>
      <c r="AO758" s="2"/>
      <c r="AY758" s="2"/>
      <c r="BI758" s="2"/>
      <c r="BS758" s="2"/>
      <c r="CC758" s="2"/>
      <c r="CM758" s="2"/>
      <c r="CW758" s="2"/>
    </row>
    <row r="759" spans="1:101" ht="13.5" customHeight="1" x14ac:dyDescent="0.3">
      <c r="A759" s="2"/>
      <c r="K759" s="2"/>
      <c r="U759" s="2"/>
      <c r="AE759" s="2"/>
      <c r="AO759" s="2"/>
      <c r="AY759" s="2"/>
      <c r="BI759" s="2"/>
      <c r="BS759" s="2"/>
      <c r="CC759" s="2"/>
      <c r="CM759" s="2"/>
      <c r="CW759" s="2"/>
    </row>
    <row r="760" spans="1:101" ht="13.5" customHeight="1" x14ac:dyDescent="0.3">
      <c r="A760" s="2"/>
      <c r="K760" s="2"/>
      <c r="U760" s="2"/>
      <c r="AE760" s="2"/>
      <c r="AO760" s="2"/>
      <c r="AY760" s="2"/>
      <c r="BI760" s="2"/>
      <c r="BS760" s="2"/>
      <c r="CC760" s="2"/>
      <c r="CM760" s="2"/>
      <c r="CW760" s="2"/>
    </row>
    <row r="761" spans="1:101" ht="13.5" customHeight="1" x14ac:dyDescent="0.3">
      <c r="A761" s="2"/>
      <c r="K761" s="2"/>
      <c r="U761" s="2"/>
      <c r="AE761" s="2"/>
      <c r="AO761" s="2"/>
      <c r="AY761" s="2"/>
      <c r="BI761" s="2"/>
      <c r="BS761" s="2"/>
      <c r="CC761" s="2"/>
      <c r="CM761" s="2"/>
      <c r="CW761" s="2"/>
    </row>
    <row r="762" spans="1:101" ht="13.5" customHeight="1" x14ac:dyDescent="0.3">
      <c r="A762" s="2"/>
      <c r="K762" s="2"/>
      <c r="U762" s="2"/>
      <c r="AE762" s="2"/>
      <c r="AO762" s="2"/>
      <c r="AY762" s="2"/>
      <c r="BI762" s="2"/>
      <c r="BS762" s="2"/>
      <c r="CC762" s="2"/>
      <c r="CM762" s="2"/>
      <c r="CW762" s="2"/>
    </row>
    <row r="763" spans="1:101" ht="13.5" customHeight="1" x14ac:dyDescent="0.3">
      <c r="A763" s="2"/>
      <c r="K763" s="2"/>
      <c r="U763" s="2"/>
      <c r="AE763" s="2"/>
      <c r="AO763" s="2"/>
      <c r="AY763" s="2"/>
      <c r="BI763" s="2"/>
      <c r="BS763" s="2"/>
      <c r="CC763" s="2"/>
      <c r="CM763" s="2"/>
      <c r="CW763" s="2"/>
    </row>
    <row r="764" spans="1:101" ht="13.5" customHeight="1" x14ac:dyDescent="0.3">
      <c r="A764" s="2"/>
      <c r="K764" s="2"/>
      <c r="U764" s="2"/>
      <c r="AE764" s="2"/>
      <c r="AO764" s="2"/>
      <c r="AY764" s="2"/>
      <c r="BI764" s="2"/>
      <c r="BS764" s="2"/>
      <c r="CC764" s="2"/>
      <c r="CM764" s="2"/>
      <c r="CW764" s="2"/>
    </row>
    <row r="765" spans="1:101" ht="13.5" customHeight="1" x14ac:dyDescent="0.3">
      <c r="A765" s="2"/>
      <c r="K765" s="2"/>
      <c r="U765" s="2"/>
      <c r="AE765" s="2"/>
      <c r="AO765" s="2"/>
      <c r="AY765" s="2"/>
      <c r="BI765" s="2"/>
      <c r="BS765" s="2"/>
      <c r="CC765" s="2"/>
      <c r="CM765" s="2"/>
      <c r="CW765" s="2"/>
    </row>
    <row r="766" spans="1:101" ht="13.5" customHeight="1" x14ac:dyDescent="0.3">
      <c r="A766" s="2"/>
      <c r="K766" s="2"/>
      <c r="U766" s="2"/>
      <c r="AE766" s="2"/>
      <c r="AO766" s="2"/>
      <c r="AY766" s="2"/>
      <c r="BI766" s="2"/>
      <c r="BS766" s="2"/>
      <c r="CC766" s="2"/>
      <c r="CM766" s="2"/>
      <c r="CW766" s="2"/>
    </row>
    <row r="767" spans="1:101" ht="13.5" customHeight="1" x14ac:dyDescent="0.3">
      <c r="A767" s="2"/>
      <c r="K767" s="2"/>
      <c r="U767" s="2"/>
      <c r="AE767" s="2"/>
      <c r="AO767" s="2"/>
      <c r="AY767" s="2"/>
      <c r="BI767" s="2"/>
      <c r="BS767" s="2"/>
      <c r="CC767" s="2"/>
      <c r="CM767" s="2"/>
      <c r="CW767" s="2"/>
    </row>
    <row r="768" spans="1:101" ht="13.5" customHeight="1" x14ac:dyDescent="0.3">
      <c r="A768" s="2"/>
      <c r="K768" s="2"/>
      <c r="U768" s="2"/>
      <c r="AE768" s="2"/>
      <c r="AO768" s="2"/>
      <c r="AY768" s="2"/>
      <c r="BI768" s="2"/>
      <c r="BS768" s="2"/>
      <c r="CC768" s="2"/>
      <c r="CM768" s="2"/>
      <c r="CW768" s="2"/>
    </row>
    <row r="769" spans="1:101" ht="13.5" customHeight="1" x14ac:dyDescent="0.3">
      <c r="A769" s="2"/>
      <c r="K769" s="2"/>
      <c r="U769" s="2"/>
      <c r="AE769" s="2"/>
      <c r="AO769" s="2"/>
      <c r="AY769" s="2"/>
      <c r="BI769" s="2"/>
      <c r="BS769" s="2"/>
      <c r="CC769" s="2"/>
      <c r="CM769" s="2"/>
      <c r="CW769" s="2"/>
    </row>
    <row r="770" spans="1:101" ht="13.5" customHeight="1" x14ac:dyDescent="0.3">
      <c r="A770" s="2"/>
      <c r="K770" s="2"/>
      <c r="U770" s="2"/>
      <c r="AE770" s="2"/>
      <c r="AO770" s="2"/>
      <c r="AY770" s="2"/>
      <c r="BI770" s="2"/>
      <c r="BS770" s="2"/>
      <c r="CC770" s="2"/>
      <c r="CM770" s="2"/>
      <c r="CW770" s="2"/>
    </row>
    <row r="771" spans="1:101" ht="13.5" customHeight="1" x14ac:dyDescent="0.3">
      <c r="A771" s="2"/>
      <c r="K771" s="2"/>
      <c r="U771" s="2"/>
      <c r="AE771" s="2"/>
      <c r="AO771" s="2"/>
      <c r="AY771" s="2"/>
      <c r="BI771" s="2"/>
      <c r="BS771" s="2"/>
      <c r="CC771" s="2"/>
      <c r="CM771" s="2"/>
      <c r="CW771" s="2"/>
    </row>
    <row r="772" spans="1:101" ht="13.5" customHeight="1" x14ac:dyDescent="0.3">
      <c r="A772" s="2"/>
      <c r="K772" s="2"/>
      <c r="U772" s="2"/>
      <c r="AE772" s="2"/>
      <c r="AO772" s="2"/>
      <c r="AY772" s="2"/>
      <c r="BI772" s="2"/>
      <c r="BS772" s="2"/>
      <c r="CC772" s="2"/>
      <c r="CM772" s="2"/>
      <c r="CW772" s="2"/>
    </row>
    <row r="773" spans="1:101" ht="13.5" customHeight="1" x14ac:dyDescent="0.3">
      <c r="A773" s="2"/>
      <c r="K773" s="2"/>
      <c r="U773" s="2"/>
      <c r="AE773" s="2"/>
      <c r="AO773" s="2"/>
      <c r="AY773" s="2"/>
      <c r="BI773" s="2"/>
      <c r="BS773" s="2"/>
      <c r="CC773" s="2"/>
      <c r="CM773" s="2"/>
      <c r="CW773" s="2"/>
    </row>
    <row r="774" spans="1:101" ht="13.5" customHeight="1" x14ac:dyDescent="0.3">
      <c r="A774" s="2"/>
      <c r="K774" s="2"/>
      <c r="U774" s="2"/>
      <c r="AE774" s="2"/>
      <c r="AO774" s="2"/>
      <c r="AY774" s="2"/>
      <c r="BI774" s="2"/>
      <c r="BS774" s="2"/>
      <c r="CC774" s="2"/>
      <c r="CM774" s="2"/>
      <c r="CW774" s="2"/>
    </row>
    <row r="775" spans="1:101" ht="13.5" customHeight="1" x14ac:dyDescent="0.3">
      <c r="A775" s="2"/>
      <c r="K775" s="2"/>
      <c r="U775" s="2"/>
      <c r="AE775" s="2"/>
      <c r="AO775" s="2"/>
      <c r="AY775" s="2"/>
      <c r="BI775" s="2"/>
      <c r="BS775" s="2"/>
      <c r="CC775" s="2"/>
      <c r="CM775" s="2"/>
      <c r="CW775" s="2"/>
    </row>
    <row r="776" spans="1:101" ht="13.5" customHeight="1" x14ac:dyDescent="0.3">
      <c r="A776" s="2"/>
      <c r="K776" s="2"/>
      <c r="U776" s="2"/>
      <c r="AE776" s="2"/>
      <c r="AO776" s="2"/>
      <c r="AY776" s="2"/>
      <c r="BI776" s="2"/>
      <c r="BS776" s="2"/>
      <c r="CC776" s="2"/>
      <c r="CM776" s="2"/>
      <c r="CW776" s="2"/>
    </row>
    <row r="777" spans="1:101" ht="13.5" customHeight="1" x14ac:dyDescent="0.3">
      <c r="A777" s="2"/>
      <c r="K777" s="2"/>
      <c r="U777" s="2"/>
      <c r="AE777" s="2"/>
      <c r="AO777" s="2"/>
      <c r="AY777" s="2"/>
      <c r="BI777" s="2"/>
      <c r="BS777" s="2"/>
      <c r="CC777" s="2"/>
      <c r="CM777" s="2"/>
      <c r="CW777" s="2"/>
    </row>
    <row r="778" spans="1:101" ht="13.5" customHeight="1" x14ac:dyDescent="0.3">
      <c r="A778" s="2"/>
      <c r="K778" s="2"/>
      <c r="U778" s="2"/>
      <c r="AE778" s="2"/>
      <c r="AO778" s="2"/>
      <c r="AY778" s="2"/>
      <c r="BI778" s="2"/>
      <c r="BS778" s="2"/>
      <c r="CC778" s="2"/>
      <c r="CM778" s="2"/>
      <c r="CW778" s="2"/>
    </row>
    <row r="779" spans="1:101" ht="13.5" customHeight="1" x14ac:dyDescent="0.3">
      <c r="A779" s="2"/>
      <c r="K779" s="2"/>
      <c r="U779" s="2"/>
      <c r="AE779" s="2"/>
      <c r="AO779" s="2"/>
      <c r="AY779" s="2"/>
      <c r="BI779" s="2"/>
      <c r="BS779" s="2"/>
      <c r="CC779" s="2"/>
      <c r="CM779" s="2"/>
      <c r="CW779" s="2"/>
    </row>
    <row r="780" spans="1:101" ht="13.5" customHeight="1" x14ac:dyDescent="0.3">
      <c r="A780" s="2"/>
      <c r="K780" s="2"/>
      <c r="U780" s="2"/>
      <c r="AE780" s="2"/>
      <c r="AO780" s="2"/>
      <c r="AY780" s="2"/>
      <c r="BI780" s="2"/>
      <c r="BS780" s="2"/>
      <c r="CC780" s="2"/>
      <c r="CM780" s="2"/>
      <c r="CW780" s="2"/>
    </row>
    <row r="781" spans="1:101" ht="13.5" customHeight="1" x14ac:dyDescent="0.3">
      <c r="A781" s="2"/>
      <c r="K781" s="2"/>
      <c r="U781" s="2"/>
      <c r="AE781" s="2"/>
      <c r="AO781" s="2"/>
      <c r="AY781" s="2"/>
      <c r="BI781" s="2"/>
      <c r="BS781" s="2"/>
      <c r="CC781" s="2"/>
      <c r="CM781" s="2"/>
      <c r="CW781" s="2"/>
    </row>
    <row r="782" spans="1:101" ht="13.5" customHeight="1" x14ac:dyDescent="0.3">
      <c r="A782" s="2"/>
      <c r="K782" s="2"/>
      <c r="U782" s="2"/>
      <c r="AE782" s="2"/>
      <c r="AO782" s="2"/>
      <c r="AY782" s="2"/>
      <c r="BI782" s="2"/>
      <c r="BS782" s="2"/>
      <c r="CC782" s="2"/>
      <c r="CM782" s="2"/>
      <c r="CW782" s="2"/>
    </row>
    <row r="783" spans="1:101" ht="13.5" customHeight="1" x14ac:dyDescent="0.3">
      <c r="A783" s="2"/>
      <c r="K783" s="2"/>
      <c r="U783" s="2"/>
      <c r="AE783" s="2"/>
      <c r="AO783" s="2"/>
      <c r="AY783" s="2"/>
      <c r="BI783" s="2"/>
      <c r="BS783" s="2"/>
      <c r="CC783" s="2"/>
      <c r="CM783" s="2"/>
      <c r="CW783" s="2"/>
    </row>
    <row r="784" spans="1:101" ht="13.5" customHeight="1" x14ac:dyDescent="0.3">
      <c r="A784" s="2"/>
      <c r="K784" s="2"/>
      <c r="U784" s="2"/>
      <c r="AE784" s="2"/>
      <c r="AO784" s="2"/>
      <c r="AY784" s="2"/>
      <c r="BI784" s="2"/>
      <c r="BS784" s="2"/>
      <c r="CC784" s="2"/>
      <c r="CM784" s="2"/>
      <c r="CW784" s="2"/>
    </row>
    <row r="785" spans="1:101" ht="13.5" customHeight="1" x14ac:dyDescent="0.3">
      <c r="A785" s="2"/>
      <c r="K785" s="2"/>
      <c r="U785" s="2"/>
      <c r="AE785" s="2"/>
      <c r="AO785" s="2"/>
      <c r="AY785" s="2"/>
      <c r="BI785" s="2"/>
      <c r="BS785" s="2"/>
      <c r="CC785" s="2"/>
      <c r="CM785" s="2"/>
      <c r="CW785" s="2"/>
    </row>
    <row r="786" spans="1:101" ht="13.5" customHeight="1" x14ac:dyDescent="0.3">
      <c r="A786" s="2"/>
      <c r="K786" s="2"/>
      <c r="U786" s="2"/>
      <c r="AE786" s="2"/>
      <c r="AO786" s="2"/>
      <c r="AY786" s="2"/>
      <c r="BI786" s="2"/>
      <c r="BS786" s="2"/>
      <c r="CC786" s="2"/>
      <c r="CM786" s="2"/>
      <c r="CW786" s="2"/>
    </row>
    <row r="787" spans="1:101" ht="13.5" customHeight="1" x14ac:dyDescent="0.3">
      <c r="A787" s="2"/>
      <c r="K787" s="2"/>
      <c r="U787" s="2"/>
      <c r="AE787" s="2"/>
      <c r="AO787" s="2"/>
      <c r="AY787" s="2"/>
      <c r="BI787" s="2"/>
      <c r="BS787" s="2"/>
      <c r="CC787" s="2"/>
      <c r="CM787" s="2"/>
      <c r="CW787" s="2"/>
    </row>
    <row r="788" spans="1:101" ht="13.5" customHeight="1" x14ac:dyDescent="0.3">
      <c r="A788" s="2"/>
      <c r="K788" s="2"/>
      <c r="U788" s="2"/>
      <c r="AE788" s="2"/>
      <c r="AO788" s="2"/>
      <c r="AY788" s="2"/>
      <c r="BI788" s="2"/>
      <c r="BS788" s="2"/>
      <c r="CC788" s="2"/>
      <c r="CM788" s="2"/>
      <c r="CW788" s="2"/>
    </row>
    <row r="789" spans="1:101" ht="13.5" customHeight="1" x14ac:dyDescent="0.3">
      <c r="A789" s="2"/>
      <c r="K789" s="2"/>
      <c r="U789" s="2"/>
      <c r="AE789" s="2"/>
      <c r="AO789" s="2"/>
      <c r="AY789" s="2"/>
      <c r="BI789" s="2"/>
      <c r="BS789" s="2"/>
      <c r="CC789" s="2"/>
      <c r="CM789" s="2"/>
      <c r="CW789" s="2"/>
    </row>
    <row r="790" spans="1:101" ht="13.5" customHeight="1" x14ac:dyDescent="0.3">
      <c r="A790" s="2"/>
      <c r="K790" s="2"/>
      <c r="U790" s="2"/>
      <c r="AE790" s="2"/>
      <c r="AO790" s="2"/>
      <c r="AY790" s="2"/>
      <c r="BI790" s="2"/>
      <c r="BS790" s="2"/>
      <c r="CC790" s="2"/>
      <c r="CM790" s="2"/>
      <c r="CW790" s="2"/>
    </row>
    <row r="791" spans="1:101" ht="13.5" customHeight="1" x14ac:dyDescent="0.3">
      <c r="A791" s="2"/>
      <c r="K791" s="2"/>
      <c r="U791" s="2"/>
      <c r="AE791" s="2"/>
      <c r="AO791" s="2"/>
      <c r="AY791" s="2"/>
      <c r="BI791" s="2"/>
      <c r="BS791" s="2"/>
      <c r="CC791" s="2"/>
      <c r="CM791" s="2"/>
      <c r="CW791" s="2"/>
    </row>
    <row r="792" spans="1:101" ht="13.5" customHeight="1" x14ac:dyDescent="0.3">
      <c r="A792" s="2"/>
      <c r="K792" s="2"/>
      <c r="U792" s="2"/>
      <c r="AE792" s="2"/>
      <c r="AO792" s="2"/>
      <c r="AY792" s="2"/>
      <c r="BI792" s="2"/>
      <c r="BS792" s="2"/>
      <c r="CC792" s="2"/>
      <c r="CM792" s="2"/>
      <c r="CW792" s="2"/>
    </row>
    <row r="793" spans="1:101" ht="13.5" customHeight="1" x14ac:dyDescent="0.3">
      <c r="A793" s="2"/>
      <c r="K793" s="2"/>
      <c r="U793" s="2"/>
      <c r="AE793" s="2"/>
      <c r="AO793" s="2"/>
      <c r="AY793" s="2"/>
      <c r="BI793" s="2"/>
      <c r="BS793" s="2"/>
      <c r="CC793" s="2"/>
      <c r="CM793" s="2"/>
      <c r="CW793" s="2"/>
    </row>
    <row r="794" spans="1:101" ht="13.5" customHeight="1" x14ac:dyDescent="0.3">
      <c r="A794" s="2"/>
      <c r="K794" s="2"/>
      <c r="U794" s="2"/>
      <c r="AE794" s="2"/>
      <c r="AO794" s="2"/>
      <c r="AY794" s="2"/>
      <c r="BI794" s="2"/>
      <c r="BS794" s="2"/>
      <c r="CC794" s="2"/>
      <c r="CM794" s="2"/>
      <c r="CW794" s="2"/>
    </row>
    <row r="795" spans="1:101" ht="13.5" customHeight="1" x14ac:dyDescent="0.3">
      <c r="A795" s="2"/>
      <c r="K795" s="2"/>
      <c r="U795" s="2"/>
      <c r="AE795" s="2"/>
      <c r="AO795" s="2"/>
      <c r="AY795" s="2"/>
      <c r="BI795" s="2"/>
      <c r="BS795" s="2"/>
      <c r="CC795" s="2"/>
      <c r="CM795" s="2"/>
      <c r="CW795" s="2"/>
    </row>
    <row r="796" spans="1:101" ht="13.5" customHeight="1" x14ac:dyDescent="0.3">
      <c r="A796" s="2"/>
      <c r="K796" s="2"/>
      <c r="U796" s="2"/>
      <c r="AE796" s="2"/>
      <c r="AO796" s="2"/>
      <c r="AY796" s="2"/>
      <c r="BI796" s="2"/>
      <c r="BS796" s="2"/>
      <c r="CC796" s="2"/>
      <c r="CM796" s="2"/>
      <c r="CW796" s="2"/>
    </row>
    <row r="797" spans="1:101" ht="13.5" customHeight="1" x14ac:dyDescent="0.3">
      <c r="A797" s="2"/>
      <c r="K797" s="2"/>
      <c r="U797" s="2"/>
      <c r="AE797" s="2"/>
      <c r="AO797" s="2"/>
      <c r="AY797" s="2"/>
      <c r="BI797" s="2"/>
      <c r="BS797" s="2"/>
      <c r="CC797" s="2"/>
      <c r="CM797" s="2"/>
      <c r="CW797" s="2"/>
    </row>
    <row r="798" spans="1:101" ht="13.5" customHeight="1" x14ac:dyDescent="0.3">
      <c r="A798" s="2"/>
      <c r="K798" s="2"/>
      <c r="U798" s="2"/>
      <c r="AE798" s="2"/>
      <c r="AO798" s="2"/>
      <c r="AY798" s="2"/>
      <c r="BI798" s="2"/>
      <c r="BS798" s="2"/>
      <c r="CC798" s="2"/>
      <c r="CM798" s="2"/>
      <c r="CW798" s="2"/>
    </row>
    <row r="799" spans="1:101" ht="13.5" customHeight="1" x14ac:dyDescent="0.3">
      <c r="A799" s="2"/>
      <c r="K799" s="2"/>
      <c r="U799" s="2"/>
      <c r="AE799" s="2"/>
      <c r="AO799" s="2"/>
      <c r="AY799" s="2"/>
      <c r="BI799" s="2"/>
      <c r="BS799" s="2"/>
      <c r="CC799" s="2"/>
      <c r="CM799" s="2"/>
      <c r="CW799" s="2"/>
    </row>
    <row r="800" spans="1:101" ht="13.5" customHeight="1" x14ac:dyDescent="0.3">
      <c r="A800" s="2"/>
      <c r="K800" s="2"/>
      <c r="U800" s="2"/>
      <c r="AE800" s="2"/>
      <c r="AO800" s="2"/>
      <c r="AY800" s="2"/>
      <c r="BI800" s="2"/>
      <c r="BS800" s="2"/>
      <c r="CC800" s="2"/>
      <c r="CM800" s="2"/>
      <c r="CW800" s="2"/>
    </row>
    <row r="801" spans="1:101" ht="13.5" customHeight="1" x14ac:dyDescent="0.3">
      <c r="A801" s="2"/>
      <c r="K801" s="2"/>
      <c r="U801" s="2"/>
      <c r="AE801" s="2"/>
      <c r="AO801" s="2"/>
      <c r="AY801" s="2"/>
      <c r="BI801" s="2"/>
      <c r="BS801" s="2"/>
      <c r="CC801" s="2"/>
      <c r="CM801" s="2"/>
      <c r="CW801" s="2"/>
    </row>
    <row r="802" spans="1:101" ht="13.5" customHeight="1" x14ac:dyDescent="0.3">
      <c r="A802" s="2"/>
      <c r="K802" s="2"/>
      <c r="U802" s="2"/>
      <c r="AE802" s="2"/>
      <c r="AO802" s="2"/>
      <c r="AY802" s="2"/>
      <c r="BI802" s="2"/>
      <c r="BS802" s="2"/>
      <c r="CC802" s="2"/>
      <c r="CM802" s="2"/>
      <c r="CW802" s="2"/>
    </row>
    <row r="803" spans="1:101" ht="13.5" customHeight="1" x14ac:dyDescent="0.3">
      <c r="A803" s="2"/>
      <c r="K803" s="2"/>
      <c r="U803" s="2"/>
      <c r="AE803" s="2"/>
      <c r="AO803" s="2"/>
      <c r="AY803" s="2"/>
      <c r="BI803" s="2"/>
      <c r="BS803" s="2"/>
      <c r="CC803" s="2"/>
      <c r="CM803" s="2"/>
      <c r="CW803" s="2"/>
    </row>
    <row r="804" spans="1:101" ht="13.5" customHeight="1" x14ac:dyDescent="0.3">
      <c r="A804" s="2"/>
      <c r="K804" s="2"/>
      <c r="U804" s="2"/>
      <c r="AE804" s="2"/>
      <c r="AO804" s="2"/>
      <c r="AY804" s="2"/>
      <c r="BI804" s="2"/>
      <c r="BS804" s="2"/>
      <c r="CC804" s="2"/>
      <c r="CM804" s="2"/>
      <c r="CW804" s="2"/>
    </row>
    <row r="805" spans="1:101" ht="13.5" customHeight="1" x14ac:dyDescent="0.3">
      <c r="A805" s="2"/>
      <c r="K805" s="2"/>
      <c r="U805" s="2"/>
      <c r="AE805" s="2"/>
      <c r="AO805" s="2"/>
      <c r="AY805" s="2"/>
      <c r="BI805" s="2"/>
      <c r="BS805" s="2"/>
      <c r="CC805" s="2"/>
      <c r="CM805" s="2"/>
      <c r="CW805" s="2"/>
    </row>
    <row r="806" spans="1:101" ht="13.5" customHeight="1" x14ac:dyDescent="0.3">
      <c r="A806" s="2"/>
      <c r="K806" s="2"/>
      <c r="U806" s="2"/>
      <c r="AE806" s="2"/>
      <c r="AO806" s="2"/>
      <c r="AY806" s="2"/>
      <c r="BI806" s="2"/>
      <c r="BS806" s="2"/>
      <c r="CC806" s="2"/>
      <c r="CM806" s="2"/>
      <c r="CW806" s="2"/>
    </row>
    <row r="807" spans="1:101" ht="13.5" customHeight="1" x14ac:dyDescent="0.3">
      <c r="A807" s="2"/>
      <c r="K807" s="2"/>
      <c r="U807" s="2"/>
      <c r="AE807" s="2"/>
      <c r="AO807" s="2"/>
      <c r="AY807" s="2"/>
      <c r="BI807" s="2"/>
      <c r="BS807" s="2"/>
      <c r="CC807" s="2"/>
      <c r="CM807" s="2"/>
      <c r="CW807" s="2"/>
    </row>
    <row r="808" spans="1:101" ht="13.5" customHeight="1" x14ac:dyDescent="0.3">
      <c r="A808" s="2"/>
      <c r="K808" s="2"/>
      <c r="U808" s="2"/>
      <c r="AE808" s="2"/>
      <c r="AO808" s="2"/>
      <c r="AY808" s="2"/>
      <c r="BI808" s="2"/>
      <c r="BS808" s="2"/>
      <c r="CC808" s="2"/>
      <c r="CM808" s="2"/>
      <c r="CW808" s="2"/>
    </row>
    <row r="809" spans="1:101" ht="13.5" customHeight="1" x14ac:dyDescent="0.3">
      <c r="A809" s="2"/>
      <c r="K809" s="2"/>
      <c r="U809" s="2"/>
      <c r="AE809" s="2"/>
      <c r="AO809" s="2"/>
      <c r="AY809" s="2"/>
      <c r="BI809" s="2"/>
      <c r="BS809" s="2"/>
      <c r="CC809" s="2"/>
      <c r="CM809" s="2"/>
      <c r="CW809" s="2"/>
    </row>
    <row r="810" spans="1:101" ht="13.5" customHeight="1" x14ac:dyDescent="0.3">
      <c r="A810" s="2"/>
      <c r="K810" s="2"/>
      <c r="U810" s="2"/>
      <c r="AE810" s="2"/>
      <c r="AO810" s="2"/>
      <c r="AY810" s="2"/>
      <c r="BI810" s="2"/>
      <c r="BS810" s="2"/>
      <c r="CC810" s="2"/>
      <c r="CM810" s="2"/>
      <c r="CW810" s="2"/>
    </row>
    <row r="811" spans="1:101" ht="13.5" customHeight="1" x14ac:dyDescent="0.3">
      <c r="A811" s="2"/>
      <c r="K811" s="2"/>
      <c r="U811" s="2"/>
      <c r="AE811" s="2"/>
      <c r="AO811" s="2"/>
      <c r="AY811" s="2"/>
      <c r="BI811" s="2"/>
      <c r="BS811" s="2"/>
      <c r="CC811" s="2"/>
      <c r="CM811" s="2"/>
      <c r="CW811" s="2"/>
    </row>
    <row r="812" spans="1:101" ht="13.5" customHeight="1" x14ac:dyDescent="0.3">
      <c r="A812" s="2"/>
      <c r="K812" s="2"/>
      <c r="U812" s="2"/>
      <c r="AE812" s="2"/>
      <c r="AO812" s="2"/>
      <c r="AY812" s="2"/>
      <c r="BI812" s="2"/>
      <c r="BS812" s="2"/>
      <c r="CC812" s="2"/>
      <c r="CM812" s="2"/>
      <c r="CW812" s="2"/>
    </row>
    <row r="813" spans="1:101" ht="13.5" customHeight="1" x14ac:dyDescent="0.3">
      <c r="A813" s="2"/>
      <c r="K813" s="2"/>
      <c r="U813" s="2"/>
      <c r="AE813" s="2"/>
      <c r="AO813" s="2"/>
      <c r="AY813" s="2"/>
      <c r="BI813" s="2"/>
      <c r="BS813" s="2"/>
      <c r="CC813" s="2"/>
      <c r="CM813" s="2"/>
      <c r="CW813" s="2"/>
    </row>
    <row r="814" spans="1:101" ht="13.5" customHeight="1" x14ac:dyDescent="0.3">
      <c r="A814" s="2"/>
      <c r="K814" s="2"/>
      <c r="U814" s="2"/>
      <c r="AE814" s="2"/>
      <c r="AO814" s="2"/>
      <c r="AY814" s="2"/>
      <c r="BI814" s="2"/>
      <c r="BS814" s="2"/>
      <c r="CC814" s="2"/>
      <c r="CM814" s="2"/>
      <c r="CW814" s="2"/>
    </row>
    <row r="815" spans="1:101" ht="13.5" customHeight="1" x14ac:dyDescent="0.3">
      <c r="A815" s="2"/>
      <c r="K815" s="2"/>
      <c r="U815" s="2"/>
      <c r="AE815" s="2"/>
      <c r="AO815" s="2"/>
      <c r="AY815" s="2"/>
      <c r="BI815" s="2"/>
      <c r="BS815" s="2"/>
      <c r="CC815" s="2"/>
      <c r="CM815" s="2"/>
      <c r="CW815" s="2"/>
    </row>
    <row r="816" spans="1:101" ht="13.5" customHeight="1" x14ac:dyDescent="0.3">
      <c r="A816" s="2"/>
      <c r="K816" s="2"/>
      <c r="U816" s="2"/>
      <c r="AE816" s="2"/>
      <c r="AO816" s="2"/>
      <c r="AY816" s="2"/>
      <c r="BI816" s="2"/>
      <c r="BS816" s="2"/>
      <c r="CC816" s="2"/>
      <c r="CM816" s="2"/>
      <c r="CW816" s="2"/>
    </row>
    <row r="817" spans="1:101" ht="13.5" customHeight="1" x14ac:dyDescent="0.3">
      <c r="A817" s="2"/>
      <c r="K817" s="2"/>
      <c r="U817" s="2"/>
      <c r="AE817" s="2"/>
      <c r="AO817" s="2"/>
      <c r="AY817" s="2"/>
      <c r="BI817" s="2"/>
      <c r="BS817" s="2"/>
      <c r="CC817" s="2"/>
      <c r="CM817" s="2"/>
      <c r="CW817" s="2"/>
    </row>
    <row r="818" spans="1:101" ht="13.5" customHeight="1" x14ac:dyDescent="0.3">
      <c r="A818" s="2"/>
      <c r="K818" s="2"/>
      <c r="U818" s="2"/>
      <c r="AE818" s="2"/>
      <c r="AO818" s="2"/>
      <c r="AY818" s="2"/>
      <c r="BI818" s="2"/>
      <c r="BS818" s="2"/>
      <c r="CC818" s="2"/>
      <c r="CM818" s="2"/>
      <c r="CW818" s="2"/>
    </row>
    <row r="819" spans="1:101" ht="13.5" customHeight="1" x14ac:dyDescent="0.3">
      <c r="A819" s="2"/>
      <c r="K819" s="2"/>
      <c r="U819" s="2"/>
      <c r="AE819" s="2"/>
      <c r="AO819" s="2"/>
      <c r="AY819" s="2"/>
      <c r="BI819" s="2"/>
      <c r="BS819" s="2"/>
      <c r="CC819" s="2"/>
      <c r="CM819" s="2"/>
      <c r="CW819" s="2"/>
    </row>
    <row r="820" spans="1:101" ht="13.5" customHeight="1" x14ac:dyDescent="0.3">
      <c r="A820" s="2"/>
      <c r="K820" s="2"/>
      <c r="U820" s="2"/>
      <c r="AE820" s="2"/>
      <c r="AO820" s="2"/>
      <c r="AY820" s="2"/>
      <c r="BI820" s="2"/>
      <c r="BS820" s="2"/>
      <c r="CC820" s="2"/>
      <c r="CM820" s="2"/>
      <c r="CW820" s="2"/>
    </row>
    <row r="821" spans="1:101" ht="13.5" customHeight="1" x14ac:dyDescent="0.3">
      <c r="A821" s="2"/>
      <c r="K821" s="2"/>
      <c r="U821" s="2"/>
      <c r="AE821" s="2"/>
      <c r="AO821" s="2"/>
      <c r="AY821" s="2"/>
      <c r="BI821" s="2"/>
      <c r="BS821" s="2"/>
      <c r="CC821" s="2"/>
      <c r="CM821" s="2"/>
      <c r="CW821" s="2"/>
    </row>
    <row r="822" spans="1:101" ht="13.5" customHeight="1" x14ac:dyDescent="0.3">
      <c r="A822" s="2"/>
      <c r="K822" s="2"/>
      <c r="U822" s="2"/>
      <c r="AE822" s="2"/>
      <c r="AO822" s="2"/>
      <c r="AY822" s="2"/>
      <c r="BI822" s="2"/>
      <c r="BS822" s="2"/>
      <c r="CC822" s="2"/>
      <c r="CM822" s="2"/>
      <c r="CW822" s="2"/>
    </row>
    <row r="823" spans="1:101" ht="13.5" customHeight="1" x14ac:dyDescent="0.3">
      <c r="A823" s="2"/>
      <c r="K823" s="2"/>
      <c r="U823" s="2"/>
      <c r="AE823" s="2"/>
      <c r="AO823" s="2"/>
      <c r="AY823" s="2"/>
      <c r="BI823" s="2"/>
      <c r="BS823" s="2"/>
      <c r="CC823" s="2"/>
      <c r="CM823" s="2"/>
      <c r="CW823" s="2"/>
    </row>
    <row r="824" spans="1:101" ht="13.5" customHeight="1" x14ac:dyDescent="0.3">
      <c r="A824" s="2"/>
      <c r="K824" s="2"/>
      <c r="U824" s="2"/>
      <c r="AE824" s="2"/>
      <c r="AO824" s="2"/>
      <c r="AY824" s="2"/>
      <c r="BI824" s="2"/>
      <c r="BS824" s="2"/>
      <c r="CC824" s="2"/>
      <c r="CM824" s="2"/>
      <c r="CW824" s="2"/>
    </row>
    <row r="825" spans="1:101" ht="13.5" customHeight="1" x14ac:dyDescent="0.3">
      <c r="A825" s="2"/>
      <c r="K825" s="2"/>
      <c r="U825" s="2"/>
      <c r="AE825" s="2"/>
      <c r="AO825" s="2"/>
      <c r="AY825" s="2"/>
      <c r="BI825" s="2"/>
      <c r="BS825" s="2"/>
      <c r="CC825" s="2"/>
      <c r="CM825" s="2"/>
      <c r="CW825" s="2"/>
    </row>
    <row r="826" spans="1:101" ht="13.5" customHeight="1" x14ac:dyDescent="0.3">
      <c r="A826" s="2"/>
      <c r="K826" s="2"/>
      <c r="U826" s="2"/>
      <c r="AE826" s="2"/>
      <c r="AO826" s="2"/>
      <c r="AY826" s="2"/>
      <c r="BI826" s="2"/>
      <c r="BS826" s="2"/>
      <c r="CC826" s="2"/>
      <c r="CM826" s="2"/>
      <c r="CW826" s="2"/>
    </row>
    <row r="827" spans="1:101" ht="13.5" customHeight="1" x14ac:dyDescent="0.3">
      <c r="A827" s="2"/>
      <c r="K827" s="2"/>
      <c r="U827" s="2"/>
      <c r="AE827" s="2"/>
      <c r="AO827" s="2"/>
      <c r="AY827" s="2"/>
      <c r="BI827" s="2"/>
      <c r="BS827" s="2"/>
      <c r="CC827" s="2"/>
      <c r="CM827" s="2"/>
      <c r="CW827" s="2"/>
    </row>
    <row r="828" spans="1:101" ht="13.5" customHeight="1" x14ac:dyDescent="0.3">
      <c r="A828" s="2"/>
      <c r="K828" s="2"/>
      <c r="U828" s="2"/>
      <c r="AE828" s="2"/>
      <c r="AO828" s="2"/>
      <c r="AY828" s="2"/>
      <c r="BI828" s="2"/>
      <c r="BS828" s="2"/>
      <c r="CC828" s="2"/>
      <c r="CM828" s="2"/>
      <c r="CW828" s="2"/>
    </row>
    <row r="829" spans="1:101" ht="13.5" customHeight="1" x14ac:dyDescent="0.3">
      <c r="A829" s="2"/>
      <c r="K829" s="2"/>
      <c r="U829" s="2"/>
      <c r="AE829" s="2"/>
      <c r="AO829" s="2"/>
      <c r="AY829" s="2"/>
      <c r="BI829" s="2"/>
      <c r="BS829" s="2"/>
      <c r="CC829" s="2"/>
      <c r="CM829" s="2"/>
      <c r="CW829" s="2"/>
    </row>
    <row r="830" spans="1:101" ht="13.5" customHeight="1" x14ac:dyDescent="0.3">
      <c r="A830" s="2"/>
      <c r="K830" s="2"/>
      <c r="U830" s="2"/>
      <c r="AE830" s="2"/>
      <c r="AO830" s="2"/>
      <c r="AY830" s="2"/>
      <c r="BI830" s="2"/>
      <c r="BS830" s="2"/>
      <c r="CC830" s="2"/>
      <c r="CM830" s="2"/>
      <c r="CW830" s="2"/>
    </row>
    <row r="831" spans="1:101" ht="13.5" customHeight="1" x14ac:dyDescent="0.3">
      <c r="A831" s="2"/>
      <c r="K831" s="2"/>
      <c r="U831" s="2"/>
      <c r="AE831" s="2"/>
      <c r="AO831" s="2"/>
      <c r="AY831" s="2"/>
      <c r="BI831" s="2"/>
      <c r="BS831" s="2"/>
      <c r="CC831" s="2"/>
      <c r="CM831" s="2"/>
      <c r="CW831" s="2"/>
    </row>
    <row r="832" spans="1:101" ht="13.5" customHeight="1" x14ac:dyDescent="0.3">
      <c r="A832" s="2"/>
      <c r="K832" s="2"/>
      <c r="U832" s="2"/>
      <c r="AE832" s="2"/>
      <c r="AO832" s="2"/>
      <c r="AY832" s="2"/>
      <c r="BI832" s="2"/>
      <c r="BS832" s="2"/>
      <c r="CC832" s="2"/>
      <c r="CM832" s="2"/>
      <c r="CW832" s="2"/>
    </row>
    <row r="833" spans="1:101" ht="13.5" customHeight="1" x14ac:dyDescent="0.3">
      <c r="A833" s="2"/>
      <c r="K833" s="2"/>
      <c r="U833" s="2"/>
      <c r="AE833" s="2"/>
      <c r="AO833" s="2"/>
      <c r="AY833" s="2"/>
      <c r="BI833" s="2"/>
      <c r="BS833" s="2"/>
      <c r="CC833" s="2"/>
      <c r="CM833" s="2"/>
      <c r="CW833" s="2"/>
    </row>
    <row r="834" spans="1:101" ht="13.5" customHeight="1" x14ac:dyDescent="0.3">
      <c r="A834" s="2"/>
      <c r="K834" s="2"/>
      <c r="U834" s="2"/>
      <c r="AE834" s="2"/>
      <c r="AO834" s="2"/>
      <c r="AY834" s="2"/>
      <c r="BI834" s="2"/>
      <c r="BS834" s="2"/>
      <c r="CC834" s="2"/>
      <c r="CM834" s="2"/>
      <c r="CW834" s="2"/>
    </row>
    <row r="835" spans="1:101" ht="13.5" customHeight="1" x14ac:dyDescent="0.3">
      <c r="A835" s="2"/>
      <c r="K835" s="2"/>
      <c r="U835" s="2"/>
      <c r="AE835" s="2"/>
      <c r="AO835" s="2"/>
      <c r="AY835" s="2"/>
      <c r="BI835" s="2"/>
      <c r="BS835" s="2"/>
      <c r="CC835" s="2"/>
      <c r="CM835" s="2"/>
      <c r="CW835" s="2"/>
    </row>
    <row r="836" spans="1:101" ht="13.5" customHeight="1" x14ac:dyDescent="0.3">
      <c r="A836" s="2"/>
      <c r="K836" s="2"/>
      <c r="U836" s="2"/>
      <c r="AE836" s="2"/>
      <c r="AO836" s="2"/>
      <c r="AY836" s="2"/>
      <c r="BI836" s="2"/>
      <c r="BS836" s="2"/>
      <c r="CC836" s="2"/>
      <c r="CM836" s="2"/>
      <c r="CW836" s="2"/>
    </row>
    <row r="837" spans="1:101" ht="13.5" customHeight="1" x14ac:dyDescent="0.3">
      <c r="A837" s="2"/>
      <c r="K837" s="2"/>
      <c r="U837" s="2"/>
      <c r="AE837" s="2"/>
      <c r="AO837" s="2"/>
      <c r="AY837" s="2"/>
      <c r="BI837" s="2"/>
      <c r="BS837" s="2"/>
      <c r="CC837" s="2"/>
      <c r="CM837" s="2"/>
      <c r="CW837" s="2"/>
    </row>
    <row r="838" spans="1:101" ht="13.5" customHeight="1" x14ac:dyDescent="0.3">
      <c r="A838" s="2"/>
      <c r="K838" s="2"/>
      <c r="U838" s="2"/>
      <c r="AE838" s="2"/>
      <c r="AO838" s="2"/>
      <c r="AY838" s="2"/>
      <c r="BI838" s="2"/>
      <c r="BS838" s="2"/>
      <c r="CC838" s="2"/>
      <c r="CM838" s="2"/>
      <c r="CW838" s="2"/>
    </row>
    <row r="839" spans="1:101" ht="13.5" customHeight="1" x14ac:dyDescent="0.3">
      <c r="A839" s="2"/>
      <c r="K839" s="2"/>
      <c r="U839" s="2"/>
      <c r="AE839" s="2"/>
      <c r="AO839" s="2"/>
      <c r="AY839" s="2"/>
      <c r="BI839" s="2"/>
      <c r="BS839" s="2"/>
      <c r="CC839" s="2"/>
      <c r="CM839" s="2"/>
      <c r="CW839" s="2"/>
    </row>
    <row r="840" spans="1:101" ht="13.5" customHeight="1" x14ac:dyDescent="0.3">
      <c r="A840" s="2"/>
      <c r="K840" s="2"/>
      <c r="U840" s="2"/>
      <c r="AE840" s="2"/>
      <c r="AO840" s="2"/>
      <c r="AY840" s="2"/>
      <c r="BI840" s="2"/>
      <c r="BS840" s="2"/>
      <c r="CC840" s="2"/>
      <c r="CM840" s="2"/>
      <c r="CW840" s="2"/>
    </row>
    <row r="841" spans="1:101" ht="13.5" customHeight="1" x14ac:dyDescent="0.3">
      <c r="A841" s="2"/>
      <c r="K841" s="2"/>
      <c r="U841" s="2"/>
      <c r="AE841" s="2"/>
      <c r="AO841" s="2"/>
      <c r="AY841" s="2"/>
      <c r="BI841" s="2"/>
      <c r="BS841" s="2"/>
      <c r="CC841" s="2"/>
      <c r="CM841" s="2"/>
      <c r="CW841" s="2"/>
    </row>
    <row r="842" spans="1:101" ht="13.5" customHeight="1" x14ac:dyDescent="0.3">
      <c r="A842" s="2"/>
      <c r="K842" s="2"/>
      <c r="U842" s="2"/>
      <c r="AE842" s="2"/>
      <c r="AO842" s="2"/>
      <c r="AY842" s="2"/>
      <c r="BI842" s="2"/>
      <c r="BS842" s="2"/>
      <c r="CC842" s="2"/>
      <c r="CM842" s="2"/>
      <c r="CW842" s="2"/>
    </row>
    <row r="843" spans="1:101" ht="13.5" customHeight="1" x14ac:dyDescent="0.3">
      <c r="A843" s="2"/>
      <c r="K843" s="2"/>
      <c r="U843" s="2"/>
      <c r="AE843" s="2"/>
      <c r="AO843" s="2"/>
      <c r="AY843" s="2"/>
      <c r="BI843" s="2"/>
      <c r="BS843" s="2"/>
      <c r="CC843" s="2"/>
      <c r="CM843" s="2"/>
      <c r="CW843" s="2"/>
    </row>
    <row r="844" spans="1:101" ht="13.5" customHeight="1" x14ac:dyDescent="0.3">
      <c r="A844" s="2"/>
      <c r="K844" s="2"/>
      <c r="U844" s="2"/>
      <c r="AE844" s="2"/>
      <c r="AO844" s="2"/>
      <c r="AY844" s="2"/>
      <c r="BI844" s="2"/>
      <c r="BS844" s="2"/>
      <c r="CC844" s="2"/>
      <c r="CM844" s="2"/>
      <c r="CW844" s="2"/>
    </row>
    <row r="845" spans="1:101" ht="13.5" customHeight="1" x14ac:dyDescent="0.3">
      <c r="A845" s="2"/>
      <c r="K845" s="2"/>
      <c r="U845" s="2"/>
      <c r="AE845" s="2"/>
      <c r="AO845" s="2"/>
      <c r="AY845" s="2"/>
      <c r="BI845" s="2"/>
      <c r="BS845" s="2"/>
      <c r="CC845" s="2"/>
      <c r="CM845" s="2"/>
      <c r="CW845" s="2"/>
    </row>
    <row r="846" spans="1:101" ht="13.5" customHeight="1" x14ac:dyDescent="0.3">
      <c r="A846" s="2"/>
      <c r="K846" s="2"/>
      <c r="U846" s="2"/>
      <c r="AE846" s="2"/>
      <c r="AO846" s="2"/>
      <c r="AY846" s="2"/>
      <c r="BI846" s="2"/>
      <c r="BS846" s="2"/>
      <c r="CC846" s="2"/>
      <c r="CM846" s="2"/>
      <c r="CW846" s="2"/>
    </row>
    <row r="847" spans="1:101" ht="13.5" customHeight="1" x14ac:dyDescent="0.3">
      <c r="A847" s="2"/>
      <c r="K847" s="2"/>
      <c r="U847" s="2"/>
      <c r="AE847" s="2"/>
      <c r="AO847" s="2"/>
      <c r="AY847" s="2"/>
      <c r="BI847" s="2"/>
      <c r="BS847" s="2"/>
      <c r="CC847" s="2"/>
      <c r="CM847" s="2"/>
      <c r="CW847" s="2"/>
    </row>
    <row r="848" spans="1:101" ht="13.5" customHeight="1" x14ac:dyDescent="0.3">
      <c r="A848" s="2"/>
      <c r="K848" s="2"/>
      <c r="U848" s="2"/>
      <c r="AE848" s="2"/>
      <c r="AO848" s="2"/>
      <c r="AY848" s="2"/>
      <c r="BI848" s="2"/>
      <c r="BS848" s="2"/>
      <c r="CC848" s="2"/>
      <c r="CM848" s="2"/>
      <c r="CW848" s="2"/>
    </row>
    <row r="849" spans="1:101" ht="13.5" customHeight="1" x14ac:dyDescent="0.3">
      <c r="A849" s="2"/>
      <c r="K849" s="2"/>
      <c r="U849" s="2"/>
      <c r="AE849" s="2"/>
      <c r="AO849" s="2"/>
      <c r="AY849" s="2"/>
      <c r="BI849" s="2"/>
      <c r="BS849" s="2"/>
      <c r="CC849" s="2"/>
      <c r="CM849" s="2"/>
      <c r="CW849" s="2"/>
    </row>
    <row r="850" spans="1:101" ht="13.5" customHeight="1" x14ac:dyDescent="0.3">
      <c r="A850" s="2"/>
      <c r="K850" s="2"/>
      <c r="U850" s="2"/>
      <c r="AE850" s="2"/>
      <c r="AO850" s="2"/>
      <c r="AY850" s="2"/>
      <c r="BI850" s="2"/>
      <c r="BS850" s="2"/>
      <c r="CC850" s="2"/>
      <c r="CM850" s="2"/>
      <c r="CW850" s="2"/>
    </row>
    <row r="851" spans="1:101" ht="13.5" customHeight="1" x14ac:dyDescent="0.3">
      <c r="A851" s="2"/>
      <c r="K851" s="2"/>
      <c r="U851" s="2"/>
      <c r="AE851" s="2"/>
      <c r="AO851" s="2"/>
      <c r="AY851" s="2"/>
      <c r="BI851" s="2"/>
      <c r="BS851" s="2"/>
      <c r="CC851" s="2"/>
      <c r="CM851" s="2"/>
      <c r="CW851" s="2"/>
    </row>
    <row r="852" spans="1:101" ht="13.5" customHeight="1" x14ac:dyDescent="0.3">
      <c r="A852" s="2"/>
      <c r="K852" s="2"/>
      <c r="U852" s="2"/>
      <c r="AE852" s="2"/>
      <c r="AO852" s="2"/>
      <c r="AY852" s="2"/>
      <c r="BI852" s="2"/>
      <c r="BS852" s="2"/>
      <c r="CC852" s="2"/>
      <c r="CM852" s="2"/>
      <c r="CW852" s="2"/>
    </row>
    <row r="853" spans="1:101" ht="13.5" customHeight="1" x14ac:dyDescent="0.3">
      <c r="A853" s="2"/>
      <c r="K853" s="2"/>
      <c r="U853" s="2"/>
      <c r="AE853" s="2"/>
      <c r="AO853" s="2"/>
      <c r="AY853" s="2"/>
      <c r="BI853" s="2"/>
      <c r="BS853" s="2"/>
      <c r="CC853" s="2"/>
      <c r="CM853" s="2"/>
      <c r="CW853" s="2"/>
    </row>
    <row r="854" spans="1:101" ht="13.5" customHeight="1" x14ac:dyDescent="0.3">
      <c r="A854" s="2"/>
      <c r="K854" s="2"/>
      <c r="U854" s="2"/>
      <c r="AE854" s="2"/>
      <c r="AO854" s="2"/>
      <c r="AY854" s="2"/>
      <c r="BI854" s="2"/>
      <c r="BS854" s="2"/>
      <c r="CC854" s="2"/>
      <c r="CM854" s="2"/>
      <c r="CW854" s="2"/>
    </row>
    <row r="855" spans="1:101" ht="13.5" customHeight="1" x14ac:dyDescent="0.3">
      <c r="A855" s="2"/>
      <c r="K855" s="2"/>
      <c r="U855" s="2"/>
      <c r="AE855" s="2"/>
      <c r="AO855" s="2"/>
      <c r="AY855" s="2"/>
      <c r="BI855" s="2"/>
      <c r="BS855" s="2"/>
      <c r="CC855" s="2"/>
      <c r="CM855" s="2"/>
      <c r="CW855" s="2"/>
    </row>
    <row r="856" spans="1:101" ht="13.5" customHeight="1" x14ac:dyDescent="0.3">
      <c r="A856" s="2"/>
      <c r="K856" s="2"/>
      <c r="U856" s="2"/>
      <c r="AE856" s="2"/>
      <c r="AO856" s="2"/>
      <c r="AY856" s="2"/>
      <c r="BI856" s="2"/>
      <c r="BS856" s="2"/>
      <c r="CC856" s="2"/>
      <c r="CM856" s="2"/>
      <c r="CW856" s="2"/>
    </row>
    <row r="857" spans="1:101" ht="13.5" customHeight="1" x14ac:dyDescent="0.3">
      <c r="A857" s="2"/>
      <c r="K857" s="2"/>
      <c r="U857" s="2"/>
      <c r="AE857" s="2"/>
      <c r="AO857" s="2"/>
      <c r="AY857" s="2"/>
      <c r="BI857" s="2"/>
      <c r="BS857" s="2"/>
      <c r="CC857" s="2"/>
      <c r="CM857" s="2"/>
      <c r="CW857" s="2"/>
    </row>
    <row r="858" spans="1:101" ht="13.5" customHeight="1" x14ac:dyDescent="0.3">
      <c r="A858" s="2"/>
      <c r="K858" s="2"/>
      <c r="U858" s="2"/>
      <c r="AE858" s="2"/>
      <c r="AO858" s="2"/>
      <c r="AY858" s="2"/>
      <c r="BI858" s="2"/>
      <c r="BS858" s="2"/>
      <c r="CC858" s="2"/>
      <c r="CM858" s="2"/>
      <c r="CW858" s="2"/>
    </row>
    <row r="859" spans="1:101" ht="13.5" customHeight="1" x14ac:dyDescent="0.3">
      <c r="A859" s="2"/>
      <c r="K859" s="2"/>
      <c r="U859" s="2"/>
      <c r="AE859" s="2"/>
      <c r="AO859" s="2"/>
      <c r="AY859" s="2"/>
      <c r="BI859" s="2"/>
      <c r="BS859" s="2"/>
      <c r="CC859" s="2"/>
      <c r="CM859" s="2"/>
      <c r="CW859" s="2"/>
    </row>
    <row r="860" spans="1:101" ht="13.5" customHeight="1" x14ac:dyDescent="0.3">
      <c r="A860" s="2"/>
      <c r="K860" s="2"/>
      <c r="U860" s="2"/>
      <c r="AE860" s="2"/>
      <c r="AO860" s="2"/>
      <c r="AY860" s="2"/>
      <c r="BI860" s="2"/>
      <c r="BS860" s="2"/>
      <c r="CC860" s="2"/>
      <c r="CM860" s="2"/>
      <c r="CW860" s="2"/>
    </row>
    <row r="861" spans="1:101" ht="13.5" customHeight="1" x14ac:dyDescent="0.3">
      <c r="A861" s="2"/>
      <c r="K861" s="2"/>
      <c r="U861" s="2"/>
      <c r="AE861" s="2"/>
      <c r="AO861" s="2"/>
      <c r="AY861" s="2"/>
      <c r="BI861" s="2"/>
      <c r="BS861" s="2"/>
      <c r="CC861" s="2"/>
      <c r="CM861" s="2"/>
      <c r="CW861" s="2"/>
    </row>
    <row r="862" spans="1:101" ht="13.5" customHeight="1" x14ac:dyDescent="0.3">
      <c r="A862" s="2"/>
      <c r="K862" s="2"/>
      <c r="U862" s="2"/>
      <c r="AE862" s="2"/>
      <c r="AO862" s="2"/>
      <c r="AY862" s="2"/>
      <c r="BI862" s="2"/>
      <c r="BS862" s="2"/>
      <c r="CC862" s="2"/>
      <c r="CM862" s="2"/>
      <c r="CW862" s="2"/>
    </row>
    <row r="863" spans="1:101" ht="13.5" customHeight="1" x14ac:dyDescent="0.3">
      <c r="A863" s="2"/>
      <c r="K863" s="2"/>
      <c r="U863" s="2"/>
      <c r="AE863" s="2"/>
      <c r="AO863" s="2"/>
      <c r="AY863" s="2"/>
      <c r="BI863" s="2"/>
      <c r="BS863" s="2"/>
      <c r="CC863" s="2"/>
      <c r="CM863" s="2"/>
      <c r="CW863" s="2"/>
    </row>
    <row r="864" spans="1:101" ht="13.5" customHeight="1" x14ac:dyDescent="0.3">
      <c r="A864" s="2"/>
      <c r="K864" s="2"/>
      <c r="U864" s="2"/>
      <c r="AE864" s="2"/>
      <c r="AO864" s="2"/>
      <c r="AY864" s="2"/>
      <c r="BI864" s="2"/>
      <c r="BS864" s="2"/>
      <c r="CC864" s="2"/>
      <c r="CM864" s="2"/>
      <c r="CW864" s="2"/>
    </row>
    <row r="865" spans="1:101" ht="13.5" customHeight="1" x14ac:dyDescent="0.3">
      <c r="A865" s="2"/>
      <c r="K865" s="2"/>
      <c r="U865" s="2"/>
      <c r="AE865" s="2"/>
      <c r="AO865" s="2"/>
      <c r="AY865" s="2"/>
      <c r="BI865" s="2"/>
      <c r="BS865" s="2"/>
      <c r="CC865" s="2"/>
      <c r="CM865" s="2"/>
      <c r="CW865" s="2"/>
    </row>
    <row r="866" spans="1:101" ht="13.5" customHeight="1" x14ac:dyDescent="0.3">
      <c r="A866" s="2"/>
      <c r="K866" s="2"/>
      <c r="U866" s="2"/>
      <c r="AE866" s="2"/>
      <c r="AO866" s="2"/>
      <c r="AY866" s="2"/>
      <c r="BI866" s="2"/>
      <c r="BS866" s="2"/>
      <c r="CC866" s="2"/>
      <c r="CM866" s="2"/>
      <c r="CW866" s="2"/>
    </row>
    <row r="867" spans="1:101" ht="13.5" customHeight="1" x14ac:dyDescent="0.3">
      <c r="A867" s="2"/>
      <c r="K867" s="2"/>
      <c r="U867" s="2"/>
      <c r="AE867" s="2"/>
      <c r="AO867" s="2"/>
      <c r="AY867" s="2"/>
      <c r="BI867" s="2"/>
      <c r="BS867" s="2"/>
      <c r="CC867" s="2"/>
      <c r="CM867" s="2"/>
      <c r="CW867" s="2"/>
    </row>
    <row r="868" spans="1:101" ht="13.5" customHeight="1" x14ac:dyDescent="0.3">
      <c r="A868" s="2"/>
      <c r="K868" s="2"/>
      <c r="U868" s="2"/>
      <c r="AE868" s="2"/>
      <c r="AO868" s="2"/>
      <c r="AY868" s="2"/>
      <c r="BI868" s="2"/>
      <c r="BS868" s="2"/>
      <c r="CC868" s="2"/>
      <c r="CM868" s="2"/>
      <c r="CW868" s="2"/>
    </row>
    <row r="869" spans="1:101" ht="13.5" customHeight="1" x14ac:dyDescent="0.3">
      <c r="A869" s="2"/>
      <c r="K869" s="2"/>
      <c r="U869" s="2"/>
      <c r="AE869" s="2"/>
      <c r="AO869" s="2"/>
      <c r="AY869" s="2"/>
      <c r="BI869" s="2"/>
      <c r="BS869" s="2"/>
      <c r="CC869" s="2"/>
      <c r="CM869" s="2"/>
      <c r="CW869" s="2"/>
    </row>
    <row r="870" spans="1:101" ht="13.5" customHeight="1" x14ac:dyDescent="0.3">
      <c r="A870" s="2"/>
      <c r="K870" s="2"/>
      <c r="U870" s="2"/>
      <c r="AE870" s="2"/>
      <c r="AO870" s="2"/>
      <c r="AY870" s="2"/>
      <c r="BI870" s="2"/>
      <c r="BS870" s="2"/>
      <c r="CC870" s="2"/>
      <c r="CM870" s="2"/>
      <c r="CW870" s="2"/>
    </row>
    <row r="871" spans="1:101" ht="13.5" customHeight="1" x14ac:dyDescent="0.3">
      <c r="A871" s="2"/>
      <c r="K871" s="2"/>
      <c r="U871" s="2"/>
      <c r="AE871" s="2"/>
      <c r="AO871" s="2"/>
      <c r="AY871" s="2"/>
      <c r="BI871" s="2"/>
      <c r="BS871" s="2"/>
      <c r="CC871" s="2"/>
      <c r="CM871" s="2"/>
      <c r="CW871" s="2"/>
    </row>
    <row r="872" spans="1:101" ht="13.5" customHeight="1" x14ac:dyDescent="0.3">
      <c r="A872" s="2"/>
      <c r="K872" s="2"/>
      <c r="U872" s="2"/>
      <c r="AE872" s="2"/>
      <c r="AO872" s="2"/>
      <c r="AY872" s="2"/>
      <c r="BI872" s="2"/>
      <c r="BS872" s="2"/>
      <c r="CC872" s="2"/>
      <c r="CM872" s="2"/>
      <c r="CW872" s="2"/>
    </row>
    <row r="873" spans="1:101" ht="13.5" customHeight="1" x14ac:dyDescent="0.3">
      <c r="A873" s="2"/>
      <c r="K873" s="2"/>
      <c r="U873" s="2"/>
      <c r="AE873" s="2"/>
      <c r="AO873" s="2"/>
      <c r="AY873" s="2"/>
      <c r="BI873" s="2"/>
      <c r="BS873" s="2"/>
      <c r="CC873" s="2"/>
      <c r="CM873" s="2"/>
      <c r="CW873" s="2"/>
    </row>
    <row r="874" spans="1:101" ht="13.5" customHeight="1" x14ac:dyDescent="0.3">
      <c r="A874" s="2"/>
      <c r="K874" s="2"/>
      <c r="U874" s="2"/>
      <c r="AE874" s="2"/>
      <c r="AO874" s="2"/>
      <c r="AY874" s="2"/>
      <c r="BI874" s="2"/>
      <c r="BS874" s="2"/>
      <c r="CC874" s="2"/>
      <c r="CM874" s="2"/>
      <c r="CW874" s="2"/>
    </row>
    <row r="875" spans="1:101" ht="13.5" customHeight="1" x14ac:dyDescent="0.3">
      <c r="A875" s="2"/>
      <c r="K875" s="2"/>
      <c r="U875" s="2"/>
      <c r="AE875" s="2"/>
      <c r="AO875" s="2"/>
      <c r="AY875" s="2"/>
      <c r="BI875" s="2"/>
      <c r="BS875" s="2"/>
      <c r="CC875" s="2"/>
      <c r="CM875" s="2"/>
      <c r="CW875" s="2"/>
    </row>
    <row r="876" spans="1:101" ht="13.5" customHeight="1" x14ac:dyDescent="0.3">
      <c r="A876" s="2"/>
      <c r="K876" s="2"/>
      <c r="U876" s="2"/>
      <c r="AE876" s="2"/>
      <c r="AO876" s="2"/>
      <c r="AY876" s="2"/>
      <c r="BI876" s="2"/>
      <c r="BS876" s="2"/>
      <c r="CC876" s="2"/>
      <c r="CM876" s="2"/>
      <c r="CW876" s="2"/>
    </row>
    <row r="877" spans="1:101" ht="13.5" customHeight="1" x14ac:dyDescent="0.3">
      <c r="A877" s="2"/>
      <c r="K877" s="2"/>
      <c r="U877" s="2"/>
      <c r="AE877" s="2"/>
      <c r="AO877" s="2"/>
      <c r="AY877" s="2"/>
      <c r="BI877" s="2"/>
      <c r="BS877" s="2"/>
      <c r="CC877" s="2"/>
      <c r="CM877" s="2"/>
      <c r="CW877" s="2"/>
    </row>
    <row r="878" spans="1:101" ht="13.5" customHeight="1" x14ac:dyDescent="0.3">
      <c r="A878" s="2"/>
      <c r="K878" s="2"/>
      <c r="U878" s="2"/>
      <c r="AE878" s="2"/>
      <c r="AO878" s="2"/>
      <c r="AY878" s="2"/>
      <c r="BI878" s="2"/>
      <c r="BS878" s="2"/>
      <c r="CC878" s="2"/>
      <c r="CM878" s="2"/>
      <c r="CW878" s="2"/>
    </row>
    <row r="879" spans="1:101" ht="13.5" customHeight="1" x14ac:dyDescent="0.3">
      <c r="A879" s="2"/>
      <c r="K879" s="2"/>
      <c r="U879" s="2"/>
      <c r="AE879" s="2"/>
      <c r="AO879" s="2"/>
      <c r="AY879" s="2"/>
      <c r="BI879" s="2"/>
      <c r="BS879" s="2"/>
      <c r="CC879" s="2"/>
      <c r="CM879" s="2"/>
      <c r="CW879" s="2"/>
    </row>
    <row r="880" spans="1:101" ht="13.5" customHeight="1" x14ac:dyDescent="0.3">
      <c r="A880" s="2"/>
      <c r="K880" s="2"/>
      <c r="U880" s="2"/>
      <c r="AE880" s="2"/>
      <c r="AO880" s="2"/>
      <c r="AY880" s="2"/>
      <c r="BI880" s="2"/>
      <c r="BS880" s="2"/>
      <c r="CC880" s="2"/>
      <c r="CM880" s="2"/>
      <c r="CW880" s="2"/>
    </row>
    <row r="881" spans="1:101" ht="13.5" customHeight="1" x14ac:dyDescent="0.3">
      <c r="A881" s="2"/>
      <c r="K881" s="2"/>
      <c r="U881" s="2"/>
      <c r="AE881" s="2"/>
      <c r="AO881" s="2"/>
      <c r="AY881" s="2"/>
      <c r="BI881" s="2"/>
      <c r="BS881" s="2"/>
      <c r="CC881" s="2"/>
      <c r="CM881" s="2"/>
      <c r="CW881" s="2"/>
    </row>
    <row r="882" spans="1:101" ht="13.5" customHeight="1" x14ac:dyDescent="0.3">
      <c r="A882" s="2"/>
      <c r="K882" s="2"/>
      <c r="U882" s="2"/>
      <c r="AE882" s="2"/>
      <c r="AO882" s="2"/>
      <c r="AY882" s="2"/>
      <c r="BI882" s="2"/>
      <c r="BS882" s="2"/>
      <c r="CC882" s="2"/>
      <c r="CM882" s="2"/>
      <c r="CW882" s="2"/>
    </row>
    <row r="883" spans="1:101" ht="13.5" customHeight="1" x14ac:dyDescent="0.3">
      <c r="A883" s="2"/>
      <c r="K883" s="2"/>
      <c r="U883" s="2"/>
      <c r="AE883" s="2"/>
      <c r="AO883" s="2"/>
      <c r="AY883" s="2"/>
      <c r="BI883" s="2"/>
      <c r="BS883" s="2"/>
      <c r="CC883" s="2"/>
      <c r="CM883" s="2"/>
      <c r="CW883" s="2"/>
    </row>
    <row r="884" spans="1:101" ht="13.5" customHeight="1" x14ac:dyDescent="0.3">
      <c r="A884" s="2"/>
      <c r="K884" s="2"/>
      <c r="U884" s="2"/>
      <c r="AE884" s="2"/>
      <c r="AO884" s="2"/>
      <c r="AY884" s="2"/>
      <c r="BI884" s="2"/>
      <c r="BS884" s="2"/>
      <c r="CC884" s="2"/>
      <c r="CM884" s="2"/>
      <c r="CW884" s="2"/>
    </row>
    <row r="885" spans="1:101" ht="13.5" customHeight="1" x14ac:dyDescent="0.3">
      <c r="A885" s="2"/>
      <c r="K885" s="2"/>
      <c r="U885" s="2"/>
      <c r="AE885" s="2"/>
      <c r="AO885" s="2"/>
      <c r="AY885" s="2"/>
      <c r="BI885" s="2"/>
      <c r="BS885" s="2"/>
      <c r="CC885" s="2"/>
      <c r="CM885" s="2"/>
      <c r="CW885" s="2"/>
    </row>
    <row r="886" spans="1:101" ht="13.5" customHeight="1" x14ac:dyDescent="0.3">
      <c r="A886" s="2"/>
      <c r="K886" s="2"/>
      <c r="U886" s="2"/>
      <c r="AE886" s="2"/>
      <c r="AO886" s="2"/>
      <c r="AY886" s="2"/>
      <c r="BI886" s="2"/>
      <c r="BS886" s="2"/>
      <c r="CC886" s="2"/>
      <c r="CM886" s="2"/>
      <c r="CW886" s="2"/>
    </row>
    <row r="887" spans="1:101" ht="13.5" customHeight="1" x14ac:dyDescent="0.3">
      <c r="A887" s="2"/>
      <c r="K887" s="2"/>
      <c r="U887" s="2"/>
      <c r="AE887" s="2"/>
      <c r="AO887" s="2"/>
      <c r="AY887" s="2"/>
      <c r="BI887" s="2"/>
      <c r="BS887" s="2"/>
      <c r="CC887" s="2"/>
      <c r="CM887" s="2"/>
      <c r="CW887" s="2"/>
    </row>
    <row r="888" spans="1:101" ht="13.5" customHeight="1" x14ac:dyDescent="0.3">
      <c r="A888" s="2"/>
      <c r="K888" s="2"/>
      <c r="U888" s="2"/>
      <c r="AE888" s="2"/>
      <c r="AO888" s="2"/>
      <c r="AY888" s="2"/>
      <c r="BI888" s="2"/>
      <c r="BS888" s="2"/>
      <c r="CC888" s="2"/>
      <c r="CM888" s="2"/>
      <c r="CW888" s="2"/>
    </row>
    <row r="889" spans="1:101" ht="13.5" customHeight="1" x14ac:dyDescent="0.3">
      <c r="A889" s="2"/>
      <c r="K889" s="2"/>
      <c r="U889" s="2"/>
      <c r="AE889" s="2"/>
      <c r="AO889" s="2"/>
      <c r="AY889" s="2"/>
      <c r="BI889" s="2"/>
      <c r="BS889" s="2"/>
      <c r="CC889" s="2"/>
      <c r="CM889" s="2"/>
      <c r="CW889" s="2"/>
    </row>
    <row r="890" spans="1:101" ht="13.5" customHeight="1" x14ac:dyDescent="0.3">
      <c r="A890" s="2"/>
      <c r="K890" s="2"/>
      <c r="U890" s="2"/>
      <c r="AE890" s="2"/>
      <c r="AO890" s="2"/>
      <c r="AY890" s="2"/>
      <c r="BI890" s="2"/>
      <c r="BS890" s="2"/>
      <c r="CC890" s="2"/>
      <c r="CM890" s="2"/>
      <c r="CW890" s="2"/>
    </row>
    <row r="891" spans="1:101" ht="13.5" customHeight="1" x14ac:dyDescent="0.3">
      <c r="A891" s="2"/>
      <c r="K891" s="2"/>
      <c r="U891" s="2"/>
      <c r="AE891" s="2"/>
      <c r="AO891" s="2"/>
      <c r="AY891" s="2"/>
      <c r="BI891" s="2"/>
      <c r="BS891" s="2"/>
      <c r="CC891" s="2"/>
      <c r="CM891" s="2"/>
      <c r="CW891" s="2"/>
    </row>
    <row r="892" spans="1:101" ht="13.5" customHeight="1" x14ac:dyDescent="0.3">
      <c r="A892" s="2"/>
      <c r="K892" s="2"/>
      <c r="U892" s="2"/>
      <c r="AE892" s="2"/>
      <c r="AO892" s="2"/>
      <c r="AY892" s="2"/>
      <c r="BI892" s="2"/>
      <c r="BS892" s="2"/>
      <c r="CC892" s="2"/>
      <c r="CM892" s="2"/>
      <c r="CW892" s="2"/>
    </row>
    <row r="893" spans="1:101" ht="13.5" customHeight="1" x14ac:dyDescent="0.3">
      <c r="A893" s="2"/>
      <c r="K893" s="2"/>
      <c r="U893" s="2"/>
      <c r="AE893" s="2"/>
      <c r="AO893" s="2"/>
      <c r="AY893" s="2"/>
      <c r="BI893" s="2"/>
      <c r="BS893" s="2"/>
      <c r="CC893" s="2"/>
      <c r="CM893" s="2"/>
      <c r="CW893" s="2"/>
    </row>
    <row r="894" spans="1:101" ht="13.5" customHeight="1" x14ac:dyDescent="0.3">
      <c r="A894" s="2"/>
      <c r="K894" s="2"/>
      <c r="U894" s="2"/>
      <c r="AE894" s="2"/>
      <c r="AO894" s="2"/>
      <c r="AY894" s="2"/>
      <c r="BI894" s="2"/>
      <c r="BS894" s="2"/>
      <c r="CC894" s="2"/>
      <c r="CM894" s="2"/>
      <c r="CW894" s="2"/>
    </row>
    <row r="895" spans="1:101" ht="13.5" customHeight="1" x14ac:dyDescent="0.3">
      <c r="A895" s="2"/>
      <c r="K895" s="2"/>
      <c r="U895" s="2"/>
      <c r="AE895" s="2"/>
      <c r="AO895" s="2"/>
      <c r="AY895" s="2"/>
      <c r="BI895" s="2"/>
      <c r="BS895" s="2"/>
      <c r="CC895" s="2"/>
      <c r="CM895" s="2"/>
      <c r="CW895" s="2"/>
    </row>
    <row r="896" spans="1:101" ht="13.5" customHeight="1" x14ac:dyDescent="0.3">
      <c r="A896" s="2"/>
      <c r="K896" s="2"/>
      <c r="U896" s="2"/>
      <c r="AE896" s="2"/>
      <c r="AO896" s="2"/>
      <c r="AY896" s="2"/>
      <c r="BI896" s="2"/>
      <c r="BS896" s="2"/>
      <c r="CC896" s="2"/>
      <c r="CM896" s="2"/>
      <c r="CW896" s="2"/>
    </row>
    <row r="897" spans="1:101" ht="13.5" customHeight="1" x14ac:dyDescent="0.3">
      <c r="A897" s="2"/>
      <c r="K897" s="2"/>
      <c r="U897" s="2"/>
      <c r="AE897" s="2"/>
      <c r="AO897" s="2"/>
      <c r="AY897" s="2"/>
      <c r="BI897" s="2"/>
      <c r="BS897" s="2"/>
      <c r="CC897" s="2"/>
      <c r="CM897" s="2"/>
      <c r="CW897" s="2"/>
    </row>
    <row r="898" spans="1:101" ht="13.5" customHeight="1" x14ac:dyDescent="0.3">
      <c r="A898" s="2"/>
      <c r="K898" s="2"/>
      <c r="U898" s="2"/>
      <c r="AE898" s="2"/>
      <c r="AO898" s="2"/>
      <c r="AY898" s="2"/>
      <c r="BI898" s="2"/>
      <c r="BS898" s="2"/>
      <c r="CC898" s="2"/>
      <c r="CM898" s="2"/>
      <c r="CW898" s="2"/>
    </row>
    <row r="899" spans="1:101" ht="13.5" customHeight="1" x14ac:dyDescent="0.3">
      <c r="A899" s="2"/>
      <c r="K899" s="2"/>
      <c r="U899" s="2"/>
      <c r="AE899" s="2"/>
      <c r="AO899" s="2"/>
      <c r="AY899" s="2"/>
      <c r="BI899" s="2"/>
      <c r="BS899" s="2"/>
      <c r="CC899" s="2"/>
      <c r="CM899" s="2"/>
      <c r="CW899" s="2"/>
    </row>
    <row r="900" spans="1:101" ht="13.5" customHeight="1" x14ac:dyDescent="0.3">
      <c r="A900" s="2"/>
      <c r="K900" s="2"/>
      <c r="U900" s="2"/>
      <c r="AE900" s="2"/>
      <c r="AO900" s="2"/>
      <c r="AY900" s="2"/>
      <c r="BI900" s="2"/>
      <c r="BS900" s="2"/>
      <c r="CC900" s="2"/>
      <c r="CM900" s="2"/>
      <c r="CW900" s="2"/>
    </row>
    <row r="901" spans="1:101" ht="13.5" customHeight="1" x14ac:dyDescent="0.3">
      <c r="A901" s="2"/>
      <c r="K901" s="2"/>
      <c r="U901" s="2"/>
      <c r="AE901" s="2"/>
      <c r="AO901" s="2"/>
      <c r="AY901" s="2"/>
      <c r="BI901" s="2"/>
      <c r="BS901" s="2"/>
      <c r="CC901" s="2"/>
      <c r="CM901" s="2"/>
      <c r="CW901" s="2"/>
    </row>
    <row r="902" spans="1:101" ht="13.5" customHeight="1" x14ac:dyDescent="0.3">
      <c r="A902" s="2"/>
      <c r="K902" s="2"/>
      <c r="U902" s="2"/>
      <c r="AE902" s="2"/>
      <c r="AO902" s="2"/>
      <c r="AY902" s="2"/>
      <c r="BI902" s="2"/>
      <c r="BS902" s="2"/>
      <c r="CC902" s="2"/>
      <c r="CM902" s="2"/>
      <c r="CW902" s="2"/>
    </row>
    <row r="903" spans="1:101" ht="13.5" customHeight="1" x14ac:dyDescent="0.3">
      <c r="A903" s="2"/>
      <c r="K903" s="2"/>
      <c r="U903" s="2"/>
      <c r="AE903" s="2"/>
      <c r="AO903" s="2"/>
      <c r="AY903" s="2"/>
      <c r="BI903" s="2"/>
      <c r="BS903" s="2"/>
      <c r="CC903" s="2"/>
      <c r="CM903" s="2"/>
      <c r="CW903" s="2"/>
    </row>
    <row r="904" spans="1:101" ht="13.5" customHeight="1" x14ac:dyDescent="0.3">
      <c r="A904" s="2"/>
      <c r="K904" s="2"/>
      <c r="U904" s="2"/>
      <c r="AE904" s="2"/>
      <c r="AO904" s="2"/>
      <c r="AY904" s="2"/>
      <c r="BI904" s="2"/>
      <c r="BS904" s="2"/>
      <c r="CC904" s="2"/>
      <c r="CM904" s="2"/>
      <c r="CW904" s="2"/>
    </row>
    <row r="905" spans="1:101" ht="13.5" customHeight="1" x14ac:dyDescent="0.3">
      <c r="A905" s="2"/>
      <c r="K905" s="2"/>
      <c r="U905" s="2"/>
      <c r="AE905" s="2"/>
      <c r="AO905" s="2"/>
      <c r="AY905" s="2"/>
      <c r="BI905" s="2"/>
      <c r="BS905" s="2"/>
      <c r="CC905" s="2"/>
      <c r="CM905" s="2"/>
      <c r="CW905" s="2"/>
    </row>
    <row r="906" spans="1:101" ht="13.5" customHeight="1" x14ac:dyDescent="0.3">
      <c r="A906" s="2"/>
      <c r="K906" s="2"/>
      <c r="U906" s="2"/>
      <c r="AE906" s="2"/>
      <c r="AO906" s="2"/>
      <c r="AY906" s="2"/>
      <c r="BI906" s="2"/>
      <c r="BS906" s="2"/>
      <c r="CC906" s="2"/>
      <c r="CM906" s="2"/>
      <c r="CW906" s="2"/>
    </row>
    <row r="907" spans="1:101" ht="13.5" customHeight="1" x14ac:dyDescent="0.3">
      <c r="A907" s="2"/>
      <c r="K907" s="2"/>
      <c r="U907" s="2"/>
      <c r="AE907" s="2"/>
      <c r="AO907" s="2"/>
      <c r="AY907" s="2"/>
      <c r="BI907" s="2"/>
      <c r="BS907" s="2"/>
      <c r="CC907" s="2"/>
      <c r="CM907" s="2"/>
      <c r="CW907" s="2"/>
    </row>
    <row r="908" spans="1:101" ht="13.5" customHeight="1" x14ac:dyDescent="0.3">
      <c r="A908" s="2"/>
      <c r="K908" s="2"/>
      <c r="U908" s="2"/>
      <c r="AE908" s="2"/>
      <c r="AO908" s="2"/>
      <c r="AY908" s="2"/>
      <c r="BI908" s="2"/>
      <c r="BS908" s="2"/>
      <c r="CC908" s="2"/>
      <c r="CM908" s="2"/>
      <c r="CW908" s="2"/>
    </row>
    <row r="909" spans="1:101" ht="13.5" customHeight="1" x14ac:dyDescent="0.3">
      <c r="A909" s="2"/>
      <c r="K909" s="2"/>
      <c r="U909" s="2"/>
      <c r="AE909" s="2"/>
      <c r="AO909" s="2"/>
      <c r="AY909" s="2"/>
      <c r="BI909" s="2"/>
      <c r="BS909" s="2"/>
      <c r="CC909" s="2"/>
      <c r="CM909" s="2"/>
      <c r="CW909" s="2"/>
    </row>
    <row r="910" spans="1:101" ht="13.5" customHeight="1" x14ac:dyDescent="0.3">
      <c r="A910" s="2"/>
      <c r="K910" s="2"/>
      <c r="U910" s="2"/>
      <c r="AE910" s="2"/>
      <c r="AO910" s="2"/>
      <c r="AY910" s="2"/>
      <c r="BI910" s="2"/>
      <c r="BS910" s="2"/>
      <c r="CC910" s="2"/>
      <c r="CM910" s="2"/>
      <c r="CW910" s="2"/>
    </row>
    <row r="911" spans="1:101" ht="13.5" customHeight="1" x14ac:dyDescent="0.3">
      <c r="A911" s="2"/>
      <c r="K911" s="2"/>
      <c r="U911" s="2"/>
      <c r="AE911" s="2"/>
      <c r="AO911" s="2"/>
      <c r="AY911" s="2"/>
      <c r="BI911" s="2"/>
      <c r="BS911" s="2"/>
      <c r="CC911" s="2"/>
      <c r="CM911" s="2"/>
      <c r="CW911" s="2"/>
    </row>
    <row r="912" spans="1:101" ht="13.5" customHeight="1" x14ac:dyDescent="0.3">
      <c r="A912" s="2"/>
      <c r="K912" s="2"/>
      <c r="U912" s="2"/>
      <c r="AE912" s="2"/>
      <c r="AO912" s="2"/>
      <c r="AY912" s="2"/>
      <c r="BI912" s="2"/>
      <c r="BS912" s="2"/>
      <c r="CC912" s="2"/>
      <c r="CM912" s="2"/>
      <c r="CW912" s="2"/>
    </row>
    <row r="913" spans="1:101" ht="13.5" customHeight="1" x14ac:dyDescent="0.3">
      <c r="A913" s="2"/>
      <c r="K913" s="2"/>
      <c r="U913" s="2"/>
      <c r="AE913" s="2"/>
      <c r="AO913" s="2"/>
      <c r="AY913" s="2"/>
      <c r="BI913" s="2"/>
      <c r="BS913" s="2"/>
      <c r="CC913" s="2"/>
      <c r="CM913" s="2"/>
      <c r="CW913" s="2"/>
    </row>
    <row r="914" spans="1:101" ht="13.5" customHeight="1" x14ac:dyDescent="0.3">
      <c r="A914" s="2"/>
      <c r="K914" s="2"/>
      <c r="U914" s="2"/>
      <c r="AE914" s="2"/>
      <c r="AO914" s="2"/>
      <c r="AY914" s="2"/>
      <c r="BI914" s="2"/>
      <c r="BS914" s="2"/>
      <c r="CC914" s="2"/>
      <c r="CM914" s="2"/>
      <c r="CW914" s="2"/>
    </row>
    <row r="915" spans="1:101" ht="13.5" customHeight="1" x14ac:dyDescent="0.3">
      <c r="A915" s="2"/>
      <c r="K915" s="2"/>
      <c r="U915" s="2"/>
      <c r="AE915" s="2"/>
      <c r="AO915" s="2"/>
      <c r="AY915" s="2"/>
      <c r="BI915" s="2"/>
      <c r="BS915" s="2"/>
      <c r="CC915" s="2"/>
      <c r="CM915" s="2"/>
      <c r="CW915" s="2"/>
    </row>
    <row r="916" spans="1:101" ht="13.5" customHeight="1" x14ac:dyDescent="0.3">
      <c r="A916" s="2"/>
      <c r="K916" s="2"/>
      <c r="U916" s="2"/>
      <c r="AE916" s="2"/>
      <c r="AO916" s="2"/>
      <c r="AY916" s="2"/>
      <c r="BI916" s="2"/>
      <c r="BS916" s="2"/>
      <c r="CC916" s="2"/>
      <c r="CM916" s="2"/>
      <c r="CW916" s="2"/>
    </row>
    <row r="917" spans="1:101" ht="13.5" customHeight="1" x14ac:dyDescent="0.3">
      <c r="A917" s="2"/>
      <c r="K917" s="2"/>
      <c r="U917" s="2"/>
      <c r="AE917" s="2"/>
      <c r="AO917" s="2"/>
      <c r="AY917" s="2"/>
      <c r="BI917" s="2"/>
      <c r="BS917" s="2"/>
      <c r="CC917" s="2"/>
      <c r="CM917" s="2"/>
      <c r="CW917" s="2"/>
    </row>
    <row r="918" spans="1:101" ht="13.5" customHeight="1" x14ac:dyDescent="0.3">
      <c r="A918" s="2"/>
      <c r="K918" s="2"/>
      <c r="U918" s="2"/>
      <c r="AE918" s="2"/>
      <c r="AO918" s="2"/>
      <c r="AY918" s="2"/>
      <c r="BI918" s="2"/>
      <c r="BS918" s="2"/>
      <c r="CC918" s="2"/>
      <c r="CM918" s="2"/>
      <c r="CW918" s="2"/>
    </row>
    <row r="919" spans="1:101" ht="13.5" customHeight="1" x14ac:dyDescent="0.3">
      <c r="A919" s="2"/>
      <c r="K919" s="2"/>
      <c r="U919" s="2"/>
      <c r="AE919" s="2"/>
      <c r="AO919" s="2"/>
      <c r="AY919" s="2"/>
      <c r="BI919" s="2"/>
      <c r="BS919" s="2"/>
      <c r="CC919" s="2"/>
      <c r="CM919" s="2"/>
      <c r="CW919" s="2"/>
    </row>
    <row r="920" spans="1:101" ht="13.5" customHeight="1" x14ac:dyDescent="0.3">
      <c r="A920" s="2"/>
      <c r="K920" s="2"/>
      <c r="U920" s="2"/>
      <c r="AE920" s="2"/>
      <c r="AO920" s="2"/>
      <c r="AY920" s="2"/>
      <c r="BI920" s="2"/>
      <c r="BS920" s="2"/>
      <c r="CC920" s="2"/>
      <c r="CM920" s="2"/>
      <c r="CW920" s="2"/>
    </row>
    <row r="921" spans="1:101" ht="13.5" customHeight="1" x14ac:dyDescent="0.3">
      <c r="A921" s="2"/>
      <c r="K921" s="2"/>
      <c r="U921" s="2"/>
      <c r="AE921" s="2"/>
      <c r="AO921" s="2"/>
      <c r="AY921" s="2"/>
      <c r="BI921" s="2"/>
      <c r="BS921" s="2"/>
      <c r="CC921" s="2"/>
      <c r="CM921" s="2"/>
      <c r="CW921" s="2"/>
    </row>
    <row r="922" spans="1:101" ht="13.5" customHeight="1" x14ac:dyDescent="0.3">
      <c r="A922" s="2"/>
      <c r="K922" s="2"/>
      <c r="U922" s="2"/>
      <c r="AE922" s="2"/>
      <c r="AO922" s="2"/>
      <c r="AY922" s="2"/>
      <c r="BI922" s="2"/>
      <c r="BS922" s="2"/>
      <c r="CC922" s="2"/>
      <c r="CM922" s="2"/>
      <c r="CW922" s="2"/>
    </row>
    <row r="923" spans="1:101" ht="13.5" customHeight="1" x14ac:dyDescent="0.3">
      <c r="A923" s="2"/>
      <c r="K923" s="2"/>
      <c r="U923" s="2"/>
      <c r="AE923" s="2"/>
      <c r="AO923" s="2"/>
      <c r="AY923" s="2"/>
      <c r="BI923" s="2"/>
      <c r="BS923" s="2"/>
      <c r="CC923" s="2"/>
      <c r="CM923" s="2"/>
      <c r="CW923" s="2"/>
    </row>
    <row r="924" spans="1:101" ht="13.5" customHeight="1" x14ac:dyDescent="0.3">
      <c r="A924" s="2"/>
      <c r="K924" s="2"/>
      <c r="U924" s="2"/>
      <c r="AE924" s="2"/>
      <c r="AO924" s="2"/>
      <c r="AY924" s="2"/>
      <c r="BI924" s="2"/>
      <c r="BS924" s="2"/>
      <c r="CC924" s="2"/>
      <c r="CM924" s="2"/>
      <c r="CW924" s="2"/>
    </row>
    <row r="925" spans="1:101" ht="13.5" customHeight="1" x14ac:dyDescent="0.3">
      <c r="A925" s="2"/>
      <c r="K925" s="2"/>
      <c r="U925" s="2"/>
      <c r="AE925" s="2"/>
      <c r="AO925" s="2"/>
      <c r="AY925" s="2"/>
      <c r="BI925" s="2"/>
      <c r="BS925" s="2"/>
      <c r="CC925" s="2"/>
      <c r="CM925" s="2"/>
      <c r="CW925" s="2"/>
    </row>
    <row r="926" spans="1:101" ht="13.5" customHeight="1" x14ac:dyDescent="0.3">
      <c r="A926" s="2"/>
      <c r="K926" s="2"/>
      <c r="U926" s="2"/>
      <c r="AE926" s="2"/>
      <c r="AO926" s="2"/>
      <c r="AY926" s="2"/>
      <c r="BI926" s="2"/>
      <c r="BS926" s="2"/>
      <c r="CC926" s="2"/>
      <c r="CM926" s="2"/>
      <c r="CW926" s="2"/>
    </row>
    <row r="927" spans="1:101" ht="13.5" customHeight="1" x14ac:dyDescent="0.3">
      <c r="A927" s="2"/>
      <c r="K927" s="2"/>
      <c r="U927" s="2"/>
      <c r="AE927" s="2"/>
      <c r="AO927" s="2"/>
      <c r="AY927" s="2"/>
      <c r="BI927" s="2"/>
      <c r="BS927" s="2"/>
      <c r="CC927" s="2"/>
      <c r="CM927" s="2"/>
      <c r="CW927" s="2"/>
    </row>
    <row r="928" spans="1:101" ht="13.5" customHeight="1" x14ac:dyDescent="0.3">
      <c r="A928" s="2"/>
      <c r="K928" s="2"/>
      <c r="U928" s="2"/>
      <c r="AE928" s="2"/>
      <c r="AO928" s="2"/>
      <c r="AY928" s="2"/>
      <c r="BI928" s="2"/>
      <c r="BS928" s="2"/>
      <c r="CC928" s="2"/>
      <c r="CM928" s="2"/>
      <c r="CW928" s="2"/>
    </row>
    <row r="929" spans="1:101" ht="13.5" customHeight="1" x14ac:dyDescent="0.3">
      <c r="A929" s="2"/>
      <c r="K929" s="2"/>
      <c r="U929" s="2"/>
      <c r="AE929" s="2"/>
      <c r="AO929" s="2"/>
      <c r="AY929" s="2"/>
      <c r="BI929" s="2"/>
      <c r="BS929" s="2"/>
      <c r="CC929" s="2"/>
      <c r="CM929" s="2"/>
      <c r="CW929" s="2"/>
    </row>
    <row r="930" spans="1:101" ht="13.5" customHeight="1" x14ac:dyDescent="0.3">
      <c r="A930" s="2"/>
      <c r="K930" s="2"/>
      <c r="U930" s="2"/>
      <c r="AE930" s="2"/>
      <c r="AO930" s="2"/>
      <c r="AY930" s="2"/>
      <c r="BI930" s="2"/>
      <c r="BS930" s="2"/>
      <c r="CC930" s="2"/>
      <c r="CM930" s="2"/>
      <c r="CW930" s="2"/>
    </row>
    <row r="931" spans="1:101" ht="13.5" customHeight="1" x14ac:dyDescent="0.3">
      <c r="A931" s="2"/>
      <c r="K931" s="2"/>
      <c r="U931" s="2"/>
      <c r="AE931" s="2"/>
      <c r="AO931" s="2"/>
      <c r="AY931" s="2"/>
      <c r="BI931" s="2"/>
      <c r="BS931" s="2"/>
      <c r="CC931" s="2"/>
      <c r="CM931" s="2"/>
      <c r="CW931" s="2"/>
    </row>
    <row r="932" spans="1:101" ht="13.5" customHeight="1" x14ac:dyDescent="0.3">
      <c r="A932" s="2"/>
      <c r="K932" s="2"/>
      <c r="U932" s="2"/>
      <c r="AE932" s="2"/>
      <c r="AO932" s="2"/>
      <c r="AY932" s="2"/>
      <c r="BI932" s="2"/>
      <c r="BS932" s="2"/>
      <c r="CC932" s="2"/>
      <c r="CM932" s="2"/>
      <c r="CW932" s="2"/>
    </row>
    <row r="933" spans="1:101" ht="13.5" customHeight="1" x14ac:dyDescent="0.3">
      <c r="A933" s="2"/>
      <c r="K933" s="2"/>
      <c r="U933" s="2"/>
      <c r="AE933" s="2"/>
      <c r="AO933" s="2"/>
      <c r="AY933" s="2"/>
      <c r="BI933" s="2"/>
      <c r="BS933" s="2"/>
      <c r="CC933" s="2"/>
      <c r="CM933" s="2"/>
      <c r="CW933" s="2"/>
    </row>
    <row r="934" spans="1:101" ht="13.5" customHeight="1" x14ac:dyDescent="0.3">
      <c r="A934" s="2"/>
      <c r="K934" s="2"/>
      <c r="U934" s="2"/>
      <c r="AE934" s="2"/>
      <c r="AO934" s="2"/>
      <c r="AY934" s="2"/>
      <c r="BI934" s="2"/>
      <c r="BS934" s="2"/>
      <c r="CC934" s="2"/>
      <c r="CM934" s="2"/>
      <c r="CW934" s="2"/>
    </row>
    <row r="935" spans="1:101" ht="13.5" customHeight="1" x14ac:dyDescent="0.3">
      <c r="A935" s="2"/>
      <c r="K935" s="2"/>
      <c r="U935" s="2"/>
      <c r="AE935" s="2"/>
      <c r="AO935" s="2"/>
      <c r="AY935" s="2"/>
      <c r="BI935" s="2"/>
      <c r="BS935" s="2"/>
      <c r="CC935" s="2"/>
      <c r="CM935" s="2"/>
      <c r="CW935" s="2"/>
    </row>
    <row r="936" spans="1:101" ht="13.5" customHeight="1" x14ac:dyDescent="0.3">
      <c r="A936" s="2"/>
      <c r="K936" s="2"/>
      <c r="U936" s="2"/>
      <c r="AE936" s="2"/>
      <c r="AO936" s="2"/>
      <c r="AY936" s="2"/>
      <c r="BI936" s="2"/>
      <c r="BS936" s="2"/>
      <c r="CC936" s="2"/>
      <c r="CM936" s="2"/>
      <c r="CW936" s="2"/>
    </row>
    <row r="937" spans="1:101" ht="13.5" customHeight="1" x14ac:dyDescent="0.3">
      <c r="A937" s="2"/>
      <c r="K937" s="2"/>
      <c r="U937" s="2"/>
      <c r="AE937" s="2"/>
      <c r="AO937" s="2"/>
      <c r="AY937" s="2"/>
      <c r="BI937" s="2"/>
      <c r="BS937" s="2"/>
      <c r="CC937" s="2"/>
      <c r="CM937" s="2"/>
      <c r="CW937" s="2"/>
    </row>
    <row r="938" spans="1:101" ht="13.5" customHeight="1" x14ac:dyDescent="0.3">
      <c r="A938" s="2"/>
      <c r="K938" s="2"/>
      <c r="U938" s="2"/>
      <c r="AE938" s="2"/>
      <c r="AO938" s="2"/>
      <c r="AY938" s="2"/>
      <c r="BI938" s="2"/>
      <c r="BS938" s="2"/>
      <c r="CC938" s="2"/>
      <c r="CM938" s="2"/>
      <c r="CW938" s="2"/>
    </row>
    <row r="939" spans="1:101" ht="13.5" customHeight="1" x14ac:dyDescent="0.3">
      <c r="A939" s="2"/>
      <c r="K939" s="2"/>
      <c r="U939" s="2"/>
      <c r="AE939" s="2"/>
      <c r="AO939" s="2"/>
      <c r="AY939" s="2"/>
      <c r="BI939" s="2"/>
      <c r="BS939" s="2"/>
      <c r="CC939" s="2"/>
      <c r="CM939" s="2"/>
      <c r="CW939" s="2"/>
    </row>
    <row r="940" spans="1:101" ht="13.5" customHeight="1" x14ac:dyDescent="0.3">
      <c r="A940" s="2"/>
      <c r="K940" s="2"/>
      <c r="U940" s="2"/>
      <c r="AE940" s="2"/>
      <c r="AO940" s="2"/>
      <c r="AY940" s="2"/>
      <c r="BI940" s="2"/>
      <c r="BS940" s="2"/>
      <c r="CC940" s="2"/>
      <c r="CM940" s="2"/>
      <c r="CW940" s="2"/>
    </row>
    <row r="941" spans="1:101" ht="13.5" customHeight="1" x14ac:dyDescent="0.3">
      <c r="A941" s="2"/>
      <c r="K941" s="2"/>
      <c r="U941" s="2"/>
      <c r="AE941" s="2"/>
      <c r="AO941" s="2"/>
      <c r="AY941" s="2"/>
      <c r="BI941" s="2"/>
      <c r="BS941" s="2"/>
      <c r="CC941" s="2"/>
      <c r="CM941" s="2"/>
      <c r="CW941" s="2"/>
    </row>
    <row r="942" spans="1:101" ht="13.5" customHeight="1" x14ac:dyDescent="0.3">
      <c r="A942" s="2"/>
      <c r="K942" s="2"/>
      <c r="U942" s="2"/>
      <c r="AE942" s="2"/>
      <c r="AO942" s="2"/>
      <c r="AY942" s="2"/>
      <c r="BI942" s="2"/>
      <c r="BS942" s="2"/>
      <c r="CC942" s="2"/>
      <c r="CM942" s="2"/>
      <c r="CW942" s="2"/>
    </row>
    <row r="943" spans="1:101" ht="13.5" customHeight="1" x14ac:dyDescent="0.3">
      <c r="A943" s="2"/>
      <c r="K943" s="2"/>
      <c r="U943" s="2"/>
      <c r="AE943" s="2"/>
      <c r="AO943" s="2"/>
      <c r="AY943" s="2"/>
      <c r="BI943" s="2"/>
      <c r="BS943" s="2"/>
      <c r="CC943" s="2"/>
      <c r="CM943" s="2"/>
      <c r="CW943" s="2"/>
    </row>
    <row r="944" spans="1:101" ht="13.5" customHeight="1" x14ac:dyDescent="0.3">
      <c r="A944" s="2"/>
      <c r="K944" s="2"/>
      <c r="U944" s="2"/>
      <c r="AE944" s="2"/>
      <c r="AO944" s="2"/>
      <c r="AY944" s="2"/>
      <c r="BI944" s="2"/>
      <c r="BS944" s="2"/>
      <c r="CC944" s="2"/>
      <c r="CM944" s="2"/>
      <c r="CW944" s="2"/>
    </row>
    <row r="945" spans="1:101" ht="13.5" customHeight="1" x14ac:dyDescent="0.3">
      <c r="A945" s="2"/>
      <c r="K945" s="2"/>
      <c r="U945" s="2"/>
      <c r="AE945" s="2"/>
      <c r="AO945" s="2"/>
      <c r="AY945" s="2"/>
      <c r="BI945" s="2"/>
      <c r="BS945" s="2"/>
      <c r="CC945" s="2"/>
      <c r="CM945" s="2"/>
      <c r="CW945" s="2"/>
    </row>
    <row r="946" spans="1:101" ht="13.5" customHeight="1" x14ac:dyDescent="0.3">
      <c r="A946" s="2"/>
      <c r="K946" s="2"/>
      <c r="U946" s="2"/>
      <c r="AE946" s="2"/>
      <c r="AO946" s="2"/>
      <c r="AY946" s="2"/>
      <c r="BI946" s="2"/>
      <c r="BS946" s="2"/>
      <c r="CC946" s="2"/>
      <c r="CM946" s="2"/>
      <c r="CW946" s="2"/>
    </row>
    <row r="947" spans="1:101" ht="13.5" customHeight="1" x14ac:dyDescent="0.3">
      <c r="A947" s="2"/>
      <c r="K947" s="2"/>
      <c r="U947" s="2"/>
      <c r="AE947" s="2"/>
      <c r="AO947" s="2"/>
      <c r="AY947" s="2"/>
      <c r="BI947" s="2"/>
      <c r="BS947" s="2"/>
      <c r="CC947" s="2"/>
      <c r="CM947" s="2"/>
      <c r="CW947" s="2"/>
    </row>
    <row r="948" spans="1:101" ht="13.5" customHeight="1" x14ac:dyDescent="0.3">
      <c r="A948" s="2"/>
      <c r="K948" s="2"/>
      <c r="U948" s="2"/>
      <c r="AE948" s="2"/>
      <c r="AO948" s="2"/>
      <c r="AY948" s="2"/>
      <c r="BI948" s="2"/>
      <c r="BS948" s="2"/>
      <c r="CC948" s="2"/>
      <c r="CM948" s="2"/>
      <c r="CW948" s="2"/>
    </row>
    <row r="949" spans="1:101" ht="13.5" customHeight="1" x14ac:dyDescent="0.3">
      <c r="A949" s="2"/>
      <c r="K949" s="2"/>
      <c r="U949" s="2"/>
      <c r="AE949" s="2"/>
      <c r="AO949" s="2"/>
      <c r="AY949" s="2"/>
      <c r="BI949" s="2"/>
      <c r="BS949" s="2"/>
      <c r="CC949" s="2"/>
      <c r="CM949" s="2"/>
      <c r="CW949" s="2"/>
    </row>
    <row r="950" spans="1:101" ht="13.5" customHeight="1" x14ac:dyDescent="0.3">
      <c r="A950" s="2"/>
      <c r="K950" s="2"/>
      <c r="U950" s="2"/>
      <c r="AE950" s="2"/>
      <c r="AO950" s="2"/>
      <c r="AY950" s="2"/>
      <c r="BI950" s="2"/>
      <c r="BS950" s="2"/>
      <c r="CC950" s="2"/>
      <c r="CM950" s="2"/>
      <c r="CW950" s="2"/>
    </row>
    <row r="951" spans="1:101" ht="13.5" customHeight="1" x14ac:dyDescent="0.3">
      <c r="A951" s="2"/>
      <c r="K951" s="2"/>
      <c r="U951" s="2"/>
      <c r="AE951" s="2"/>
      <c r="AO951" s="2"/>
      <c r="AY951" s="2"/>
      <c r="BI951" s="2"/>
      <c r="BS951" s="2"/>
      <c r="CC951" s="2"/>
      <c r="CM951" s="2"/>
      <c r="CW951" s="2"/>
    </row>
    <row r="952" spans="1:101" ht="13.5" customHeight="1" x14ac:dyDescent="0.3">
      <c r="A952" s="2"/>
      <c r="K952" s="2"/>
      <c r="U952" s="2"/>
      <c r="AE952" s="2"/>
      <c r="AO952" s="2"/>
      <c r="AY952" s="2"/>
      <c r="BI952" s="2"/>
      <c r="BS952" s="2"/>
      <c r="CC952" s="2"/>
      <c r="CM952" s="2"/>
      <c r="CW952" s="2"/>
    </row>
    <row r="953" spans="1:101" ht="13.5" customHeight="1" x14ac:dyDescent="0.3">
      <c r="A953" s="2"/>
      <c r="K953" s="2"/>
      <c r="U953" s="2"/>
      <c r="AE953" s="2"/>
      <c r="AO953" s="2"/>
      <c r="AY953" s="2"/>
      <c r="BI953" s="2"/>
      <c r="BS953" s="2"/>
      <c r="CC953" s="2"/>
      <c r="CM953" s="2"/>
      <c r="CW953" s="2"/>
    </row>
    <row r="954" spans="1:101" ht="13.5" customHeight="1" x14ac:dyDescent="0.3">
      <c r="A954" s="2"/>
      <c r="K954" s="2"/>
      <c r="U954" s="2"/>
      <c r="AE954" s="2"/>
      <c r="AO954" s="2"/>
      <c r="AY954" s="2"/>
      <c r="BI954" s="2"/>
      <c r="BS954" s="2"/>
      <c r="CC954" s="2"/>
      <c r="CM954" s="2"/>
      <c r="CW954" s="2"/>
    </row>
    <row r="955" spans="1:101" ht="13.5" customHeight="1" x14ac:dyDescent="0.3">
      <c r="A955" s="2"/>
      <c r="K955" s="2"/>
      <c r="U955" s="2"/>
      <c r="AE955" s="2"/>
      <c r="AO955" s="2"/>
      <c r="AY955" s="2"/>
      <c r="BI955" s="2"/>
      <c r="BS955" s="2"/>
      <c r="CC955" s="2"/>
      <c r="CM955" s="2"/>
      <c r="CW955" s="2"/>
    </row>
    <row r="956" spans="1:101" ht="13.5" customHeight="1" x14ac:dyDescent="0.3">
      <c r="A956" s="2"/>
      <c r="K956" s="2"/>
      <c r="U956" s="2"/>
      <c r="AE956" s="2"/>
      <c r="AO956" s="2"/>
      <c r="AY956" s="2"/>
      <c r="BI956" s="2"/>
      <c r="BS956" s="2"/>
      <c r="CC956" s="2"/>
      <c r="CM956" s="2"/>
      <c r="CW956" s="2"/>
    </row>
    <row r="957" spans="1:101" ht="13.5" customHeight="1" x14ac:dyDescent="0.3">
      <c r="A957" s="2"/>
      <c r="K957" s="2"/>
      <c r="U957" s="2"/>
      <c r="AE957" s="2"/>
      <c r="AO957" s="2"/>
      <c r="AY957" s="2"/>
      <c r="BI957" s="2"/>
      <c r="BS957" s="2"/>
      <c r="CC957" s="2"/>
      <c r="CM957" s="2"/>
      <c r="CW957" s="2"/>
    </row>
    <row r="958" spans="1:101" ht="13.5" customHeight="1" x14ac:dyDescent="0.3">
      <c r="A958" s="2"/>
      <c r="K958" s="2"/>
      <c r="U958" s="2"/>
      <c r="AE958" s="2"/>
      <c r="AO958" s="2"/>
      <c r="AY958" s="2"/>
      <c r="BI958" s="2"/>
      <c r="BS958" s="2"/>
      <c r="CC958" s="2"/>
      <c r="CM958" s="2"/>
      <c r="CW958" s="2"/>
    </row>
    <row r="959" spans="1:101" ht="13.5" customHeight="1" x14ac:dyDescent="0.3">
      <c r="A959" s="2"/>
      <c r="K959" s="2"/>
      <c r="U959" s="2"/>
      <c r="AE959" s="2"/>
      <c r="AO959" s="2"/>
      <c r="AY959" s="2"/>
      <c r="BI959" s="2"/>
      <c r="BS959" s="2"/>
      <c r="CC959" s="2"/>
      <c r="CM959" s="2"/>
      <c r="CW959" s="2"/>
    </row>
    <row r="960" spans="1:101" ht="13.5" customHeight="1" x14ac:dyDescent="0.3">
      <c r="A960" s="2"/>
      <c r="K960" s="2"/>
      <c r="U960" s="2"/>
      <c r="AE960" s="2"/>
      <c r="AO960" s="2"/>
      <c r="AY960" s="2"/>
      <c r="BI960" s="2"/>
      <c r="BS960" s="2"/>
      <c r="CC960" s="2"/>
      <c r="CM960" s="2"/>
      <c r="CW960" s="2"/>
    </row>
    <row r="961" spans="1:101" ht="13.5" customHeight="1" x14ac:dyDescent="0.3">
      <c r="A961" s="2"/>
      <c r="K961" s="2"/>
      <c r="U961" s="2"/>
      <c r="AE961" s="2"/>
      <c r="AO961" s="2"/>
      <c r="AY961" s="2"/>
      <c r="BI961" s="2"/>
      <c r="BS961" s="2"/>
      <c r="CC961" s="2"/>
      <c r="CM961" s="2"/>
      <c r="CW961" s="2"/>
    </row>
    <row r="962" spans="1:101" ht="13.5" customHeight="1" x14ac:dyDescent="0.3">
      <c r="A962" s="2"/>
      <c r="K962" s="2"/>
      <c r="U962" s="2"/>
      <c r="AE962" s="2"/>
      <c r="AO962" s="2"/>
      <c r="AY962" s="2"/>
      <c r="BI962" s="2"/>
      <c r="BS962" s="2"/>
      <c r="CC962" s="2"/>
      <c r="CM962" s="2"/>
      <c r="CW962" s="2"/>
    </row>
    <row r="963" spans="1:101" ht="13.5" customHeight="1" x14ac:dyDescent="0.3">
      <c r="A963" s="2"/>
      <c r="K963" s="2"/>
      <c r="U963" s="2"/>
      <c r="AE963" s="2"/>
      <c r="AO963" s="2"/>
      <c r="AY963" s="2"/>
      <c r="BI963" s="2"/>
      <c r="BS963" s="2"/>
      <c r="CC963" s="2"/>
      <c r="CM963" s="2"/>
      <c r="CW963" s="2"/>
    </row>
    <row r="964" spans="1:101" ht="13.5" customHeight="1" x14ac:dyDescent="0.3">
      <c r="A964" s="2"/>
      <c r="K964" s="2"/>
      <c r="U964" s="2"/>
      <c r="AE964" s="2"/>
      <c r="AO964" s="2"/>
      <c r="AY964" s="2"/>
      <c r="BI964" s="2"/>
      <c r="BS964" s="2"/>
      <c r="CC964" s="2"/>
      <c r="CM964" s="2"/>
      <c r="CW964" s="2"/>
    </row>
    <row r="965" spans="1:101" ht="13.5" customHeight="1" x14ac:dyDescent="0.3">
      <c r="A965" s="2"/>
      <c r="K965" s="2"/>
      <c r="U965" s="2"/>
      <c r="AE965" s="2"/>
      <c r="AO965" s="2"/>
      <c r="AY965" s="2"/>
      <c r="BI965" s="2"/>
      <c r="BS965" s="2"/>
      <c r="CC965" s="2"/>
      <c r="CM965" s="2"/>
      <c r="CW965" s="2"/>
    </row>
    <row r="966" spans="1:101" ht="13.5" customHeight="1" x14ac:dyDescent="0.3">
      <c r="A966" s="2"/>
      <c r="K966" s="2"/>
      <c r="U966" s="2"/>
      <c r="AE966" s="2"/>
      <c r="AO966" s="2"/>
      <c r="AY966" s="2"/>
      <c r="BI966" s="2"/>
      <c r="BS966" s="2"/>
      <c r="CC966" s="2"/>
      <c r="CM966" s="2"/>
      <c r="CW966" s="2"/>
    </row>
    <row r="967" spans="1:101" ht="13.5" customHeight="1" x14ac:dyDescent="0.3">
      <c r="A967" s="2"/>
      <c r="K967" s="2"/>
      <c r="U967" s="2"/>
      <c r="AE967" s="2"/>
      <c r="AO967" s="2"/>
      <c r="AY967" s="2"/>
      <c r="BI967" s="2"/>
      <c r="BS967" s="2"/>
      <c r="CC967" s="2"/>
      <c r="CM967" s="2"/>
      <c r="CW967" s="2"/>
    </row>
    <row r="968" spans="1:101" ht="13.5" customHeight="1" x14ac:dyDescent="0.3">
      <c r="A968" s="2"/>
      <c r="K968" s="2"/>
      <c r="U968" s="2"/>
      <c r="AE968" s="2"/>
      <c r="AO968" s="2"/>
      <c r="AY968" s="2"/>
      <c r="BI968" s="2"/>
      <c r="BS968" s="2"/>
      <c r="CC968" s="2"/>
      <c r="CM968" s="2"/>
      <c r="CW968" s="2"/>
    </row>
    <row r="969" spans="1:101" ht="13.5" customHeight="1" x14ac:dyDescent="0.3">
      <c r="A969" s="2"/>
      <c r="K969" s="2"/>
      <c r="U969" s="2"/>
      <c r="AE969" s="2"/>
      <c r="AO969" s="2"/>
      <c r="AY969" s="2"/>
      <c r="BI969" s="2"/>
      <c r="BS969" s="2"/>
      <c r="CC969" s="2"/>
      <c r="CM969" s="2"/>
      <c r="CW969" s="2"/>
    </row>
    <row r="970" spans="1:101" ht="13.5" customHeight="1" x14ac:dyDescent="0.3">
      <c r="A970" s="2"/>
      <c r="K970" s="2"/>
      <c r="U970" s="2"/>
      <c r="AE970" s="2"/>
      <c r="AO970" s="2"/>
      <c r="AY970" s="2"/>
      <c r="BI970" s="2"/>
      <c r="BS970" s="2"/>
      <c r="CC970" s="2"/>
      <c r="CM970" s="2"/>
      <c r="CW970" s="2"/>
    </row>
    <row r="971" spans="1:101" ht="13.5" customHeight="1" x14ac:dyDescent="0.3">
      <c r="A971" s="2"/>
      <c r="K971" s="2"/>
      <c r="U971" s="2"/>
      <c r="AE971" s="2"/>
      <c r="AO971" s="2"/>
      <c r="AY971" s="2"/>
      <c r="BI971" s="2"/>
      <c r="BS971" s="2"/>
      <c r="CC971" s="2"/>
      <c r="CM971" s="2"/>
      <c r="CW971" s="2"/>
    </row>
    <row r="972" spans="1:101" ht="13.5" customHeight="1" x14ac:dyDescent="0.3">
      <c r="A972" s="2"/>
      <c r="K972" s="2"/>
      <c r="U972" s="2"/>
      <c r="AE972" s="2"/>
      <c r="AO972" s="2"/>
      <c r="AY972" s="2"/>
      <c r="BI972" s="2"/>
      <c r="BS972" s="2"/>
      <c r="CC972" s="2"/>
      <c r="CM972" s="2"/>
      <c r="CW972" s="2"/>
    </row>
    <row r="973" spans="1:101" ht="13.5" customHeight="1" x14ac:dyDescent="0.3">
      <c r="A973" s="2"/>
      <c r="K973" s="2"/>
      <c r="U973" s="2"/>
      <c r="AE973" s="2"/>
      <c r="AO973" s="2"/>
      <c r="AY973" s="2"/>
      <c r="BI973" s="2"/>
      <c r="BS973" s="2"/>
      <c r="CC973" s="2"/>
      <c r="CM973" s="2"/>
      <c r="CW973" s="2"/>
    </row>
    <row r="974" spans="1:101" ht="13.5" customHeight="1" x14ac:dyDescent="0.3">
      <c r="A974" s="2"/>
      <c r="K974" s="2"/>
      <c r="U974" s="2"/>
      <c r="AE974" s="2"/>
      <c r="AO974" s="2"/>
      <c r="AY974" s="2"/>
      <c r="BI974" s="2"/>
      <c r="BS974" s="2"/>
      <c r="CC974" s="2"/>
      <c r="CM974" s="2"/>
      <c r="CW974" s="2"/>
    </row>
    <row r="975" spans="1:101" ht="13.5" customHeight="1" x14ac:dyDescent="0.3">
      <c r="A975" s="2"/>
      <c r="K975" s="2"/>
      <c r="U975" s="2"/>
      <c r="AE975" s="2"/>
      <c r="AO975" s="2"/>
      <c r="AY975" s="2"/>
      <c r="BI975" s="2"/>
      <c r="BS975" s="2"/>
      <c r="CC975" s="2"/>
      <c r="CM975" s="2"/>
      <c r="CW975" s="2"/>
    </row>
    <row r="976" spans="1:101" ht="13.5" customHeight="1" x14ac:dyDescent="0.3">
      <c r="A976" s="2"/>
      <c r="K976" s="2"/>
      <c r="U976" s="2"/>
      <c r="AE976" s="2"/>
      <c r="AO976" s="2"/>
      <c r="AY976" s="2"/>
      <c r="BI976" s="2"/>
      <c r="BS976" s="2"/>
      <c r="CC976" s="2"/>
      <c r="CM976" s="2"/>
      <c r="CW976" s="2"/>
    </row>
    <row r="977" spans="1:101" ht="13.5" customHeight="1" x14ac:dyDescent="0.3">
      <c r="A977" s="2"/>
      <c r="K977" s="2"/>
      <c r="U977" s="2"/>
      <c r="AE977" s="2"/>
      <c r="AO977" s="2"/>
      <c r="AY977" s="2"/>
      <c r="BI977" s="2"/>
      <c r="BS977" s="2"/>
      <c r="CC977" s="2"/>
      <c r="CM977" s="2"/>
      <c r="CW977" s="2"/>
    </row>
    <row r="978" spans="1:101" ht="13.5" customHeight="1" x14ac:dyDescent="0.3">
      <c r="A978" s="2"/>
      <c r="K978" s="2"/>
      <c r="U978" s="2"/>
      <c r="AE978" s="2"/>
      <c r="AO978" s="2"/>
      <c r="AY978" s="2"/>
      <c r="BI978" s="2"/>
      <c r="BS978" s="2"/>
      <c r="CC978" s="2"/>
      <c r="CM978" s="2"/>
      <c r="CW978" s="2"/>
    </row>
    <row r="979" spans="1:101" ht="13.5" customHeight="1" x14ac:dyDescent="0.3">
      <c r="A979" s="2"/>
      <c r="K979" s="2"/>
      <c r="U979" s="2"/>
      <c r="AE979" s="2"/>
      <c r="AO979" s="2"/>
      <c r="AY979" s="2"/>
      <c r="BI979" s="2"/>
      <c r="BS979" s="2"/>
      <c r="CC979" s="2"/>
      <c r="CM979" s="2"/>
      <c r="CW979" s="2"/>
    </row>
    <row r="980" spans="1:101" ht="13.5" customHeight="1" x14ac:dyDescent="0.3">
      <c r="A980" s="2"/>
      <c r="K980" s="2"/>
      <c r="U980" s="2"/>
      <c r="AE980" s="2"/>
      <c r="AO980" s="2"/>
      <c r="AY980" s="2"/>
      <c r="BI980" s="2"/>
      <c r="BS980" s="2"/>
      <c r="CC980" s="2"/>
      <c r="CM980" s="2"/>
      <c r="CW980" s="2"/>
    </row>
    <row r="981" spans="1:101" ht="13.5" customHeight="1" x14ac:dyDescent="0.3">
      <c r="A981" s="2"/>
      <c r="K981" s="2"/>
      <c r="U981" s="2"/>
      <c r="AE981" s="2"/>
      <c r="AO981" s="2"/>
      <c r="AY981" s="2"/>
      <c r="BI981" s="2"/>
      <c r="BS981" s="2"/>
      <c r="CC981" s="2"/>
      <c r="CM981" s="2"/>
      <c r="CW981" s="2"/>
    </row>
    <row r="982" spans="1:101" ht="13.5" customHeight="1" x14ac:dyDescent="0.3">
      <c r="A982" s="2"/>
      <c r="K982" s="2"/>
      <c r="U982" s="2"/>
      <c r="AE982" s="2"/>
      <c r="AO982" s="2"/>
      <c r="AY982" s="2"/>
      <c r="BI982" s="2"/>
      <c r="BS982" s="2"/>
      <c r="CC982" s="2"/>
      <c r="CM982" s="2"/>
      <c r="CW982" s="2"/>
    </row>
    <row r="983" spans="1:101" ht="13.5" customHeight="1" x14ac:dyDescent="0.3">
      <c r="A983" s="2"/>
      <c r="K983" s="2"/>
      <c r="U983" s="2"/>
      <c r="AE983" s="2"/>
      <c r="AO983" s="2"/>
      <c r="AY983" s="2"/>
      <c r="BI983" s="2"/>
      <c r="BS983" s="2"/>
      <c r="CC983" s="2"/>
      <c r="CM983" s="2"/>
      <c r="CW983" s="2"/>
    </row>
    <row r="984" spans="1:101" ht="13.5" customHeight="1" x14ac:dyDescent="0.3">
      <c r="A984" s="2"/>
      <c r="K984" s="2"/>
      <c r="U984" s="2"/>
      <c r="AE984" s="2"/>
      <c r="AO984" s="2"/>
      <c r="AY984" s="2"/>
      <c r="BI984" s="2"/>
      <c r="BS984" s="2"/>
      <c r="CC984" s="2"/>
      <c r="CM984" s="2"/>
      <c r="CW984" s="2"/>
    </row>
    <row r="985" spans="1:101" ht="13.5" customHeight="1" x14ac:dyDescent="0.3">
      <c r="A985" s="2"/>
      <c r="K985" s="2"/>
      <c r="U985" s="2"/>
      <c r="AE985" s="2"/>
      <c r="AO985" s="2"/>
      <c r="AY985" s="2"/>
      <c r="BI985" s="2"/>
      <c r="BS985" s="2"/>
      <c r="CC985" s="2"/>
      <c r="CM985" s="2"/>
      <c r="CW985" s="2"/>
    </row>
    <row r="986" spans="1:101" ht="13.5" customHeight="1" x14ac:dyDescent="0.3">
      <c r="A986" s="2"/>
      <c r="K986" s="2"/>
      <c r="U986" s="2"/>
      <c r="AE986" s="2"/>
      <c r="AO986" s="2"/>
      <c r="AY986" s="2"/>
      <c r="BI986" s="2"/>
      <c r="BS986" s="2"/>
      <c r="CC986" s="2"/>
      <c r="CM986" s="2"/>
      <c r="CW986" s="2"/>
    </row>
    <row r="987" spans="1:101" ht="13.5" customHeight="1" x14ac:dyDescent="0.3">
      <c r="A987" s="2"/>
      <c r="K987" s="2"/>
      <c r="U987" s="2"/>
      <c r="AE987" s="2"/>
      <c r="AO987" s="2"/>
      <c r="AY987" s="2"/>
      <c r="BI987" s="2"/>
      <c r="BS987" s="2"/>
      <c r="CC987" s="2"/>
      <c r="CM987" s="2"/>
      <c r="CW987" s="2"/>
    </row>
    <row r="988" spans="1:101" ht="13.5" customHeight="1" x14ac:dyDescent="0.3">
      <c r="A988" s="2"/>
      <c r="K988" s="2"/>
      <c r="U988" s="2"/>
      <c r="AE988" s="2"/>
      <c r="AO988" s="2"/>
      <c r="AY988" s="2"/>
      <c r="BI988" s="2"/>
      <c r="BS988" s="2"/>
      <c r="CC988" s="2"/>
      <c r="CM988" s="2"/>
      <c r="CW988" s="2"/>
    </row>
    <row r="989" spans="1:101" ht="13.5" customHeight="1" x14ac:dyDescent="0.3">
      <c r="A989" s="2"/>
      <c r="K989" s="2"/>
      <c r="U989" s="2"/>
      <c r="AE989" s="2"/>
      <c r="AO989" s="2"/>
      <c r="AY989" s="2"/>
      <c r="BI989" s="2"/>
      <c r="BS989" s="2"/>
      <c r="CC989" s="2"/>
      <c r="CM989" s="2"/>
      <c r="CW989" s="2"/>
    </row>
    <row r="990" spans="1:101" ht="13.5" customHeight="1" x14ac:dyDescent="0.3">
      <c r="A990" s="2"/>
      <c r="K990" s="2"/>
      <c r="U990" s="2"/>
      <c r="AE990" s="2"/>
      <c r="AO990" s="2"/>
      <c r="AY990" s="2"/>
      <c r="BI990" s="2"/>
      <c r="BS990" s="2"/>
      <c r="CC990" s="2"/>
      <c r="CM990" s="2"/>
      <c r="CW990" s="2"/>
    </row>
    <row r="991" spans="1:101" ht="13.5" customHeight="1" x14ac:dyDescent="0.3">
      <c r="A991" s="2"/>
      <c r="K991" s="2"/>
      <c r="U991" s="2"/>
      <c r="AE991" s="2"/>
      <c r="AO991" s="2"/>
      <c r="AY991" s="2"/>
      <c r="BI991" s="2"/>
      <c r="BS991" s="2"/>
      <c r="CC991" s="2"/>
      <c r="CM991" s="2"/>
      <c r="CW991" s="2"/>
    </row>
    <row r="992" spans="1:101" ht="13.5" customHeight="1" x14ac:dyDescent="0.3">
      <c r="A992" s="2"/>
      <c r="K992" s="2"/>
      <c r="U992" s="2"/>
      <c r="AE992" s="2"/>
      <c r="AO992" s="2"/>
      <c r="AY992" s="2"/>
      <c r="BI992" s="2"/>
      <c r="BS992" s="2"/>
      <c r="CC992" s="2"/>
      <c r="CM992" s="2"/>
      <c r="CW992" s="2"/>
    </row>
    <row r="993" spans="1:101" ht="13.5" customHeight="1" x14ac:dyDescent="0.3">
      <c r="A993" s="2"/>
      <c r="K993" s="2"/>
      <c r="U993" s="2"/>
      <c r="AE993" s="2"/>
      <c r="AO993" s="2"/>
      <c r="AY993" s="2"/>
      <c r="BI993" s="2"/>
      <c r="BS993" s="2"/>
      <c r="CC993" s="2"/>
      <c r="CM993" s="2"/>
      <c r="CW993" s="2"/>
    </row>
    <row r="994" spans="1:101" ht="13.5" customHeight="1" x14ac:dyDescent="0.3">
      <c r="A994" s="2"/>
      <c r="K994" s="2"/>
      <c r="U994" s="2"/>
      <c r="AE994" s="2"/>
      <c r="AO994" s="2"/>
      <c r="AY994" s="2"/>
      <c r="BI994" s="2"/>
      <c r="BS994" s="2"/>
      <c r="CC994" s="2"/>
      <c r="CM994" s="2"/>
      <c r="CW994" s="2"/>
    </row>
    <row r="995" spans="1:101" ht="13.5" customHeight="1" x14ac:dyDescent="0.3">
      <c r="A995" s="2"/>
      <c r="K995" s="2"/>
      <c r="U995" s="2"/>
      <c r="AE995" s="2"/>
      <c r="AO995" s="2"/>
      <c r="AY995" s="2"/>
      <c r="BI995" s="2"/>
      <c r="BS995" s="2"/>
      <c r="CC995" s="2"/>
      <c r="CM995" s="2"/>
      <c r="CW995" s="2"/>
    </row>
    <row r="996" spans="1:101" ht="13.5" customHeight="1" x14ac:dyDescent="0.3">
      <c r="A996" s="2"/>
      <c r="K996" s="2"/>
      <c r="U996" s="2"/>
      <c r="AE996" s="2"/>
      <c r="AO996" s="2"/>
      <c r="AY996" s="2"/>
      <c r="BI996" s="2"/>
      <c r="BS996" s="2"/>
      <c r="CC996" s="2"/>
      <c r="CM996" s="2"/>
      <c r="CW996" s="2"/>
    </row>
    <row r="997" spans="1:101" ht="13.5" customHeight="1" x14ac:dyDescent="0.3">
      <c r="A997" s="2"/>
      <c r="K997" s="2"/>
      <c r="U997" s="2"/>
      <c r="AE997" s="2"/>
      <c r="AO997" s="2"/>
      <c r="AY997" s="2"/>
      <c r="BI997" s="2"/>
      <c r="BS997" s="2"/>
      <c r="CC997" s="2"/>
      <c r="CM997" s="2"/>
      <c r="CW997" s="2"/>
    </row>
    <row r="998" spans="1:101" ht="13.5" customHeight="1" x14ac:dyDescent="0.3">
      <c r="A998" s="2"/>
      <c r="K998" s="2"/>
      <c r="U998" s="2"/>
      <c r="AE998" s="2"/>
      <c r="AO998" s="2"/>
      <c r="AY998" s="2"/>
      <c r="BI998" s="2"/>
      <c r="BS998" s="2"/>
      <c r="CC998" s="2"/>
      <c r="CM998" s="2"/>
      <c r="CW998" s="2"/>
    </row>
    <row r="999" spans="1:101" ht="13.5" customHeight="1" x14ac:dyDescent="0.3">
      <c r="A999" s="2"/>
      <c r="K999" s="2"/>
      <c r="U999" s="2"/>
      <c r="AE999" s="2"/>
      <c r="AO999" s="2"/>
      <c r="AY999" s="2"/>
      <c r="BI999" s="2"/>
      <c r="BS999" s="2"/>
      <c r="CC999" s="2"/>
      <c r="CM999" s="2"/>
      <c r="CW999" s="2"/>
    </row>
    <row r="1000" spans="1:101" ht="13.5" customHeight="1" x14ac:dyDescent="0.3">
      <c r="A1000" s="2"/>
      <c r="K1000" s="2"/>
      <c r="U1000" s="2"/>
      <c r="AE1000" s="2"/>
      <c r="AO1000" s="2"/>
      <c r="AY1000" s="2"/>
      <c r="BI1000" s="2"/>
      <c r="BS1000" s="2"/>
      <c r="CC1000" s="2"/>
      <c r="CM1000" s="2"/>
      <c r="CW1000" s="2"/>
    </row>
    <row r="1001" spans="1:101" ht="13.5" customHeight="1" x14ac:dyDescent="0.3">
      <c r="A1001" s="2"/>
      <c r="K1001" s="2"/>
      <c r="U1001" s="2"/>
      <c r="AE1001" s="2"/>
      <c r="AO1001" s="2"/>
      <c r="AY1001" s="2"/>
      <c r="BI1001" s="2"/>
      <c r="BS1001" s="2"/>
      <c r="CC1001" s="2"/>
      <c r="CM1001" s="2"/>
      <c r="CW1001" s="2"/>
    </row>
    <row r="1002" spans="1:101" ht="13.5" customHeight="1" x14ac:dyDescent="0.3">
      <c r="A1002" s="2"/>
      <c r="K1002" s="2"/>
      <c r="U1002" s="2"/>
      <c r="AE1002" s="2"/>
      <c r="AO1002" s="2"/>
      <c r="AY1002" s="2"/>
      <c r="BI1002" s="2"/>
      <c r="BS1002" s="2"/>
      <c r="CC1002" s="2"/>
      <c r="CM1002" s="2"/>
      <c r="CW1002" s="2"/>
    </row>
    <row r="1003" spans="1:101" ht="13.5" customHeight="1" x14ac:dyDescent="0.3">
      <c r="A1003" s="2"/>
      <c r="K1003" s="2"/>
      <c r="U1003" s="2"/>
      <c r="AE1003" s="2"/>
      <c r="AO1003" s="2"/>
      <c r="AY1003" s="2"/>
      <c r="BI1003" s="2"/>
      <c r="BS1003" s="2"/>
      <c r="CC1003" s="2"/>
      <c r="CM1003" s="2"/>
      <c r="CW1003" s="2"/>
    </row>
    <row r="1004" spans="1:101" ht="13.5" customHeight="1" x14ac:dyDescent="0.3">
      <c r="A1004" s="2"/>
      <c r="K1004" s="2"/>
      <c r="U1004" s="2"/>
      <c r="AE1004" s="2"/>
      <c r="AO1004" s="2"/>
      <c r="AY1004" s="2"/>
      <c r="BI1004" s="2"/>
      <c r="BS1004" s="2"/>
      <c r="CC1004" s="2"/>
      <c r="CM1004" s="2"/>
      <c r="CW1004" s="2"/>
    </row>
    <row r="1005" spans="1:101" ht="13.5" customHeight="1" x14ac:dyDescent="0.3">
      <c r="A1005" s="2"/>
      <c r="K1005" s="2"/>
      <c r="U1005" s="2"/>
      <c r="AE1005" s="2"/>
      <c r="AO1005" s="2"/>
      <c r="AY1005" s="2"/>
      <c r="BI1005" s="2"/>
      <c r="BS1005" s="2"/>
      <c r="CC1005" s="2"/>
      <c r="CM1005" s="2"/>
      <c r="CW1005" s="2"/>
    </row>
    <row r="1006" spans="1:101" ht="13.5" customHeight="1" x14ac:dyDescent="0.3">
      <c r="A1006" s="2"/>
      <c r="K1006" s="2"/>
      <c r="U1006" s="2"/>
      <c r="AE1006" s="2"/>
      <c r="AO1006" s="2"/>
      <c r="AY1006" s="2"/>
      <c r="BI1006" s="2"/>
      <c r="BS1006" s="2"/>
      <c r="CC1006" s="2"/>
      <c r="CM1006" s="2"/>
      <c r="CW1006" s="2"/>
    </row>
    <row r="1007" spans="1:101" ht="13.5" customHeight="1" x14ac:dyDescent="0.3">
      <c r="A1007" s="2"/>
      <c r="K1007" s="2"/>
      <c r="U1007" s="2"/>
      <c r="AE1007" s="2"/>
      <c r="AO1007" s="2"/>
      <c r="AY1007" s="2"/>
      <c r="BI1007" s="2"/>
      <c r="BS1007" s="2"/>
      <c r="CC1007" s="2"/>
      <c r="CM1007" s="2"/>
      <c r="CW1007" s="2"/>
    </row>
    <row r="1008" spans="1:101" ht="13.5" customHeight="1" x14ac:dyDescent="0.3">
      <c r="A1008" s="2"/>
      <c r="K1008" s="2"/>
      <c r="U1008" s="2"/>
      <c r="AE1008" s="2"/>
      <c r="AO1008" s="2"/>
      <c r="AY1008" s="2"/>
      <c r="BI1008" s="2"/>
      <c r="BS1008" s="2"/>
      <c r="CC1008" s="2"/>
      <c r="CM1008" s="2"/>
      <c r="CW1008" s="2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33"/>
  <sheetViews>
    <sheetView topLeftCell="V1" workbookViewId="0">
      <selection activeCell="AG20" sqref="AG20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bestFit="1" customWidth="1"/>
    <col min="13" max="13" width="11.5" bestFit="1" customWidth="1"/>
    <col min="14" max="15" width="9.125" bestFit="1" customWidth="1"/>
    <col min="16" max="16" width="9.125" customWidth="1"/>
    <col min="17" max="17" width="9.75" bestFit="1" customWidth="1"/>
    <col min="18" max="18" width="9.125" bestFit="1" customWidth="1"/>
    <col min="19" max="19" width="11.5" bestFit="1" customWidth="1"/>
    <col min="20" max="21" width="9.125" bestFit="1" customWidth="1"/>
    <col min="22" max="22" width="9.125" customWidth="1"/>
    <col min="23" max="23" width="9.75" bestFit="1" customWidth="1"/>
    <col min="24" max="24" width="9.125" bestFit="1" customWidth="1"/>
    <col min="25" max="25" width="11.25" bestFit="1" customWidth="1"/>
    <col min="26" max="26" width="9.375" bestFit="1" customWidth="1"/>
    <col min="27" max="27" width="9.125" bestFit="1" customWidth="1"/>
    <col min="28" max="28" width="9.125" customWidth="1"/>
    <col min="29" max="29" width="9.75" bestFit="1" customWidth="1"/>
    <col min="30" max="30" width="9.125" bestFit="1" customWidth="1"/>
    <col min="31" max="31" width="11.5" bestFit="1" customWidth="1"/>
    <col min="32" max="32" width="9.375" bestFit="1" customWidth="1"/>
    <col min="33" max="33" width="9.125" bestFit="1" customWidth="1"/>
    <col min="34" max="34" width="9.125" customWidth="1"/>
    <col min="35" max="35" width="9.75" bestFit="1" customWidth="1"/>
    <col min="36" max="36" width="9.125" bestFit="1" customWidth="1"/>
    <col min="37" max="37" width="9.125" customWidth="1"/>
    <col min="38" max="38" width="11.5" bestFit="1" customWidth="1"/>
    <col min="39" max="40" width="9.125" bestFit="1" customWidth="1"/>
    <col min="41" max="41" width="9.125" customWidth="1"/>
    <col min="42" max="42" width="9.75" bestFit="1" customWidth="1"/>
    <col min="43" max="43" width="9.125" bestFit="1" customWidth="1"/>
    <col min="44" max="44" width="11.5" bestFit="1" customWidth="1"/>
    <col min="45" max="46" width="9.125" bestFit="1" customWidth="1"/>
    <col min="47" max="47" width="9.125" customWidth="1"/>
    <col min="48" max="48" width="9.75" bestFit="1" customWidth="1"/>
    <col min="49" max="49" width="9.1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bestFit="1" customWidth="1"/>
    <col min="56" max="56" width="11.25" bestFit="1" customWidth="1"/>
    <col min="57" max="57" width="11.25" customWidth="1"/>
    <col min="58" max="59" width="9.125" bestFit="1" customWidth="1"/>
    <col min="60" max="61" width="9.125" customWidth="1"/>
    <col min="62" max="62" width="9.75" bestFit="1" customWidth="1"/>
    <col min="63" max="63" width="11.5" bestFit="1" customWidth="1"/>
    <col min="64" max="64" width="9.375" bestFit="1" customWidth="1"/>
    <col min="65" max="65" width="9.125" bestFit="1" customWidth="1"/>
    <col min="66" max="66" width="9.125" customWidth="1"/>
  </cols>
  <sheetData>
    <row r="1" spans="1:69" ht="13.5" customHeight="1" x14ac:dyDescent="0.3">
      <c r="A1" s="1" t="s">
        <v>1394</v>
      </c>
      <c r="B1" s="2">
        <v>36588</v>
      </c>
      <c r="C1" s="1" t="s">
        <v>1395</v>
      </c>
      <c r="D1" s="2">
        <v>46197</v>
      </c>
      <c r="E1" s="1" t="s">
        <v>1396</v>
      </c>
      <c r="F1" s="3">
        <v>30</v>
      </c>
      <c r="G1" s="1" t="s">
        <v>1397</v>
      </c>
      <c r="H1" s="3" t="s">
        <v>1398</v>
      </c>
      <c r="I1" s="1" t="s">
        <v>5</v>
      </c>
      <c r="J1" s="3" t="s">
        <v>9</v>
      </c>
      <c r="K1" s="1" t="s">
        <v>1399</v>
      </c>
      <c r="L1" s="3">
        <v>0</v>
      </c>
      <c r="M1" s="1" t="s">
        <v>1400</v>
      </c>
      <c r="N1" s="3" t="s">
        <v>1401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</row>
    <row r="2" spans="1:69" ht="13.5" customHeight="1" x14ac:dyDescent="0.3">
      <c r="A2" s="3" t="str">
        <f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3"/>
      <c r="H2" s="3" t="str">
        <f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3"/>
      <c r="BF2" s="3" t="str">
        <f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3"/>
      <c r="BL2" s="3" t="str">
        <f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1402</v>
      </c>
      <c r="C3" s="5" t="s">
        <v>1403</v>
      </c>
      <c r="D3" s="5" t="s">
        <v>1404</v>
      </c>
      <c r="E3" s="5" t="s">
        <v>1405</v>
      </c>
      <c r="F3" s="5" t="s">
        <v>1406</v>
      </c>
      <c r="G3" s="5" t="s">
        <v>1408</v>
      </c>
      <c r="H3" s="4" t="s">
        <v>2</v>
      </c>
      <c r="I3" s="6" t="s">
        <v>1402</v>
      </c>
      <c r="J3" s="6" t="s">
        <v>1403</v>
      </c>
      <c r="K3" s="6" t="s">
        <v>1404</v>
      </c>
      <c r="L3" s="6" t="s">
        <v>1405</v>
      </c>
      <c r="M3" s="6" t="s">
        <v>1406</v>
      </c>
      <c r="N3" s="4" t="s">
        <v>2</v>
      </c>
      <c r="O3" s="7" t="s">
        <v>1402</v>
      </c>
      <c r="P3" s="7" t="s">
        <v>1403</v>
      </c>
      <c r="Q3" s="7" t="s">
        <v>1404</v>
      </c>
      <c r="R3" s="7" t="s">
        <v>1405</v>
      </c>
      <c r="S3" s="7" t="s">
        <v>1406</v>
      </c>
      <c r="T3" s="4" t="s">
        <v>2</v>
      </c>
      <c r="U3" s="8" t="s">
        <v>1402</v>
      </c>
      <c r="V3" s="8" t="s">
        <v>1403</v>
      </c>
      <c r="W3" s="8" t="s">
        <v>1404</v>
      </c>
      <c r="X3" s="8" t="s">
        <v>1405</v>
      </c>
      <c r="Y3" s="8" t="s">
        <v>1406</v>
      </c>
      <c r="Z3" s="4" t="s">
        <v>2</v>
      </c>
      <c r="AA3" s="9" t="s">
        <v>1402</v>
      </c>
      <c r="AB3" s="9" t="s">
        <v>1403</v>
      </c>
      <c r="AC3" s="9" t="s">
        <v>1404</v>
      </c>
      <c r="AD3" s="9" t="s">
        <v>1405</v>
      </c>
      <c r="AE3" s="9" t="s">
        <v>1406</v>
      </c>
      <c r="AF3" s="4" t="s">
        <v>2</v>
      </c>
      <c r="AG3" s="10" t="s">
        <v>1402</v>
      </c>
      <c r="AH3" s="10" t="s">
        <v>1403</v>
      </c>
      <c r="AI3" s="10" t="s">
        <v>1404</v>
      </c>
      <c r="AJ3" s="10" t="s">
        <v>1405</v>
      </c>
      <c r="AK3" s="10" t="s">
        <v>1406</v>
      </c>
      <c r="AL3" s="10" t="s">
        <v>1408</v>
      </c>
      <c r="AM3" s="4" t="s">
        <v>2</v>
      </c>
      <c r="AN3" s="11" t="s">
        <v>1402</v>
      </c>
      <c r="AO3" s="11" t="s">
        <v>1403</v>
      </c>
      <c r="AP3" s="11" t="s">
        <v>1404</v>
      </c>
      <c r="AQ3" s="11" t="s">
        <v>1405</v>
      </c>
      <c r="AR3" s="11" t="s">
        <v>1406</v>
      </c>
      <c r="AS3" s="4" t="s">
        <v>2</v>
      </c>
      <c r="AT3" s="12" t="s">
        <v>1402</v>
      </c>
      <c r="AU3" s="12" t="s">
        <v>1403</v>
      </c>
      <c r="AV3" s="12" t="s">
        <v>1404</v>
      </c>
      <c r="AW3" s="12" t="s">
        <v>1405</v>
      </c>
      <c r="AX3" s="12" t="s">
        <v>1406</v>
      </c>
      <c r="AY3" s="4" t="s">
        <v>2</v>
      </c>
      <c r="AZ3" s="13" t="s">
        <v>1402</v>
      </c>
      <c r="BA3" s="13" t="s">
        <v>1403</v>
      </c>
      <c r="BB3" s="13" t="s">
        <v>1404</v>
      </c>
      <c r="BC3" s="13" t="s">
        <v>1405</v>
      </c>
      <c r="BD3" s="13" t="s">
        <v>1407</v>
      </c>
      <c r="BE3" s="13" t="s">
        <v>1408</v>
      </c>
      <c r="BF3" s="4" t="s">
        <v>2</v>
      </c>
      <c r="BG3" s="14" t="s">
        <v>1402</v>
      </c>
      <c r="BH3" s="14" t="s">
        <v>1403</v>
      </c>
      <c r="BI3" s="14" t="s">
        <v>1404</v>
      </c>
      <c r="BJ3" s="14" t="s">
        <v>1405</v>
      </c>
      <c r="BK3" s="14" t="s">
        <v>1406</v>
      </c>
      <c r="BL3" s="4" t="s">
        <v>2</v>
      </c>
      <c r="BM3" s="15" t="s">
        <v>1402</v>
      </c>
      <c r="BN3" s="15" t="s">
        <v>1403</v>
      </c>
      <c r="BO3" s="15" t="s">
        <v>1404</v>
      </c>
      <c r="BP3" s="15" t="s">
        <v>1405</v>
      </c>
      <c r="BQ3" s="15" t="s">
        <v>1406</v>
      </c>
    </row>
    <row r="4" spans="1:69" ht="13.5" customHeight="1" x14ac:dyDescent="0.3">
      <c r="A4" s="2">
        <v>46197</v>
      </c>
      <c r="B4" s="3">
        <v>110250</v>
      </c>
      <c r="C4" s="3">
        <v>4182666989904</v>
      </c>
      <c r="D4" s="3">
        <v>110116.93</v>
      </c>
      <c r="E4" s="3">
        <v>-6.9861999999999994E-2</v>
      </c>
      <c r="F4" s="3">
        <v>37915000</v>
      </c>
      <c r="G4" s="3">
        <v>5.7653999999999996</v>
      </c>
      <c r="H4" s="2">
        <v>46197</v>
      </c>
      <c r="I4" s="3">
        <v>87580</v>
      </c>
      <c r="J4" s="3">
        <v>281732680237</v>
      </c>
      <c r="K4" s="3">
        <v>87339.09</v>
      </c>
      <c r="L4" s="3">
        <v>1.042E-3</v>
      </c>
      <c r="M4" s="3">
        <v>3208000</v>
      </c>
      <c r="N4" s="2">
        <v>46197</v>
      </c>
      <c r="O4" s="3">
        <v>90830</v>
      </c>
      <c r="P4" s="3">
        <v>389302349880</v>
      </c>
      <c r="Q4" s="3">
        <v>90099.65</v>
      </c>
      <c r="R4" s="3">
        <v>0.105827</v>
      </c>
      <c r="S4" s="3">
        <v>4271000</v>
      </c>
      <c r="T4" s="2">
        <v>46197</v>
      </c>
      <c r="U4" s="3">
        <v>98600</v>
      </c>
      <c r="V4" s="3">
        <v>106449228327</v>
      </c>
      <c r="W4" s="3">
        <v>98494.59</v>
      </c>
      <c r="X4" s="3">
        <v>-1.4813E-2</v>
      </c>
      <c r="Y4" s="3">
        <v>1078000</v>
      </c>
      <c r="Z4" s="2">
        <v>46197</v>
      </c>
      <c r="AA4" s="3">
        <v>99970</v>
      </c>
      <c r="AB4" s="3">
        <v>73765876251</v>
      </c>
      <c r="AC4" s="3">
        <v>99888.77</v>
      </c>
      <c r="AD4" s="3">
        <v>1.1243E-2</v>
      </c>
      <c r="AE4" s="3">
        <v>738000</v>
      </c>
      <c r="AF4" s="2">
        <v>46197</v>
      </c>
      <c r="AG4" s="3">
        <v>106330</v>
      </c>
      <c r="AH4" s="3">
        <v>1380634080717</v>
      </c>
      <c r="AI4" s="3">
        <v>106359.91</v>
      </c>
      <c r="AJ4" s="3">
        <v>-1.4017999999999999E-2</v>
      </c>
      <c r="AK4" s="3">
        <v>12952000</v>
      </c>
      <c r="AL4" s="3">
        <v>5.8616000000000001</v>
      </c>
      <c r="AM4" s="2">
        <v>46197</v>
      </c>
      <c r="AN4" s="3">
        <v>54010</v>
      </c>
      <c r="AO4" s="3">
        <v>1167653722674</v>
      </c>
      <c r="AP4" s="3">
        <v>54014.47</v>
      </c>
      <c r="AQ4" s="3">
        <v>-8.2760000000000004E-3</v>
      </c>
      <c r="AR4" s="3">
        <v>21622000</v>
      </c>
      <c r="AS4" s="2">
        <v>46197</v>
      </c>
      <c r="AT4" s="3">
        <v>51075</v>
      </c>
      <c r="AU4" s="3">
        <v>405381562400</v>
      </c>
      <c r="AV4" s="3">
        <v>51064.02</v>
      </c>
      <c r="AW4" s="3">
        <v>-7.8720000000000005E-3</v>
      </c>
      <c r="AX4" s="3">
        <v>7938000</v>
      </c>
      <c r="AY4" s="2">
        <v>46197</v>
      </c>
      <c r="AZ4" s="3">
        <v>103230</v>
      </c>
      <c r="BA4" s="3">
        <v>2205422646363</v>
      </c>
      <c r="BB4" s="3">
        <v>103033.48</v>
      </c>
      <c r="BC4" s="3">
        <v>-3.3779999999999999E-3</v>
      </c>
      <c r="BD4" s="3">
        <v>21352000</v>
      </c>
      <c r="BE4" s="3">
        <v>5.6256000000000004</v>
      </c>
      <c r="BF4" s="2">
        <v>46197</v>
      </c>
      <c r="BG4" s="3">
        <v>49975</v>
      </c>
      <c r="BH4" s="3">
        <v>36909571802</v>
      </c>
      <c r="BI4" s="3">
        <v>49999.34</v>
      </c>
      <c r="BJ4" s="3">
        <v>-4.8681000000000002E-2</v>
      </c>
      <c r="BK4" s="3">
        <v>738000</v>
      </c>
      <c r="BL4" s="2">
        <v>46197</v>
      </c>
      <c r="BM4" s="3">
        <v>114705</v>
      </c>
      <c r="BN4" s="3">
        <v>553258330974</v>
      </c>
      <c r="BO4" s="3">
        <v>114758.94</v>
      </c>
      <c r="BP4" s="3">
        <v>-9.0572E-2</v>
      </c>
      <c r="BQ4" s="3">
        <v>4821000</v>
      </c>
    </row>
    <row r="5" spans="1:69" ht="13.5" customHeight="1" x14ac:dyDescent="0.3">
      <c r="A5" s="2">
        <v>46196</v>
      </c>
      <c r="B5" s="3">
        <v>110220</v>
      </c>
      <c r="C5" s="3">
        <v>4118299374548</v>
      </c>
      <c r="D5" s="3">
        <v>110316.95</v>
      </c>
      <c r="E5" s="3">
        <v>-0.06</v>
      </c>
      <c r="F5" s="3">
        <v>37356000</v>
      </c>
      <c r="G5" s="3">
        <v>5.9032999999999998</v>
      </c>
      <c r="H5" s="2">
        <v>46196</v>
      </c>
      <c r="I5" s="3">
        <v>87650</v>
      </c>
      <c r="J5" s="3">
        <v>281438357882</v>
      </c>
      <c r="K5" s="3">
        <v>87821.91</v>
      </c>
      <c r="L5" s="3">
        <v>-0.28000000000000003</v>
      </c>
      <c r="M5" s="3">
        <v>3208000</v>
      </c>
      <c r="N5" s="2">
        <v>46196</v>
      </c>
      <c r="O5" s="3">
        <v>91180</v>
      </c>
      <c r="P5" s="3">
        <v>389453634025</v>
      </c>
      <c r="Q5" s="3">
        <v>91150.16</v>
      </c>
      <c r="R5" s="3">
        <v>-0.35</v>
      </c>
      <c r="S5" s="3">
        <v>4272000</v>
      </c>
      <c r="T5" s="2">
        <v>46196</v>
      </c>
      <c r="U5" s="3">
        <v>98380</v>
      </c>
      <c r="V5" s="3">
        <v>106166835847</v>
      </c>
      <c r="W5" s="3">
        <v>98746.97</v>
      </c>
      <c r="X5" s="3">
        <v>-0.15</v>
      </c>
      <c r="Y5" s="3">
        <v>1078000</v>
      </c>
      <c r="Z5" s="2">
        <v>46196</v>
      </c>
      <c r="AA5" s="3">
        <v>99775</v>
      </c>
      <c r="AB5" s="3">
        <v>73667694472</v>
      </c>
      <c r="AC5" s="3">
        <v>99953.76</v>
      </c>
      <c r="AD5" s="3">
        <v>0.02</v>
      </c>
      <c r="AE5" s="3">
        <v>738000</v>
      </c>
      <c r="AF5" s="2">
        <v>46196</v>
      </c>
      <c r="AG5" s="3">
        <v>106460</v>
      </c>
      <c r="AH5" s="3">
        <v>1357128855658</v>
      </c>
      <c r="AI5" s="3">
        <v>106596.21</v>
      </c>
      <c r="AJ5" s="3">
        <v>-0.25</v>
      </c>
      <c r="AK5" s="3">
        <v>12743000</v>
      </c>
      <c r="AL5" s="3">
        <v>5.8769</v>
      </c>
      <c r="AM5" s="2">
        <v>46196</v>
      </c>
      <c r="AN5" s="3">
        <v>54010</v>
      </c>
      <c r="AO5" s="3">
        <v>1164324165373</v>
      </c>
      <c r="AP5" s="3">
        <v>54003.040000000001</v>
      </c>
      <c r="AQ5" s="3">
        <v>0.01</v>
      </c>
      <c r="AR5" s="3">
        <v>21562000</v>
      </c>
      <c r="AS5" s="2">
        <v>46196</v>
      </c>
      <c r="AT5" s="3">
        <v>51060</v>
      </c>
      <c r="AU5" s="3">
        <v>405253690956</v>
      </c>
      <c r="AV5" s="3">
        <v>51068.480000000003</v>
      </c>
      <c r="AW5" s="3">
        <v>0.01</v>
      </c>
      <c r="AX5" s="3">
        <v>7938000</v>
      </c>
      <c r="AY5" s="2">
        <v>46196</v>
      </c>
      <c r="AZ5" s="3">
        <v>103165</v>
      </c>
      <c r="BA5" s="3">
        <v>2182859800821</v>
      </c>
      <c r="BB5" s="3">
        <v>103288.81</v>
      </c>
      <c r="BC5" s="3">
        <v>-0.06</v>
      </c>
      <c r="BD5" s="3">
        <v>21151000</v>
      </c>
      <c r="BE5" s="3">
        <v>5.6402000000000001</v>
      </c>
      <c r="BF5" s="2">
        <v>46196</v>
      </c>
      <c r="BG5" s="3">
        <v>49945</v>
      </c>
      <c r="BH5" s="3">
        <v>36872644593</v>
      </c>
      <c r="BI5" s="3">
        <v>50012.97</v>
      </c>
      <c r="BJ5" s="3">
        <v>-0.08</v>
      </c>
      <c r="BK5" s="3">
        <v>738000</v>
      </c>
      <c r="BL5" s="2">
        <v>46196</v>
      </c>
      <c r="BM5" s="3">
        <v>114585</v>
      </c>
      <c r="BN5" s="3">
        <v>559867089965</v>
      </c>
      <c r="BO5" s="3">
        <v>114760.08</v>
      </c>
      <c r="BP5" s="3">
        <v>-0.05</v>
      </c>
      <c r="BQ5" s="3">
        <v>4883000</v>
      </c>
    </row>
    <row r="6" spans="1:69" ht="13.5" customHeight="1" x14ac:dyDescent="0.3">
      <c r="A6" s="2">
        <v>46195</v>
      </c>
      <c r="B6" s="3">
        <v>110380</v>
      </c>
      <c r="C6" s="3">
        <v>4087711238669</v>
      </c>
      <c r="D6" s="3">
        <v>110244.66</v>
      </c>
      <c r="E6" s="3">
        <v>-0.02</v>
      </c>
      <c r="F6" s="3">
        <v>37018000</v>
      </c>
      <c r="G6" s="3">
        <v>5.9195000000000002</v>
      </c>
      <c r="H6" s="2">
        <v>46195</v>
      </c>
      <c r="I6" s="3">
        <v>87975</v>
      </c>
      <c r="J6" s="3">
        <v>282419721184</v>
      </c>
      <c r="K6" s="3">
        <v>87730.16</v>
      </c>
      <c r="L6" s="3">
        <v>-0.09</v>
      </c>
      <c r="M6" s="3">
        <v>3208000</v>
      </c>
      <c r="N6" s="2">
        <v>46195</v>
      </c>
      <c r="O6" s="3">
        <v>91815</v>
      </c>
      <c r="P6" s="3">
        <v>392349402416</v>
      </c>
      <c r="Q6" s="3">
        <v>91164.24</v>
      </c>
      <c r="R6" s="3">
        <v>0.02</v>
      </c>
      <c r="S6" s="3">
        <v>4274000</v>
      </c>
      <c r="T6" s="2">
        <v>46195</v>
      </c>
      <c r="U6" s="3">
        <v>98485</v>
      </c>
      <c r="V6" s="3">
        <v>106236478383</v>
      </c>
      <c r="W6" s="3">
        <v>98485.01</v>
      </c>
      <c r="X6" s="3">
        <v>-0.11</v>
      </c>
      <c r="Y6" s="3">
        <v>1078000</v>
      </c>
      <c r="Z6" s="2">
        <v>46195</v>
      </c>
      <c r="AA6" s="3">
        <v>99915</v>
      </c>
      <c r="AB6" s="3">
        <v>73712348860</v>
      </c>
      <c r="AC6" s="3">
        <v>99820.72</v>
      </c>
      <c r="AD6" s="3">
        <v>-0.05</v>
      </c>
      <c r="AE6" s="3">
        <v>738000</v>
      </c>
      <c r="AF6" s="2">
        <v>46195</v>
      </c>
      <c r="AG6" s="3">
        <v>106720</v>
      </c>
      <c r="AH6" s="3">
        <v>1346438398827</v>
      </c>
      <c r="AI6" s="3">
        <v>106499.95</v>
      </c>
      <c r="AJ6" s="3">
        <v>-0.04</v>
      </c>
      <c r="AK6" s="3">
        <v>12621000</v>
      </c>
      <c r="AL6" s="3">
        <v>5.8772000000000002</v>
      </c>
      <c r="AM6" s="2">
        <v>46195</v>
      </c>
      <c r="AN6" s="3">
        <v>54010</v>
      </c>
      <c r="AO6" s="3">
        <v>1156024200989</v>
      </c>
      <c r="AP6" s="3">
        <v>53998.89</v>
      </c>
      <c r="AQ6" s="3">
        <v>0.02</v>
      </c>
      <c r="AR6" s="3">
        <v>21410000</v>
      </c>
      <c r="AS6" s="2">
        <v>46195</v>
      </c>
      <c r="AT6" s="3">
        <v>51080</v>
      </c>
      <c r="AU6" s="3">
        <v>405549883061</v>
      </c>
      <c r="AV6" s="3">
        <v>51052.37</v>
      </c>
      <c r="AW6" s="3">
        <v>0.01</v>
      </c>
      <c r="AX6" s="3">
        <v>7942000</v>
      </c>
      <c r="AY6" s="2">
        <v>46195</v>
      </c>
      <c r="AZ6" s="3">
        <v>103360</v>
      </c>
      <c r="BA6" s="3">
        <v>2182852294457</v>
      </c>
      <c r="BB6" s="3">
        <v>103203.62</v>
      </c>
      <c r="BC6" s="3">
        <v>-0.04</v>
      </c>
      <c r="BD6" s="3">
        <v>21114000</v>
      </c>
      <c r="BE6" s="3">
        <v>5.6414999999999997</v>
      </c>
      <c r="BF6" s="2">
        <v>46195</v>
      </c>
      <c r="BG6" s="3">
        <v>50010</v>
      </c>
      <c r="BH6" s="3">
        <v>36890522655</v>
      </c>
      <c r="BI6" s="3">
        <v>49962.93</v>
      </c>
      <c r="BJ6" s="3">
        <v>-0.04</v>
      </c>
      <c r="BK6" s="3">
        <v>738000</v>
      </c>
      <c r="BL6" s="2">
        <v>46195</v>
      </c>
      <c r="BM6" s="3">
        <v>114700</v>
      </c>
      <c r="BN6" s="3">
        <v>560130097397</v>
      </c>
      <c r="BO6" s="3">
        <v>114656.38</v>
      </c>
      <c r="BP6" s="3">
        <v>-0.06</v>
      </c>
      <c r="BQ6" s="3">
        <v>4881000</v>
      </c>
    </row>
    <row r="7" spans="1:69" ht="13.5" customHeight="1" x14ac:dyDescent="0.3">
      <c r="A7" s="2">
        <v>46192</v>
      </c>
      <c r="B7" s="3">
        <v>110725</v>
      </c>
      <c r="C7" s="3">
        <v>4114243500486</v>
      </c>
      <c r="D7" s="3">
        <v>110424.96000000001</v>
      </c>
      <c r="E7" s="3">
        <v>-0.04</v>
      </c>
      <c r="F7" s="3">
        <v>37180000</v>
      </c>
      <c r="G7" s="3">
        <v>5.8395000000000001</v>
      </c>
      <c r="H7" s="2">
        <v>46192</v>
      </c>
      <c r="I7" s="3">
        <v>88725</v>
      </c>
      <c r="J7" s="3">
        <v>283749430596</v>
      </c>
      <c r="K7" s="3">
        <v>88036.07</v>
      </c>
      <c r="L7" s="3">
        <v>-7.0000000000000007E-2</v>
      </c>
      <c r="M7" s="3">
        <v>3208000</v>
      </c>
      <c r="N7" s="2">
        <v>46192</v>
      </c>
      <c r="O7" s="3">
        <v>92715</v>
      </c>
      <c r="P7" s="3">
        <v>395628709801</v>
      </c>
      <c r="Q7" s="3">
        <v>91799.11</v>
      </c>
      <c r="R7" s="3">
        <v>0.02</v>
      </c>
      <c r="S7" s="3">
        <v>4274000</v>
      </c>
      <c r="T7" s="2">
        <v>46192</v>
      </c>
      <c r="U7" s="3">
        <v>99000</v>
      </c>
      <c r="V7" s="3">
        <v>106639132746</v>
      </c>
      <c r="W7" s="3">
        <v>98549.61</v>
      </c>
      <c r="X7" s="3">
        <v>-7.0000000000000007E-2</v>
      </c>
      <c r="Y7" s="3">
        <v>1078000</v>
      </c>
      <c r="Z7" s="2">
        <v>46192</v>
      </c>
      <c r="AA7" s="3">
        <v>100000</v>
      </c>
      <c r="AB7" s="3">
        <v>73774147003</v>
      </c>
      <c r="AC7" s="3">
        <v>99881.23</v>
      </c>
      <c r="AD7" s="3">
        <v>0.03</v>
      </c>
      <c r="AE7" s="3">
        <v>738000</v>
      </c>
      <c r="AF7" s="2">
        <v>46192</v>
      </c>
      <c r="AG7" s="3">
        <v>107060</v>
      </c>
      <c r="AH7" s="3">
        <v>1340539030525</v>
      </c>
      <c r="AI7" s="3">
        <v>106682.39</v>
      </c>
      <c r="AJ7" s="3">
        <v>0.04</v>
      </c>
      <c r="AK7" s="3">
        <v>12536000</v>
      </c>
      <c r="AL7" s="3">
        <v>5.8735999999999997</v>
      </c>
      <c r="AM7" s="2">
        <v>46192</v>
      </c>
      <c r="AN7" s="3">
        <v>54000</v>
      </c>
      <c r="AO7" s="3">
        <v>1152499605762</v>
      </c>
      <c r="AP7" s="3">
        <v>53994.59</v>
      </c>
      <c r="AQ7" s="3">
        <v>0.03</v>
      </c>
      <c r="AR7" s="3">
        <v>21350000</v>
      </c>
      <c r="AS7" s="2">
        <v>46192</v>
      </c>
      <c r="AT7" s="3">
        <v>51090</v>
      </c>
      <c r="AU7" s="3">
        <v>405605197205</v>
      </c>
      <c r="AV7" s="3">
        <v>51063.95</v>
      </c>
      <c r="AW7" s="3">
        <v>0.03</v>
      </c>
      <c r="AX7" s="3">
        <v>7942000</v>
      </c>
      <c r="AY7" s="2">
        <v>46192</v>
      </c>
      <c r="AZ7" s="3">
        <v>103725</v>
      </c>
      <c r="BA7" s="3">
        <v>2204799557577</v>
      </c>
      <c r="BB7" s="3">
        <v>103384.12</v>
      </c>
      <c r="BC7" s="3">
        <v>-0.02</v>
      </c>
      <c r="BD7" s="3">
        <v>21275000</v>
      </c>
      <c r="BE7" s="3">
        <v>5.6776</v>
      </c>
      <c r="BF7" s="2">
        <v>46192</v>
      </c>
      <c r="BG7" s="3">
        <v>50045</v>
      </c>
      <c r="BH7" s="3">
        <v>34912137298</v>
      </c>
      <c r="BI7" s="3">
        <v>49987.16</v>
      </c>
      <c r="BJ7" s="3">
        <v>0.05</v>
      </c>
      <c r="BK7" s="3">
        <v>698000</v>
      </c>
      <c r="BL7" s="2">
        <v>46192</v>
      </c>
      <c r="BM7" s="3">
        <v>114825</v>
      </c>
      <c r="BN7" s="3">
        <v>561646513997</v>
      </c>
      <c r="BO7" s="3">
        <v>114757.24</v>
      </c>
      <c r="BP7" s="3">
        <v>-0.05</v>
      </c>
      <c r="BQ7" s="3">
        <v>4891000</v>
      </c>
    </row>
    <row r="8" spans="1:69" ht="13.5" customHeight="1" x14ac:dyDescent="0.3">
      <c r="A8" s="2">
        <v>46191</v>
      </c>
      <c r="B8" s="3">
        <v>110885</v>
      </c>
      <c r="C8" s="3">
        <v>4103493098940</v>
      </c>
      <c r="D8" s="3">
        <v>110657.44</v>
      </c>
      <c r="E8" s="3">
        <v>0.06</v>
      </c>
      <c r="F8" s="3">
        <v>36993000</v>
      </c>
      <c r="G8" s="3">
        <v>5.8392999999999997</v>
      </c>
      <c r="H8" s="2">
        <v>46191</v>
      </c>
      <c r="I8" s="3">
        <v>88710</v>
      </c>
      <c r="J8" s="3">
        <v>285243513344</v>
      </c>
      <c r="K8" s="3">
        <v>88450.57</v>
      </c>
      <c r="L8" s="3">
        <v>0.31</v>
      </c>
      <c r="M8" s="3">
        <v>3208000</v>
      </c>
      <c r="N8" s="2">
        <v>46191</v>
      </c>
      <c r="O8" s="3">
        <v>93005</v>
      </c>
      <c r="P8" s="3">
        <v>399044863199</v>
      </c>
      <c r="Q8" s="3">
        <v>92566.38</v>
      </c>
      <c r="R8" s="3">
        <v>0.16</v>
      </c>
      <c r="S8" s="3">
        <v>4274000</v>
      </c>
      <c r="T8" s="2">
        <v>46191</v>
      </c>
      <c r="U8" s="3">
        <v>99220</v>
      </c>
      <c r="V8" s="3">
        <v>106767892372</v>
      </c>
      <c r="W8" s="3">
        <v>98923.13</v>
      </c>
      <c r="X8" s="3">
        <v>0.08</v>
      </c>
      <c r="Y8" s="3">
        <v>1075000</v>
      </c>
      <c r="Z8" s="2">
        <v>46191</v>
      </c>
      <c r="AA8" s="3">
        <v>100030</v>
      </c>
      <c r="AB8" s="3">
        <v>74881307699</v>
      </c>
      <c r="AC8" s="3">
        <v>99964.97</v>
      </c>
      <c r="AD8" s="3">
        <v>0.04</v>
      </c>
      <c r="AE8" s="3">
        <v>748000</v>
      </c>
      <c r="AF8" s="2">
        <v>46191</v>
      </c>
      <c r="AG8" s="3">
        <v>107150</v>
      </c>
      <c r="AH8" s="3">
        <v>1324333026659</v>
      </c>
      <c r="AI8" s="3">
        <v>106935.15</v>
      </c>
      <c r="AJ8" s="3">
        <v>0.12</v>
      </c>
      <c r="AK8" s="3">
        <v>12351000</v>
      </c>
      <c r="AL8" s="3">
        <v>6.0144000000000002</v>
      </c>
      <c r="AM8" s="2">
        <v>46191</v>
      </c>
      <c r="AN8" s="3">
        <v>53980</v>
      </c>
      <c r="AO8" s="3">
        <v>1174865160907</v>
      </c>
      <c r="AP8" s="3">
        <v>53981.25</v>
      </c>
      <c r="AQ8" s="3">
        <v>0.03</v>
      </c>
      <c r="AR8" s="3">
        <v>21766000</v>
      </c>
      <c r="AS8" s="2">
        <v>46191</v>
      </c>
      <c r="AT8" s="3">
        <v>51085</v>
      </c>
      <c r="AU8" s="3">
        <v>407826819504</v>
      </c>
      <c r="AV8" s="3">
        <v>51070.91</v>
      </c>
      <c r="AW8" s="3">
        <v>0.04</v>
      </c>
      <c r="AX8" s="3">
        <v>7982000</v>
      </c>
      <c r="AY8" s="2">
        <v>46191</v>
      </c>
      <c r="AZ8" s="3">
        <v>103815</v>
      </c>
      <c r="BA8" s="3">
        <v>2172769690454</v>
      </c>
      <c r="BB8" s="3">
        <v>103633.35</v>
      </c>
      <c r="BC8" s="3">
        <v>0.09</v>
      </c>
      <c r="BD8" s="3">
        <v>20909000</v>
      </c>
      <c r="BE8" s="3">
        <v>5.7393999999999998</v>
      </c>
      <c r="BF8" s="2">
        <v>46191</v>
      </c>
      <c r="BG8" s="3">
        <v>50055</v>
      </c>
      <c r="BH8" s="3">
        <v>34953615732</v>
      </c>
      <c r="BI8" s="3">
        <v>50017.39</v>
      </c>
      <c r="BJ8" s="3">
        <v>0.06</v>
      </c>
      <c r="BK8" s="3">
        <v>698000</v>
      </c>
      <c r="BL8" s="2">
        <v>46191</v>
      </c>
      <c r="BM8" s="3">
        <v>114950</v>
      </c>
      <c r="BN8" s="3">
        <v>564716957606</v>
      </c>
      <c r="BO8" s="3">
        <v>114832.65</v>
      </c>
      <c r="BP8" s="3">
        <v>-0.01</v>
      </c>
      <c r="BQ8" s="3">
        <v>4911000</v>
      </c>
    </row>
    <row r="9" spans="1:69" ht="13.5" customHeight="1" x14ac:dyDescent="0.3">
      <c r="A9" s="2">
        <v>46190</v>
      </c>
      <c r="B9" s="3">
        <v>110730</v>
      </c>
      <c r="C9" s="3">
        <v>4094982077589</v>
      </c>
      <c r="D9" s="3">
        <v>110926.2</v>
      </c>
      <c r="E9" s="3">
        <v>-0.04</v>
      </c>
      <c r="F9" s="3">
        <v>37005000</v>
      </c>
      <c r="G9" s="3">
        <v>5.8102999999999998</v>
      </c>
      <c r="H9" s="2">
        <v>46190</v>
      </c>
      <c r="I9" s="3">
        <v>88360</v>
      </c>
      <c r="J9" s="3">
        <v>283711723454</v>
      </c>
      <c r="K9" s="3">
        <v>88916.31</v>
      </c>
      <c r="L9" s="3">
        <v>-0.23</v>
      </c>
      <c r="M9" s="3">
        <v>3208000</v>
      </c>
      <c r="N9" s="2">
        <v>46190</v>
      </c>
      <c r="O9" s="3">
        <v>92495</v>
      </c>
      <c r="P9" s="3">
        <v>394510540654</v>
      </c>
      <c r="Q9" s="3">
        <v>93365.67</v>
      </c>
      <c r="R9" s="3">
        <v>-0.39</v>
      </c>
      <c r="S9" s="3">
        <v>4274000</v>
      </c>
      <c r="T9" s="2">
        <v>46190</v>
      </c>
      <c r="U9" s="3">
        <v>98695</v>
      </c>
      <c r="V9" s="3">
        <v>106391406120</v>
      </c>
      <c r="W9" s="3">
        <v>99318.97</v>
      </c>
      <c r="X9" s="3">
        <v>-0.1</v>
      </c>
      <c r="Y9" s="3">
        <v>1075000</v>
      </c>
      <c r="Z9" s="2">
        <v>46190</v>
      </c>
      <c r="AA9" s="3">
        <v>100040</v>
      </c>
      <c r="AB9" s="3">
        <v>74831397213</v>
      </c>
      <c r="AC9" s="3">
        <v>100108.7</v>
      </c>
      <c r="AD9" s="3">
        <v>-0.08</v>
      </c>
      <c r="AE9" s="3">
        <v>748000</v>
      </c>
      <c r="AF9" s="2">
        <v>46190</v>
      </c>
      <c r="AG9" s="3">
        <v>106965</v>
      </c>
      <c r="AH9" s="3">
        <v>1318800351074</v>
      </c>
      <c r="AI9" s="3">
        <v>107224.76</v>
      </c>
      <c r="AJ9" s="3">
        <v>-7.0000000000000007E-2</v>
      </c>
      <c r="AK9" s="3">
        <v>12332000</v>
      </c>
      <c r="AL9" s="3">
        <v>6.0339999999999998</v>
      </c>
      <c r="AM9" s="2">
        <v>46190</v>
      </c>
      <c r="AN9" s="3">
        <v>53980</v>
      </c>
      <c r="AO9" s="3">
        <v>1174760512629</v>
      </c>
      <c r="AP9" s="3">
        <v>53977.08</v>
      </c>
      <c r="AQ9" s="3">
        <v>0.01</v>
      </c>
      <c r="AR9" s="3">
        <v>21766000</v>
      </c>
      <c r="AS9" s="2">
        <v>46190</v>
      </c>
      <c r="AT9" s="3">
        <v>51080</v>
      </c>
      <c r="AU9" s="3">
        <v>407842338724</v>
      </c>
      <c r="AV9" s="3">
        <v>51093.31</v>
      </c>
      <c r="AW9" s="3">
        <v>-0.02</v>
      </c>
      <c r="AX9" s="3">
        <v>7984000</v>
      </c>
      <c r="AY9" s="2">
        <v>46190</v>
      </c>
      <c r="AZ9" s="3">
        <v>103670</v>
      </c>
      <c r="BA9" s="3">
        <v>2163514152815</v>
      </c>
      <c r="BB9" s="3">
        <v>103915.52</v>
      </c>
      <c r="BC9" s="3">
        <v>-0.1</v>
      </c>
      <c r="BD9" s="3">
        <v>20875000</v>
      </c>
      <c r="BE9" s="3">
        <v>5.7206000000000001</v>
      </c>
      <c r="BF9" s="2">
        <v>46190</v>
      </c>
      <c r="BG9" s="3">
        <v>50010</v>
      </c>
      <c r="BH9" s="3">
        <v>34935376670</v>
      </c>
      <c r="BI9" s="3">
        <v>50076.81</v>
      </c>
      <c r="BJ9" s="3">
        <v>-0.04</v>
      </c>
      <c r="BK9" s="3">
        <v>698000</v>
      </c>
      <c r="BL9" s="2">
        <v>46190</v>
      </c>
      <c r="BM9" s="3">
        <v>114965</v>
      </c>
      <c r="BN9" s="3">
        <v>564202020935</v>
      </c>
      <c r="BO9" s="3">
        <v>114990.22</v>
      </c>
      <c r="BP9" s="3">
        <v>-0.03</v>
      </c>
      <c r="BQ9" s="3">
        <v>4908000</v>
      </c>
    </row>
    <row r="10" spans="1:69" ht="13.5" customHeight="1" x14ac:dyDescent="0.3">
      <c r="A10" s="2">
        <v>46189</v>
      </c>
      <c r="B10" s="3">
        <v>110725</v>
      </c>
      <c r="C10" s="3">
        <v>4104984026229</v>
      </c>
      <c r="D10" s="3">
        <v>110660.24</v>
      </c>
      <c r="E10" s="3">
        <v>0.06</v>
      </c>
      <c r="F10" s="3">
        <v>37078000</v>
      </c>
      <c r="G10" s="3">
        <v>5.8651999999999997</v>
      </c>
      <c r="H10" s="2">
        <v>46189</v>
      </c>
      <c r="I10" s="3">
        <v>88690</v>
      </c>
      <c r="J10" s="3">
        <v>284111576178</v>
      </c>
      <c r="K10" s="3">
        <v>88438.82</v>
      </c>
      <c r="L10" s="3">
        <v>-0.09</v>
      </c>
      <c r="M10" s="3">
        <v>3208000</v>
      </c>
      <c r="N10" s="2">
        <v>46189</v>
      </c>
      <c r="O10" s="3">
        <v>92775</v>
      </c>
      <c r="P10" s="3">
        <v>402688068058</v>
      </c>
      <c r="Q10" s="3">
        <v>92304.76</v>
      </c>
      <c r="R10" s="3">
        <v>0.21</v>
      </c>
      <c r="S10" s="3">
        <v>4343000</v>
      </c>
      <c r="T10" s="2">
        <v>46189</v>
      </c>
      <c r="U10" s="3">
        <v>99080</v>
      </c>
      <c r="V10" s="3">
        <v>106571075472</v>
      </c>
      <c r="W10" s="3">
        <v>98968.75</v>
      </c>
      <c r="X10" s="3">
        <v>-0.28000000000000003</v>
      </c>
      <c r="Y10" s="3">
        <v>1078000</v>
      </c>
      <c r="Z10" s="2">
        <v>46189</v>
      </c>
      <c r="AA10" s="3">
        <v>100015</v>
      </c>
      <c r="AB10" s="3">
        <v>74677646631</v>
      </c>
      <c r="AC10" s="3">
        <v>100041.97</v>
      </c>
      <c r="AD10" s="3">
        <v>0</v>
      </c>
      <c r="AE10" s="3">
        <v>747000</v>
      </c>
      <c r="AF10" s="2">
        <v>46189</v>
      </c>
      <c r="AG10" s="3">
        <v>107075</v>
      </c>
      <c r="AH10" s="3">
        <v>1306835864425</v>
      </c>
      <c r="AI10" s="3">
        <v>106941.32</v>
      </c>
      <c r="AJ10" s="3">
        <v>0.02</v>
      </c>
      <c r="AK10" s="3">
        <v>12215000</v>
      </c>
      <c r="AL10" s="3">
        <v>6.0856000000000003</v>
      </c>
      <c r="AM10" s="2">
        <v>46189</v>
      </c>
      <c r="AN10" s="3">
        <v>53975</v>
      </c>
      <c r="AO10" s="3">
        <v>1174249728495</v>
      </c>
      <c r="AP10" s="3">
        <v>53972.27</v>
      </c>
      <c r="AQ10" s="3">
        <v>0.01</v>
      </c>
      <c r="AR10" s="3">
        <v>21758000</v>
      </c>
      <c r="AS10" s="2">
        <v>46189</v>
      </c>
      <c r="AT10" s="3">
        <v>51065</v>
      </c>
      <c r="AU10" s="3">
        <v>407913367809</v>
      </c>
      <c r="AV10" s="3">
        <v>51082.46</v>
      </c>
      <c r="AW10" s="3">
        <v>0</v>
      </c>
      <c r="AX10" s="3">
        <v>7988000</v>
      </c>
      <c r="AY10" s="2">
        <v>46189</v>
      </c>
      <c r="AZ10" s="3">
        <v>103755</v>
      </c>
      <c r="BA10" s="3">
        <v>2159205179638</v>
      </c>
      <c r="BB10" s="3">
        <v>103641.4</v>
      </c>
      <c r="BC10" s="3">
        <v>0.03</v>
      </c>
      <c r="BD10" s="3">
        <v>20825000</v>
      </c>
      <c r="BE10" s="3">
        <v>5.7523999999999997</v>
      </c>
      <c r="BF10" s="2">
        <v>46189</v>
      </c>
      <c r="BG10" s="3">
        <v>50015</v>
      </c>
      <c r="BH10" s="3">
        <v>34915463138</v>
      </c>
      <c r="BI10" s="3">
        <v>50050.68</v>
      </c>
      <c r="BJ10" s="3">
        <v>-0.08</v>
      </c>
      <c r="BK10" s="3">
        <v>698000</v>
      </c>
      <c r="BL10" s="2">
        <v>46189</v>
      </c>
      <c r="BM10" s="3">
        <v>114905</v>
      </c>
      <c r="BN10" s="3">
        <v>563551762502</v>
      </c>
      <c r="BO10" s="3">
        <v>114955.59</v>
      </c>
      <c r="BP10" s="3">
        <v>0.01</v>
      </c>
      <c r="BQ10" s="3">
        <v>4905000</v>
      </c>
    </row>
    <row r="11" spans="1:69" ht="13.5" customHeight="1" x14ac:dyDescent="0.3">
      <c r="A11" s="2">
        <v>46188</v>
      </c>
      <c r="B11" s="3">
        <v>110395</v>
      </c>
      <c r="C11" s="3">
        <v>4183663764148</v>
      </c>
      <c r="D11" s="3">
        <v>110712.12</v>
      </c>
      <c r="E11" s="3">
        <v>0.01</v>
      </c>
      <c r="F11" s="3">
        <v>37875000</v>
      </c>
      <c r="G11" s="3">
        <v>5.8535000000000004</v>
      </c>
      <c r="H11" s="2">
        <v>46188</v>
      </c>
      <c r="I11" s="3">
        <v>87950</v>
      </c>
      <c r="J11" s="3">
        <v>283735141320</v>
      </c>
      <c r="K11" s="3">
        <v>88563.46</v>
      </c>
      <c r="L11" s="3">
        <v>0.14000000000000001</v>
      </c>
      <c r="M11" s="3">
        <v>3218000</v>
      </c>
      <c r="N11" s="2">
        <v>46188</v>
      </c>
      <c r="O11" s="3">
        <v>91680</v>
      </c>
      <c r="P11" s="3">
        <v>405437176184</v>
      </c>
      <c r="Q11" s="3">
        <v>92721.18</v>
      </c>
      <c r="R11" s="3">
        <v>0.06</v>
      </c>
      <c r="S11" s="3">
        <v>4405000</v>
      </c>
      <c r="T11" s="2">
        <v>46188</v>
      </c>
      <c r="U11" s="3">
        <v>98365</v>
      </c>
      <c r="V11" s="3">
        <v>106061800434</v>
      </c>
      <c r="W11" s="3">
        <v>98860</v>
      </c>
      <c r="X11" s="3">
        <v>0.22</v>
      </c>
      <c r="Y11" s="3">
        <v>1077000</v>
      </c>
      <c r="Z11" s="2">
        <v>46188</v>
      </c>
      <c r="AA11" s="3">
        <v>99770</v>
      </c>
      <c r="AB11" s="3">
        <v>74170935602</v>
      </c>
      <c r="AC11" s="3">
        <v>99970.08</v>
      </c>
      <c r="AD11" s="3">
        <v>0.04</v>
      </c>
      <c r="AE11" s="3">
        <v>743000</v>
      </c>
      <c r="AF11" s="2">
        <v>46188</v>
      </c>
      <c r="AG11" s="3">
        <v>106520</v>
      </c>
      <c r="AH11" s="3">
        <v>1313742245615</v>
      </c>
      <c r="AI11" s="3">
        <v>106986.15</v>
      </c>
      <c r="AJ11" s="3">
        <v>0.08</v>
      </c>
      <c r="AK11" s="3">
        <v>12310000</v>
      </c>
      <c r="AL11" s="3">
        <v>6.0491999999999999</v>
      </c>
      <c r="AM11" s="2">
        <v>46188</v>
      </c>
      <c r="AN11" s="3">
        <v>53970</v>
      </c>
      <c r="AO11" s="3">
        <v>1174367382010</v>
      </c>
      <c r="AP11" s="3">
        <v>53968.639999999999</v>
      </c>
      <c r="AQ11" s="3">
        <v>0.01</v>
      </c>
      <c r="AR11" s="3">
        <v>21762000</v>
      </c>
      <c r="AS11" s="2">
        <v>46188</v>
      </c>
      <c r="AT11" s="3">
        <v>51000</v>
      </c>
      <c r="AU11" s="3">
        <v>411225287046</v>
      </c>
      <c r="AV11" s="3">
        <v>51065.77</v>
      </c>
      <c r="AW11" s="3">
        <v>0</v>
      </c>
      <c r="AX11" s="3">
        <v>8058000</v>
      </c>
      <c r="AY11" s="2">
        <v>46188</v>
      </c>
      <c r="AZ11" s="3">
        <v>103265</v>
      </c>
      <c r="BA11" s="3">
        <v>2158472332161</v>
      </c>
      <c r="BB11" s="3">
        <v>103683.32</v>
      </c>
      <c r="BC11" s="3">
        <v>7.0000000000000007E-2</v>
      </c>
      <c r="BD11" s="3">
        <v>20869000</v>
      </c>
      <c r="BE11" s="3">
        <v>5.6920999999999999</v>
      </c>
      <c r="BF11" s="2">
        <v>46188</v>
      </c>
      <c r="BG11" s="3">
        <v>49960</v>
      </c>
      <c r="BH11" s="3">
        <v>34873235253</v>
      </c>
      <c r="BI11" s="3">
        <v>50022.15</v>
      </c>
      <c r="BJ11" s="3">
        <v>-0.01</v>
      </c>
      <c r="BK11" s="3">
        <v>698000</v>
      </c>
      <c r="BL11" s="2">
        <v>46188</v>
      </c>
      <c r="BM11" s="3">
        <v>114780</v>
      </c>
      <c r="BN11" s="3">
        <v>562821067228</v>
      </c>
      <c r="BO11" s="3">
        <v>114893.33</v>
      </c>
      <c r="BP11" s="3">
        <v>0.01</v>
      </c>
      <c r="BQ11" s="3">
        <v>4905000</v>
      </c>
    </row>
    <row r="12" spans="1:69" ht="13.5" customHeight="1" x14ac:dyDescent="0.3">
      <c r="A12" s="2">
        <v>46185</v>
      </c>
      <c r="B12" s="3">
        <v>109860</v>
      </c>
      <c r="C12" s="3">
        <v>4231996534580</v>
      </c>
      <c r="D12" s="3">
        <v>110459.77</v>
      </c>
      <c r="E12" s="3">
        <v>-0.06</v>
      </c>
      <c r="F12" s="3">
        <v>38550000</v>
      </c>
      <c r="G12" s="3">
        <v>5.7241999999999997</v>
      </c>
      <c r="H12" s="2">
        <v>46185</v>
      </c>
      <c r="I12" s="3">
        <v>87300</v>
      </c>
      <c r="J12" s="3">
        <v>279854684703</v>
      </c>
      <c r="K12" s="3">
        <v>88171.27</v>
      </c>
      <c r="L12" s="3">
        <v>-0.25</v>
      </c>
      <c r="M12" s="3">
        <v>3218000</v>
      </c>
      <c r="N12" s="2">
        <v>46185</v>
      </c>
      <c r="O12" s="3">
        <v>90105</v>
      </c>
      <c r="P12" s="3">
        <v>395909848385</v>
      </c>
      <c r="Q12" s="3">
        <v>92040.22</v>
      </c>
      <c r="R12" s="3">
        <v>-0.39</v>
      </c>
      <c r="S12" s="3">
        <v>4408000</v>
      </c>
      <c r="T12" s="2">
        <v>46185</v>
      </c>
      <c r="U12" s="3">
        <v>97680</v>
      </c>
      <c r="V12" s="3">
        <v>105005267136</v>
      </c>
      <c r="W12" s="3">
        <v>98478.92</v>
      </c>
      <c r="X12" s="3">
        <v>-0.12</v>
      </c>
      <c r="Y12" s="3">
        <v>1077000</v>
      </c>
      <c r="Z12" s="2">
        <v>46185</v>
      </c>
      <c r="AA12" s="3">
        <v>99575</v>
      </c>
      <c r="AB12" s="3">
        <v>73943647327</v>
      </c>
      <c r="AC12" s="3">
        <v>99826.29</v>
      </c>
      <c r="AD12" s="3">
        <v>-0.06</v>
      </c>
      <c r="AE12" s="3">
        <v>743000</v>
      </c>
      <c r="AF12" s="2">
        <v>46185</v>
      </c>
      <c r="AG12" s="3">
        <v>106100</v>
      </c>
      <c r="AH12" s="3">
        <v>1283650802591</v>
      </c>
      <c r="AI12" s="3">
        <v>106721.55</v>
      </c>
      <c r="AJ12" s="3">
        <v>-0.19</v>
      </c>
      <c r="AK12" s="3">
        <v>12112000</v>
      </c>
      <c r="AL12" s="3">
        <v>5.9561999999999999</v>
      </c>
      <c r="AM12" s="2">
        <v>46185</v>
      </c>
      <c r="AN12" s="3">
        <v>53955</v>
      </c>
      <c r="AO12" s="3">
        <v>1184058087745</v>
      </c>
      <c r="AP12" s="3">
        <v>53964.13</v>
      </c>
      <c r="AQ12" s="3">
        <v>0.01</v>
      </c>
      <c r="AR12" s="3">
        <v>21948000</v>
      </c>
      <c r="AS12" s="2">
        <v>46185</v>
      </c>
      <c r="AT12" s="3">
        <v>50990</v>
      </c>
      <c r="AU12" s="3">
        <v>412843743294</v>
      </c>
      <c r="AV12" s="3">
        <v>51033.17</v>
      </c>
      <c r="AW12" s="3">
        <v>-0.06</v>
      </c>
      <c r="AX12" s="3">
        <v>8100000</v>
      </c>
      <c r="AY12" s="2">
        <v>46185</v>
      </c>
      <c r="AZ12" s="3">
        <v>102860</v>
      </c>
      <c r="BA12" s="3">
        <v>2164994462226</v>
      </c>
      <c r="BB12" s="3">
        <v>103429.6</v>
      </c>
      <c r="BC12" s="3">
        <v>-0.16</v>
      </c>
      <c r="BD12" s="3">
        <v>21079000</v>
      </c>
      <c r="BE12" s="3">
        <v>5.6013000000000002</v>
      </c>
      <c r="BF12" s="2">
        <v>46185</v>
      </c>
      <c r="BG12" s="3">
        <v>49880</v>
      </c>
      <c r="BH12" s="3">
        <v>34786724137</v>
      </c>
      <c r="BI12" s="3">
        <v>49961.66</v>
      </c>
      <c r="BJ12" s="3">
        <v>0</v>
      </c>
      <c r="BK12" s="3">
        <v>698000</v>
      </c>
      <c r="BL12" s="2">
        <v>46185</v>
      </c>
      <c r="BM12" s="3">
        <v>114510</v>
      </c>
      <c r="BN12" s="3">
        <v>563657394681</v>
      </c>
      <c r="BO12" s="3">
        <v>114744.36</v>
      </c>
      <c r="BP12" s="3">
        <v>0.03</v>
      </c>
      <c r="BQ12" s="3">
        <v>4925000</v>
      </c>
    </row>
    <row r="13" spans="1:69" ht="13.5" customHeight="1" x14ac:dyDescent="0.3">
      <c r="A13" s="2">
        <v>46184</v>
      </c>
      <c r="B13" s="3">
        <v>109850</v>
      </c>
      <c r="C13" s="3">
        <v>4257717851251</v>
      </c>
      <c r="D13" s="3">
        <v>109779.42</v>
      </c>
      <c r="E13" s="3">
        <v>7.0000000000000007E-2</v>
      </c>
      <c r="F13" s="3">
        <v>38708000</v>
      </c>
      <c r="G13" s="3">
        <v>5.7840999999999996</v>
      </c>
      <c r="H13" s="2">
        <v>46184</v>
      </c>
      <c r="I13" s="3">
        <v>87160</v>
      </c>
      <c r="J13" s="3">
        <v>281144961029</v>
      </c>
      <c r="K13" s="3">
        <v>86965.41</v>
      </c>
      <c r="L13" s="3">
        <v>0.38</v>
      </c>
      <c r="M13" s="3">
        <v>3218000</v>
      </c>
      <c r="N13" s="2">
        <v>46184</v>
      </c>
      <c r="O13" s="3">
        <v>90275</v>
      </c>
      <c r="P13" s="3">
        <v>399348791500</v>
      </c>
      <c r="Q13" s="3">
        <v>89816.21</v>
      </c>
      <c r="R13" s="3">
        <v>0.32</v>
      </c>
      <c r="S13" s="3">
        <v>4408000</v>
      </c>
      <c r="T13" s="2">
        <v>46184</v>
      </c>
      <c r="U13" s="3">
        <v>97650</v>
      </c>
      <c r="V13" s="3">
        <v>100516333520</v>
      </c>
      <c r="W13" s="3">
        <v>97497.93</v>
      </c>
      <c r="X13" s="3">
        <v>0.19</v>
      </c>
      <c r="Y13" s="3">
        <v>1027000</v>
      </c>
      <c r="Z13" s="2">
        <v>46184</v>
      </c>
      <c r="AA13" s="3">
        <v>99540</v>
      </c>
      <c r="AB13" s="3">
        <v>65023179853</v>
      </c>
      <c r="AC13" s="3">
        <v>99520.39</v>
      </c>
      <c r="AD13" s="3">
        <v>0.05</v>
      </c>
      <c r="AE13" s="3">
        <v>653000</v>
      </c>
      <c r="AF13" s="2">
        <v>46184</v>
      </c>
      <c r="AG13" s="3">
        <v>106155</v>
      </c>
      <c r="AH13" s="3">
        <v>1286715560483</v>
      </c>
      <c r="AI13" s="3">
        <v>105981.74</v>
      </c>
      <c r="AJ13" s="3">
        <v>0.11</v>
      </c>
      <c r="AK13" s="3">
        <v>12114000</v>
      </c>
      <c r="AL13" s="3">
        <v>5.9305000000000003</v>
      </c>
      <c r="AM13" s="2">
        <v>46184</v>
      </c>
      <c r="AN13" s="3">
        <v>53950</v>
      </c>
      <c r="AO13" s="3">
        <v>1175361197544</v>
      </c>
      <c r="AP13" s="3">
        <v>53948.34</v>
      </c>
      <c r="AQ13" s="3">
        <v>0.01</v>
      </c>
      <c r="AR13" s="3">
        <v>21788000</v>
      </c>
      <c r="AS13" s="2">
        <v>46184</v>
      </c>
      <c r="AT13" s="3">
        <v>50980</v>
      </c>
      <c r="AU13" s="3">
        <v>413740856115</v>
      </c>
      <c r="AV13" s="3">
        <v>50968.36</v>
      </c>
      <c r="AW13" s="3">
        <v>0.04</v>
      </c>
      <c r="AX13" s="3">
        <v>8116000</v>
      </c>
      <c r="AY13" s="2">
        <v>46184</v>
      </c>
      <c r="AZ13" s="3">
        <v>102820</v>
      </c>
      <c r="BA13" s="3">
        <v>2168273326932</v>
      </c>
      <c r="BB13" s="3">
        <v>102708.59</v>
      </c>
      <c r="BC13" s="3">
        <v>0.15</v>
      </c>
      <c r="BD13" s="3">
        <v>21065000</v>
      </c>
      <c r="BE13" s="3">
        <v>5.6059999999999999</v>
      </c>
      <c r="BF13" s="2">
        <v>46184</v>
      </c>
      <c r="BG13" s="3">
        <v>49895</v>
      </c>
      <c r="BH13" s="3">
        <v>34807012865</v>
      </c>
      <c r="BI13" s="3">
        <v>49837.71</v>
      </c>
      <c r="BJ13" s="3">
        <v>0.08</v>
      </c>
      <c r="BK13" s="3">
        <v>698000</v>
      </c>
      <c r="BL13" s="2">
        <v>46184</v>
      </c>
      <c r="BM13" s="3">
        <v>114540</v>
      </c>
      <c r="BN13" s="3">
        <v>563921561560</v>
      </c>
      <c r="BO13" s="3">
        <v>114448.2</v>
      </c>
      <c r="BP13" s="3">
        <v>0.05</v>
      </c>
      <c r="BQ13" s="3">
        <v>4925000</v>
      </c>
    </row>
    <row r="14" spans="1:69" ht="13.5" customHeight="1" x14ac:dyDescent="0.3">
      <c r="A14" s="2">
        <v>46183</v>
      </c>
      <c r="B14" s="3">
        <v>110150</v>
      </c>
      <c r="C14" s="3">
        <v>4272236412371</v>
      </c>
      <c r="D14" s="3">
        <v>109995.81</v>
      </c>
      <c r="E14" s="3">
        <v>-0.13</v>
      </c>
      <c r="F14" s="3">
        <v>38822000</v>
      </c>
      <c r="G14" s="3">
        <v>5.77</v>
      </c>
      <c r="H14" s="2">
        <v>46183</v>
      </c>
      <c r="I14" s="3">
        <v>87595</v>
      </c>
      <c r="J14" s="3">
        <v>286443898908</v>
      </c>
      <c r="K14" s="3">
        <v>87366.36</v>
      </c>
      <c r="L14" s="3">
        <v>-0.24</v>
      </c>
      <c r="M14" s="3">
        <v>3275000</v>
      </c>
      <c r="N14" s="2">
        <v>46183</v>
      </c>
      <c r="O14" s="3">
        <v>91210</v>
      </c>
      <c r="P14" s="3">
        <v>401147622093</v>
      </c>
      <c r="Q14" s="3">
        <v>90596.37</v>
      </c>
      <c r="R14" s="3">
        <v>-0.35</v>
      </c>
      <c r="S14" s="3">
        <v>4408000</v>
      </c>
      <c r="T14" s="2">
        <v>46183</v>
      </c>
      <c r="U14" s="3">
        <v>97305</v>
      </c>
      <c r="V14" s="3">
        <v>100393027455</v>
      </c>
      <c r="W14" s="3">
        <v>97873.74</v>
      </c>
      <c r="X14" s="3">
        <v>-0.23</v>
      </c>
      <c r="Y14" s="3">
        <v>1027000</v>
      </c>
      <c r="Z14" s="2">
        <v>46183</v>
      </c>
      <c r="AA14" s="3">
        <v>99525</v>
      </c>
      <c r="AB14" s="3">
        <v>64957134408</v>
      </c>
      <c r="AC14" s="3">
        <v>99576.08</v>
      </c>
      <c r="AD14" s="3">
        <v>-0.04</v>
      </c>
      <c r="AE14" s="3">
        <v>653000</v>
      </c>
      <c r="AF14" s="2">
        <v>46183</v>
      </c>
      <c r="AG14" s="3">
        <v>106095</v>
      </c>
      <c r="AH14" s="3">
        <v>1287750683809</v>
      </c>
      <c r="AI14" s="3">
        <v>106217.23</v>
      </c>
      <c r="AJ14" s="3">
        <v>-0.06</v>
      </c>
      <c r="AK14" s="3">
        <v>12120000</v>
      </c>
      <c r="AL14" s="3">
        <v>5.8650000000000002</v>
      </c>
      <c r="AM14" s="2">
        <v>46183</v>
      </c>
      <c r="AN14" s="3">
        <v>53945</v>
      </c>
      <c r="AO14" s="3">
        <v>1185004528583</v>
      </c>
      <c r="AP14" s="3">
        <v>53945.35</v>
      </c>
      <c r="AQ14" s="3">
        <v>0.01</v>
      </c>
      <c r="AR14" s="3">
        <v>21968000</v>
      </c>
      <c r="AS14" s="2">
        <v>46183</v>
      </c>
      <c r="AT14" s="3">
        <v>50975</v>
      </c>
      <c r="AU14" s="3">
        <v>413661454625</v>
      </c>
      <c r="AV14" s="3">
        <v>50978.42</v>
      </c>
      <c r="AW14" s="3">
        <v>0</v>
      </c>
      <c r="AX14" s="3">
        <v>8116000</v>
      </c>
      <c r="AY14" s="2">
        <v>46183</v>
      </c>
      <c r="AZ14" s="3">
        <v>103120</v>
      </c>
      <c r="BA14" s="3">
        <v>2164649618497</v>
      </c>
      <c r="BB14" s="3">
        <v>102932.51</v>
      </c>
      <c r="BC14" s="3">
        <v>-0.11</v>
      </c>
      <c r="BD14" s="3">
        <v>21024000</v>
      </c>
      <c r="BE14" s="3">
        <v>5.5964</v>
      </c>
      <c r="BF14" s="2">
        <v>46183</v>
      </c>
      <c r="BG14" s="3">
        <v>49850</v>
      </c>
      <c r="BH14" s="3">
        <v>34789258736</v>
      </c>
      <c r="BI14" s="3">
        <v>49866.78</v>
      </c>
      <c r="BJ14" s="3">
        <v>0.06</v>
      </c>
      <c r="BK14" s="3">
        <v>698000</v>
      </c>
      <c r="BL14" s="2">
        <v>46183</v>
      </c>
      <c r="BM14" s="3">
        <v>114450</v>
      </c>
      <c r="BN14" s="3">
        <v>565880166257</v>
      </c>
      <c r="BO14" s="3">
        <v>114501.84</v>
      </c>
      <c r="BP14" s="3">
        <v>0.03</v>
      </c>
      <c r="BQ14" s="3">
        <v>4945000</v>
      </c>
    </row>
    <row r="15" spans="1:69" ht="13.5" customHeight="1" x14ac:dyDescent="0.3">
      <c r="A15" s="2">
        <v>46182</v>
      </c>
      <c r="B15" s="3">
        <v>109530</v>
      </c>
      <c r="C15" s="3">
        <v>4290713512707</v>
      </c>
      <c r="D15" s="3">
        <v>110046.79</v>
      </c>
      <c r="E15" s="3">
        <v>0.09</v>
      </c>
      <c r="F15" s="3">
        <v>39096000</v>
      </c>
      <c r="G15" s="3">
        <v>5.7648999999999999</v>
      </c>
      <c r="H15" s="2">
        <v>46182</v>
      </c>
      <c r="I15" s="3">
        <v>86880</v>
      </c>
      <c r="J15" s="3">
        <v>284668233045</v>
      </c>
      <c r="K15" s="3">
        <v>87463.79</v>
      </c>
      <c r="L15" s="3">
        <v>0.15</v>
      </c>
      <c r="M15" s="3">
        <v>3275000</v>
      </c>
      <c r="N15" s="2">
        <v>46182</v>
      </c>
      <c r="O15" s="3">
        <v>89835</v>
      </c>
      <c r="P15" s="3">
        <v>397546017912</v>
      </c>
      <c r="Q15" s="3">
        <v>91004.45</v>
      </c>
      <c r="R15" s="3">
        <v>0.23</v>
      </c>
      <c r="S15" s="3">
        <v>4408000</v>
      </c>
      <c r="T15" s="2">
        <v>46182</v>
      </c>
      <c r="U15" s="3">
        <v>97205</v>
      </c>
      <c r="V15" s="3">
        <v>99807029871</v>
      </c>
      <c r="W15" s="3">
        <v>97753.68</v>
      </c>
      <c r="X15" s="3">
        <v>-0.46</v>
      </c>
      <c r="Y15" s="3">
        <v>1027000</v>
      </c>
      <c r="Z15" s="2">
        <v>46182</v>
      </c>
      <c r="AA15" s="3">
        <v>99225</v>
      </c>
      <c r="AB15" s="3">
        <v>63814659119</v>
      </c>
      <c r="AC15" s="3">
        <v>99474.94</v>
      </c>
      <c r="AD15" s="3">
        <v>0.05</v>
      </c>
      <c r="AE15" s="3">
        <v>643000</v>
      </c>
      <c r="AF15" s="2">
        <v>46182</v>
      </c>
      <c r="AG15" s="3">
        <v>105815</v>
      </c>
      <c r="AH15" s="3">
        <v>1279907115524</v>
      </c>
      <c r="AI15" s="3">
        <v>106250.06</v>
      </c>
      <c r="AJ15" s="3">
        <v>-0.15</v>
      </c>
      <c r="AK15" s="3">
        <v>12083000</v>
      </c>
      <c r="AL15" s="3">
        <v>5.8063000000000002</v>
      </c>
      <c r="AM15" s="2">
        <v>46182</v>
      </c>
      <c r="AN15" s="3">
        <v>53935</v>
      </c>
      <c r="AO15" s="3">
        <v>1191939879439</v>
      </c>
      <c r="AP15" s="3">
        <v>53942.3</v>
      </c>
      <c r="AQ15" s="3">
        <v>0.01</v>
      </c>
      <c r="AR15" s="3">
        <v>22098000</v>
      </c>
      <c r="AS15" s="2">
        <v>46182</v>
      </c>
      <c r="AT15" s="3">
        <v>50945</v>
      </c>
      <c r="AU15" s="3">
        <v>413354101178</v>
      </c>
      <c r="AV15" s="3">
        <v>50968.639999999999</v>
      </c>
      <c r="AW15" s="3">
        <v>0.01</v>
      </c>
      <c r="AX15" s="3">
        <v>8116000</v>
      </c>
      <c r="AY15" s="2">
        <v>46182</v>
      </c>
      <c r="AZ15" s="3">
        <v>102505</v>
      </c>
      <c r="BA15" s="3">
        <v>2155208055271</v>
      </c>
      <c r="BB15" s="3">
        <v>102960.88</v>
      </c>
      <c r="BC15" s="3">
        <v>0.15</v>
      </c>
      <c r="BD15" s="3">
        <v>20998000</v>
      </c>
      <c r="BE15" s="3">
        <v>5.5709</v>
      </c>
      <c r="BF15" s="2">
        <v>46182</v>
      </c>
      <c r="BG15" s="3">
        <v>49760</v>
      </c>
      <c r="BH15" s="3">
        <v>34731668213</v>
      </c>
      <c r="BI15" s="3">
        <v>49841.34</v>
      </c>
      <c r="BJ15" s="3">
        <v>0.02</v>
      </c>
      <c r="BK15" s="3">
        <v>698000</v>
      </c>
      <c r="BL15" s="2">
        <v>46182</v>
      </c>
      <c r="BM15" s="3">
        <v>114095</v>
      </c>
      <c r="BN15" s="3">
        <v>566980809171</v>
      </c>
      <c r="BO15" s="3">
        <v>114434.82</v>
      </c>
      <c r="BP15" s="3">
        <v>0.01</v>
      </c>
      <c r="BQ15" s="3">
        <v>4965000</v>
      </c>
    </row>
    <row r="16" spans="1:69" ht="13.5" customHeight="1" x14ac:dyDescent="0.3">
      <c r="A16" s="2">
        <v>46181</v>
      </c>
      <c r="B16" s="3">
        <v>110050</v>
      </c>
      <c r="C16" s="3">
        <v>4308171017765</v>
      </c>
      <c r="D16" s="3">
        <v>109748.15</v>
      </c>
      <c r="E16" s="3">
        <v>-0.2</v>
      </c>
      <c r="F16" s="3">
        <v>39128000</v>
      </c>
      <c r="G16" s="3">
        <v>5.8270999999999997</v>
      </c>
      <c r="H16" s="2">
        <v>46181</v>
      </c>
      <c r="I16" s="3">
        <v>87545</v>
      </c>
      <c r="J16" s="3">
        <v>286801084005</v>
      </c>
      <c r="K16" s="3">
        <v>86921.600000000006</v>
      </c>
      <c r="L16" s="3">
        <v>-0.05</v>
      </c>
      <c r="M16" s="3">
        <v>3275000</v>
      </c>
      <c r="N16" s="2">
        <v>46181</v>
      </c>
      <c r="O16" s="3">
        <v>91270</v>
      </c>
      <c r="P16" s="3">
        <v>388800471804</v>
      </c>
      <c r="Q16" s="3">
        <v>90187.39</v>
      </c>
      <c r="R16" s="3">
        <v>-0.39</v>
      </c>
      <c r="S16" s="3">
        <v>4258000</v>
      </c>
      <c r="T16" s="2">
        <v>46181</v>
      </c>
      <c r="U16" s="3">
        <v>97905</v>
      </c>
      <c r="V16" s="3">
        <v>101470733078</v>
      </c>
      <c r="W16" s="3">
        <v>97183.09</v>
      </c>
      <c r="X16" s="3">
        <v>0.02</v>
      </c>
      <c r="Y16" s="3">
        <v>1037000</v>
      </c>
      <c r="Z16" s="2">
        <v>46181</v>
      </c>
      <c r="AA16" s="3">
        <v>99405</v>
      </c>
      <c r="AB16" s="3">
        <v>64197460548</v>
      </c>
      <c r="AC16" s="3">
        <v>99245.19</v>
      </c>
      <c r="AD16" s="3">
        <v>-0.02</v>
      </c>
      <c r="AE16" s="3">
        <v>646000</v>
      </c>
      <c r="AF16" s="2">
        <v>46181</v>
      </c>
      <c r="AG16" s="3">
        <v>106300</v>
      </c>
      <c r="AH16" s="3">
        <v>1283968166623</v>
      </c>
      <c r="AI16" s="3">
        <v>105926.27</v>
      </c>
      <c r="AJ16" s="3">
        <v>-0.11</v>
      </c>
      <c r="AK16" s="3">
        <v>12079000</v>
      </c>
      <c r="AL16" s="3">
        <v>5.8529999999999998</v>
      </c>
      <c r="AM16" s="2">
        <v>46181</v>
      </c>
      <c r="AN16" s="3">
        <v>53940</v>
      </c>
      <c r="AO16" s="3">
        <v>1193608832403</v>
      </c>
      <c r="AP16" s="3">
        <v>53938.81</v>
      </c>
      <c r="AQ16" s="3">
        <v>-0.01</v>
      </c>
      <c r="AR16" s="3">
        <v>22130000</v>
      </c>
      <c r="AS16" s="2">
        <v>46181</v>
      </c>
      <c r="AT16" s="3">
        <v>50965</v>
      </c>
      <c r="AU16" s="3">
        <v>413333507291</v>
      </c>
      <c r="AV16" s="3">
        <v>50930.77</v>
      </c>
      <c r="AW16" s="3">
        <v>0.03</v>
      </c>
      <c r="AX16" s="3">
        <v>8110000</v>
      </c>
      <c r="AY16" s="2">
        <v>46181</v>
      </c>
      <c r="AZ16" s="3">
        <v>103005</v>
      </c>
      <c r="BA16" s="3">
        <v>2166746179134</v>
      </c>
      <c r="BB16" s="3">
        <v>102638.73</v>
      </c>
      <c r="BC16" s="3">
        <v>-0.13</v>
      </c>
      <c r="BD16" s="3">
        <v>21034000</v>
      </c>
      <c r="BE16" s="3">
        <v>5.6195000000000004</v>
      </c>
      <c r="BF16" s="2">
        <v>46181</v>
      </c>
      <c r="BG16" s="3">
        <v>49835</v>
      </c>
      <c r="BH16" s="3">
        <v>34773127608</v>
      </c>
      <c r="BI16" s="3">
        <v>49758.84</v>
      </c>
      <c r="BJ16" s="3">
        <v>0</v>
      </c>
      <c r="BK16" s="3">
        <v>698000</v>
      </c>
      <c r="BL16" s="2">
        <v>46181</v>
      </c>
      <c r="BM16" s="3">
        <v>114305</v>
      </c>
      <c r="BN16" s="3">
        <v>571483513363</v>
      </c>
      <c r="BO16" s="3">
        <v>114195.53</v>
      </c>
      <c r="BP16" s="3">
        <v>-0.09</v>
      </c>
      <c r="BQ16" s="3">
        <v>4997000</v>
      </c>
    </row>
    <row r="17" spans="1:69" ht="13.5" customHeight="1" x14ac:dyDescent="0.3">
      <c r="A17" s="2">
        <v>46178</v>
      </c>
      <c r="B17" s="3">
        <v>110415</v>
      </c>
      <c r="C17" s="3">
        <v>4278478337919</v>
      </c>
      <c r="D17" s="3">
        <v>110104.55</v>
      </c>
      <c r="E17" s="3">
        <v>-0.05</v>
      </c>
      <c r="F17" s="3">
        <v>38779000</v>
      </c>
      <c r="G17" s="3">
        <v>5.8693</v>
      </c>
      <c r="H17" s="2">
        <v>46178</v>
      </c>
      <c r="I17" s="3">
        <v>88105</v>
      </c>
      <c r="J17" s="3">
        <v>288242376600</v>
      </c>
      <c r="K17" s="3">
        <v>87572.85</v>
      </c>
      <c r="L17" s="3">
        <v>-0.03</v>
      </c>
      <c r="M17" s="3">
        <v>3275000</v>
      </c>
      <c r="N17" s="2">
        <v>46178</v>
      </c>
      <c r="O17" s="3">
        <v>92630</v>
      </c>
      <c r="P17" s="3">
        <v>391540706647</v>
      </c>
      <c r="Q17" s="3">
        <v>91310.59</v>
      </c>
      <c r="R17" s="3">
        <v>-0.04</v>
      </c>
      <c r="S17" s="3">
        <v>4239000</v>
      </c>
      <c r="T17" s="2">
        <v>46178</v>
      </c>
      <c r="U17" s="3">
        <v>98005</v>
      </c>
      <c r="V17" s="3">
        <v>101198853463</v>
      </c>
      <c r="W17" s="3">
        <v>97850.27</v>
      </c>
      <c r="X17" s="3">
        <v>0.06</v>
      </c>
      <c r="Y17" s="3">
        <v>1033000</v>
      </c>
      <c r="Z17" s="2">
        <v>46178</v>
      </c>
      <c r="AA17" s="3">
        <v>99390</v>
      </c>
      <c r="AB17" s="3">
        <v>64216136013</v>
      </c>
      <c r="AC17" s="3">
        <v>99376.87</v>
      </c>
      <c r="AD17" s="3">
        <v>0.03</v>
      </c>
      <c r="AE17" s="3">
        <v>646000</v>
      </c>
      <c r="AF17" s="2">
        <v>46178</v>
      </c>
      <c r="AG17" s="3">
        <v>106530</v>
      </c>
      <c r="AH17" s="3">
        <v>1285810089140</v>
      </c>
      <c r="AI17" s="3">
        <v>106297.55</v>
      </c>
      <c r="AJ17" s="3">
        <v>0</v>
      </c>
      <c r="AK17" s="3">
        <v>12071000</v>
      </c>
      <c r="AL17" s="3">
        <v>5.8391999999999999</v>
      </c>
      <c r="AM17" s="2">
        <v>46178</v>
      </c>
      <c r="AN17" s="3">
        <v>53940</v>
      </c>
      <c r="AO17" s="3">
        <v>1190084017077</v>
      </c>
      <c r="AP17" s="3">
        <v>53936.23</v>
      </c>
      <c r="AQ17" s="3">
        <v>0.01</v>
      </c>
      <c r="AR17" s="3">
        <v>22070000</v>
      </c>
      <c r="AS17" s="2">
        <v>46178</v>
      </c>
      <c r="AT17" s="3">
        <v>50995</v>
      </c>
      <c r="AU17" s="3">
        <v>413369768014</v>
      </c>
      <c r="AV17" s="3">
        <v>50965.91</v>
      </c>
      <c r="AW17" s="3">
        <v>0</v>
      </c>
      <c r="AX17" s="3">
        <v>8112000</v>
      </c>
      <c r="AY17" s="2">
        <v>46178</v>
      </c>
      <c r="AZ17" s="3">
        <v>103275</v>
      </c>
      <c r="BA17" s="3">
        <v>2154828510297</v>
      </c>
      <c r="BB17" s="3">
        <v>103011.61</v>
      </c>
      <c r="BC17" s="3">
        <v>-0.01</v>
      </c>
      <c r="BD17" s="3">
        <v>20872000</v>
      </c>
      <c r="BE17" s="3">
        <v>5.6509999999999998</v>
      </c>
      <c r="BF17" s="2">
        <v>46178</v>
      </c>
      <c r="BG17" s="3">
        <v>49835</v>
      </c>
      <c r="BH17" s="3">
        <v>34780984457</v>
      </c>
      <c r="BI17" s="3">
        <v>49818.23</v>
      </c>
      <c r="BJ17" s="3">
        <v>0.03</v>
      </c>
      <c r="BK17" s="3">
        <v>698000</v>
      </c>
      <c r="BL17" s="2">
        <v>46178</v>
      </c>
      <c r="BM17" s="3">
        <v>114375</v>
      </c>
      <c r="BN17" s="3">
        <v>573959479407</v>
      </c>
      <c r="BO17" s="3">
        <v>114365.32</v>
      </c>
      <c r="BP17" s="3">
        <v>-0.05</v>
      </c>
      <c r="BQ17" s="3">
        <v>5017000</v>
      </c>
    </row>
    <row r="18" spans="1:69" ht="13.5" customHeight="1" x14ac:dyDescent="0.3">
      <c r="A18" s="2">
        <v>46177</v>
      </c>
      <c r="B18" s="3">
        <v>110695</v>
      </c>
      <c r="C18" s="3">
        <v>4284641566491</v>
      </c>
      <c r="D18" s="3">
        <v>110329.77</v>
      </c>
      <c r="E18" s="3">
        <v>0.08</v>
      </c>
      <c r="F18" s="3">
        <v>38676000</v>
      </c>
      <c r="G18" s="3">
        <v>5.867</v>
      </c>
      <c r="H18" s="2">
        <v>46177</v>
      </c>
      <c r="I18" s="3">
        <v>88825</v>
      </c>
      <c r="J18" s="3">
        <v>290906161867</v>
      </c>
      <c r="K18" s="3">
        <v>88012.94</v>
      </c>
      <c r="L18" s="3">
        <v>0.1</v>
      </c>
      <c r="M18" s="3">
        <v>3275000</v>
      </c>
      <c r="N18" s="2">
        <v>46177</v>
      </c>
      <c r="O18" s="3">
        <v>93815</v>
      </c>
      <c r="P18" s="3">
        <v>382313729055</v>
      </c>
      <c r="Q18" s="3">
        <v>92366.29</v>
      </c>
      <c r="R18" s="3">
        <v>0.28999999999999998</v>
      </c>
      <c r="S18" s="3">
        <v>4075000</v>
      </c>
      <c r="T18" s="2">
        <v>46177</v>
      </c>
      <c r="U18" s="3">
        <v>98820</v>
      </c>
      <c r="V18" s="3">
        <v>101882839488</v>
      </c>
      <c r="W18" s="3">
        <v>97965.98</v>
      </c>
      <c r="X18" s="3">
        <v>0.04</v>
      </c>
      <c r="Y18" s="3">
        <v>1033000</v>
      </c>
      <c r="Z18" s="2">
        <v>46177</v>
      </c>
      <c r="AA18" s="3">
        <v>99630</v>
      </c>
      <c r="AB18" s="3">
        <v>60383878111</v>
      </c>
      <c r="AC18" s="3">
        <v>99405.78</v>
      </c>
      <c r="AD18" s="3">
        <v>-0.02</v>
      </c>
      <c r="AE18" s="3">
        <v>606000</v>
      </c>
      <c r="AF18" s="2">
        <v>46177</v>
      </c>
      <c r="AG18" s="3">
        <v>106990</v>
      </c>
      <c r="AH18" s="3">
        <v>1288539576364</v>
      </c>
      <c r="AI18" s="3">
        <v>106520.59</v>
      </c>
      <c r="AJ18" s="3">
        <v>0.01</v>
      </c>
      <c r="AK18" s="3">
        <v>12043000</v>
      </c>
      <c r="AL18" s="3">
        <v>5.8842999999999996</v>
      </c>
      <c r="AM18" s="2">
        <v>46177</v>
      </c>
      <c r="AN18" s="3">
        <v>53930</v>
      </c>
      <c r="AO18" s="3">
        <v>1182680886640</v>
      </c>
      <c r="AP18" s="3">
        <v>53923.15</v>
      </c>
      <c r="AQ18" s="3">
        <v>0.03</v>
      </c>
      <c r="AR18" s="3">
        <v>21934000</v>
      </c>
      <c r="AS18" s="2">
        <v>46177</v>
      </c>
      <c r="AT18" s="3">
        <v>51025</v>
      </c>
      <c r="AU18" s="3">
        <v>415303387840</v>
      </c>
      <c r="AV18" s="3">
        <v>50957.81</v>
      </c>
      <c r="AW18" s="3">
        <v>7.0000000000000007E-2</v>
      </c>
      <c r="AX18" s="3">
        <v>8142000</v>
      </c>
      <c r="AY18" s="2">
        <v>46177</v>
      </c>
      <c r="AZ18" s="3">
        <v>103740</v>
      </c>
      <c r="BA18" s="3">
        <v>2165850556409</v>
      </c>
      <c r="BB18" s="3">
        <v>103240.15</v>
      </c>
      <c r="BC18" s="3">
        <v>0.03</v>
      </c>
      <c r="BD18" s="3">
        <v>20881000</v>
      </c>
      <c r="BE18" s="3">
        <v>5.7253999999999996</v>
      </c>
      <c r="BF18" s="2">
        <v>46177</v>
      </c>
      <c r="BG18" s="3">
        <v>49890</v>
      </c>
      <c r="BH18" s="3">
        <v>34849990335</v>
      </c>
      <c r="BI18" s="3">
        <v>49829.49</v>
      </c>
      <c r="BJ18" s="3">
        <v>0.01</v>
      </c>
      <c r="BK18" s="3">
        <v>698000</v>
      </c>
      <c r="BL18" s="2">
        <v>46177</v>
      </c>
      <c r="BM18" s="3">
        <v>114720</v>
      </c>
      <c r="BN18" s="3">
        <v>576491613801</v>
      </c>
      <c r="BO18" s="3">
        <v>114402.93</v>
      </c>
      <c r="BP18" s="3">
        <v>-0.02</v>
      </c>
      <c r="BQ18" s="3">
        <v>5027000</v>
      </c>
    </row>
    <row r="19" spans="1:69" ht="13.5" customHeight="1" x14ac:dyDescent="0.3">
      <c r="A19" s="2">
        <v>46175</v>
      </c>
      <c r="B19" s="3">
        <v>110595</v>
      </c>
      <c r="C19" s="3">
        <v>4286529765422</v>
      </c>
      <c r="D19" s="3">
        <v>110782.95</v>
      </c>
      <c r="E19" s="3">
        <v>-0.08</v>
      </c>
      <c r="F19" s="3">
        <v>38724000</v>
      </c>
      <c r="G19" s="3">
        <v>5.8752000000000004</v>
      </c>
      <c r="H19" s="2">
        <v>46175</v>
      </c>
      <c r="I19" s="3">
        <v>88565</v>
      </c>
      <c r="J19" s="3">
        <v>289113244587</v>
      </c>
      <c r="K19" s="3">
        <v>88826.31</v>
      </c>
      <c r="L19" s="3">
        <v>0</v>
      </c>
      <c r="M19" s="3">
        <v>3262000</v>
      </c>
      <c r="N19" s="2">
        <v>46175</v>
      </c>
      <c r="O19" s="3">
        <v>93495</v>
      </c>
      <c r="P19" s="3">
        <v>360734418185</v>
      </c>
      <c r="Q19" s="3">
        <v>93819.32</v>
      </c>
      <c r="R19" s="3">
        <v>0</v>
      </c>
      <c r="S19" s="3">
        <v>3856000</v>
      </c>
      <c r="T19" s="2">
        <v>46175</v>
      </c>
      <c r="U19" s="3">
        <v>98365</v>
      </c>
      <c r="V19" s="3">
        <v>101921072390</v>
      </c>
      <c r="W19" s="3">
        <v>98628.11</v>
      </c>
      <c r="X19" s="3">
        <v>0.19</v>
      </c>
      <c r="Y19" s="3">
        <v>1037000</v>
      </c>
      <c r="Z19" s="2">
        <v>46175</v>
      </c>
      <c r="AA19" s="3">
        <v>99580</v>
      </c>
      <c r="AB19" s="3">
        <v>61233506009</v>
      </c>
      <c r="AC19" s="3">
        <v>99643.36</v>
      </c>
      <c r="AD19" s="3">
        <v>-0.01</v>
      </c>
      <c r="AE19" s="3">
        <v>615000</v>
      </c>
      <c r="AF19" s="2">
        <v>46175</v>
      </c>
      <c r="AG19" s="3">
        <v>106885</v>
      </c>
      <c r="AH19" s="3">
        <v>1281803565954</v>
      </c>
      <c r="AI19" s="3">
        <v>106994.9</v>
      </c>
      <c r="AJ19" s="3">
        <v>0</v>
      </c>
      <c r="AK19" s="3">
        <v>11992000</v>
      </c>
      <c r="AL19" s="3">
        <v>5.8724999999999996</v>
      </c>
      <c r="AM19" s="2">
        <v>46175</v>
      </c>
      <c r="AN19" s="3">
        <v>53925</v>
      </c>
      <c r="AO19" s="3">
        <v>1175164788582</v>
      </c>
      <c r="AP19" s="3">
        <v>53919.98</v>
      </c>
      <c r="AQ19" s="3">
        <v>0.02</v>
      </c>
      <c r="AR19" s="3">
        <v>21798000</v>
      </c>
      <c r="AS19" s="2">
        <v>46175</v>
      </c>
      <c r="AT19" s="3">
        <v>51030</v>
      </c>
      <c r="AU19" s="3">
        <v>414759532182</v>
      </c>
      <c r="AV19" s="3">
        <v>51007.54</v>
      </c>
      <c r="AW19" s="3">
        <v>0.03</v>
      </c>
      <c r="AX19" s="3">
        <v>8132000</v>
      </c>
      <c r="AY19" s="2">
        <v>46175</v>
      </c>
      <c r="AZ19" s="3">
        <v>103600</v>
      </c>
      <c r="BA19" s="3">
        <v>2156854948438</v>
      </c>
      <c r="BB19" s="3">
        <v>103723.51</v>
      </c>
      <c r="BC19" s="3">
        <v>0.02</v>
      </c>
      <c r="BD19" s="3">
        <v>20818000</v>
      </c>
      <c r="BE19" s="3">
        <v>5.7381000000000002</v>
      </c>
      <c r="BF19" s="2">
        <v>46175</v>
      </c>
      <c r="BG19" s="3">
        <v>49915</v>
      </c>
      <c r="BH19" s="3">
        <v>34832570779</v>
      </c>
      <c r="BI19" s="3">
        <v>49928.35</v>
      </c>
      <c r="BJ19" s="3">
        <v>-0.08</v>
      </c>
      <c r="BK19" s="3">
        <v>698000</v>
      </c>
      <c r="BL19" s="2">
        <v>46175</v>
      </c>
      <c r="BM19" s="3">
        <v>114535</v>
      </c>
      <c r="BN19" s="3">
        <v>578521042541</v>
      </c>
      <c r="BO19" s="3">
        <v>114679.06</v>
      </c>
      <c r="BP19" s="3">
        <v>0.04</v>
      </c>
      <c r="BQ19" s="3">
        <v>5047000</v>
      </c>
    </row>
    <row r="20" spans="1:69" ht="13.5" customHeight="1" x14ac:dyDescent="0.3">
      <c r="A20" s="2">
        <v>46174</v>
      </c>
      <c r="B20" s="3">
        <v>111220</v>
      </c>
      <c r="C20" s="3">
        <v>4306385803375</v>
      </c>
      <c r="D20" s="3">
        <v>110694.39999999999</v>
      </c>
      <c r="E20" s="3">
        <v>-0.09</v>
      </c>
      <c r="F20" s="3">
        <v>38692000</v>
      </c>
      <c r="G20" s="3">
        <v>5.9840999999999998</v>
      </c>
      <c r="H20" s="2">
        <v>46174</v>
      </c>
      <c r="I20" s="3">
        <v>89555</v>
      </c>
      <c r="J20" s="3">
        <v>292952075163</v>
      </c>
      <c r="K20" s="3">
        <v>88630.67</v>
      </c>
      <c r="L20" s="3">
        <v>-7.0000000000000007E-2</v>
      </c>
      <c r="M20" s="3">
        <v>3262000</v>
      </c>
      <c r="N20" s="2">
        <v>46174</v>
      </c>
      <c r="O20" s="3">
        <v>95530</v>
      </c>
      <c r="P20" s="3">
        <v>373548104112</v>
      </c>
      <c r="Q20" s="3">
        <v>93551.46</v>
      </c>
      <c r="R20" s="3">
        <v>-0.06</v>
      </c>
      <c r="S20" s="3">
        <v>3896000</v>
      </c>
      <c r="T20" s="2">
        <v>46174</v>
      </c>
      <c r="U20" s="3">
        <v>99035</v>
      </c>
      <c r="V20" s="3">
        <v>102788046468</v>
      </c>
      <c r="W20" s="3">
        <v>98284.54</v>
      </c>
      <c r="X20" s="3">
        <v>0.08</v>
      </c>
      <c r="Y20" s="3">
        <v>1037000</v>
      </c>
      <c r="Z20" s="2">
        <v>46174</v>
      </c>
      <c r="AA20" s="3">
        <v>99720</v>
      </c>
      <c r="AB20" s="3">
        <v>60358572459</v>
      </c>
      <c r="AC20" s="3">
        <v>99566.68</v>
      </c>
      <c r="AD20" s="3">
        <v>0.01</v>
      </c>
      <c r="AE20" s="3">
        <v>605000</v>
      </c>
      <c r="AF20" s="2">
        <v>46174</v>
      </c>
      <c r="AG20" s="3">
        <v>107540</v>
      </c>
      <c r="AH20" s="3">
        <v>1291688910209</v>
      </c>
      <c r="AI20" s="3">
        <v>106888.22</v>
      </c>
      <c r="AJ20" s="3">
        <v>0</v>
      </c>
      <c r="AK20" s="3">
        <v>12012000</v>
      </c>
      <c r="AL20" s="3">
        <v>5.9462999999999999</v>
      </c>
      <c r="AM20" s="2">
        <v>46174</v>
      </c>
      <c r="AN20" s="3">
        <v>53915</v>
      </c>
      <c r="AO20" s="3">
        <v>1154806469431</v>
      </c>
      <c r="AP20" s="3">
        <v>53911.59</v>
      </c>
      <c r="AQ20" s="3">
        <v>0.02</v>
      </c>
      <c r="AR20" s="3">
        <v>21422000</v>
      </c>
      <c r="AS20" s="2">
        <v>46174</v>
      </c>
      <c r="AT20" s="3">
        <v>51035</v>
      </c>
      <c r="AU20" s="3">
        <v>414086777212</v>
      </c>
      <c r="AV20" s="3">
        <v>51003.39</v>
      </c>
      <c r="AW20" s="3">
        <v>0.05</v>
      </c>
      <c r="AX20" s="3">
        <v>8114000</v>
      </c>
      <c r="AY20" s="2">
        <v>46174</v>
      </c>
      <c r="AZ20" s="3">
        <v>104165</v>
      </c>
      <c r="BA20" s="3">
        <v>2156781575624</v>
      </c>
      <c r="BB20" s="3">
        <v>103605.29</v>
      </c>
      <c r="BC20" s="3">
        <v>-0.01</v>
      </c>
      <c r="BD20" s="3">
        <v>20688000</v>
      </c>
      <c r="BE20" s="3">
        <v>5.8754</v>
      </c>
      <c r="BF20" s="2">
        <v>46174</v>
      </c>
      <c r="BG20" s="3">
        <v>49985</v>
      </c>
      <c r="BH20" s="3">
        <v>34885007842</v>
      </c>
      <c r="BI20" s="3">
        <v>49903.4</v>
      </c>
      <c r="BJ20" s="3">
        <v>0.02</v>
      </c>
      <c r="BK20" s="3">
        <v>698000</v>
      </c>
      <c r="BL20" s="2">
        <v>46174</v>
      </c>
      <c r="BM20" s="3">
        <v>114815</v>
      </c>
      <c r="BN20" s="3">
        <v>581795806621</v>
      </c>
      <c r="BO20" s="3">
        <v>114626.72</v>
      </c>
      <c r="BP20" s="3">
        <v>-0.08</v>
      </c>
      <c r="BQ20" s="3">
        <v>5067000</v>
      </c>
    </row>
    <row r="21" spans="1:69" ht="13.5" customHeight="1" x14ac:dyDescent="0.3">
      <c r="A21" s="2">
        <v>46171</v>
      </c>
      <c r="B21" s="3">
        <v>110645</v>
      </c>
      <c r="C21" s="3">
        <v>4332674073851</v>
      </c>
      <c r="D21" s="3">
        <v>111299.13</v>
      </c>
      <c r="E21" s="3">
        <v>-7.0000000000000007E-2</v>
      </c>
      <c r="F21" s="3">
        <v>39117000</v>
      </c>
      <c r="G21" s="3">
        <v>5.9095000000000004</v>
      </c>
      <c r="H21" s="2">
        <v>46171</v>
      </c>
      <c r="I21" s="3">
        <v>88730</v>
      </c>
      <c r="J21" s="3">
        <v>291341786269</v>
      </c>
      <c r="K21" s="3">
        <v>89807.5</v>
      </c>
      <c r="L21" s="3">
        <v>-0.28000000000000003</v>
      </c>
      <c r="M21" s="3">
        <v>3282000</v>
      </c>
      <c r="N21" s="2">
        <v>46171</v>
      </c>
      <c r="O21" s="3">
        <v>93685</v>
      </c>
      <c r="P21" s="3">
        <v>352000498025</v>
      </c>
      <c r="Q21" s="3">
        <v>95879.9</v>
      </c>
      <c r="R21" s="3">
        <v>-0.36</v>
      </c>
      <c r="S21" s="3">
        <v>3752000</v>
      </c>
      <c r="T21" s="2">
        <v>46171</v>
      </c>
      <c r="U21" s="3">
        <v>98505</v>
      </c>
      <c r="V21" s="3">
        <v>102116449680</v>
      </c>
      <c r="W21" s="3">
        <v>99120.58</v>
      </c>
      <c r="X21" s="3">
        <v>-0.09</v>
      </c>
      <c r="Y21" s="3">
        <v>1037000</v>
      </c>
      <c r="Z21" s="2">
        <v>46171</v>
      </c>
      <c r="AA21" s="3">
        <v>99600</v>
      </c>
      <c r="AB21" s="3">
        <v>59265974285</v>
      </c>
      <c r="AC21" s="3">
        <v>99766.24</v>
      </c>
      <c r="AD21" s="3">
        <v>-0.05</v>
      </c>
      <c r="AE21" s="3">
        <v>595000</v>
      </c>
      <c r="AF21" s="2">
        <v>46171</v>
      </c>
      <c r="AG21" s="3">
        <v>106995</v>
      </c>
      <c r="AH21" s="3">
        <v>1284173932754</v>
      </c>
      <c r="AI21" s="3">
        <v>107533.21</v>
      </c>
      <c r="AJ21" s="3">
        <v>0.01</v>
      </c>
      <c r="AK21" s="3">
        <v>12006000</v>
      </c>
      <c r="AL21" s="3">
        <v>5.8429000000000002</v>
      </c>
      <c r="AM21" s="2">
        <v>46171</v>
      </c>
      <c r="AN21" s="3">
        <v>53900</v>
      </c>
      <c r="AO21" s="3">
        <v>1174775496440</v>
      </c>
      <c r="AP21" s="3">
        <v>53907.5</v>
      </c>
      <c r="AQ21" s="3">
        <v>0.01</v>
      </c>
      <c r="AR21" s="3">
        <v>21798000</v>
      </c>
      <c r="AS21" s="2">
        <v>46171</v>
      </c>
      <c r="AT21" s="3">
        <v>51035</v>
      </c>
      <c r="AU21" s="3">
        <v>413864911584</v>
      </c>
      <c r="AV21" s="3">
        <v>51033.62</v>
      </c>
      <c r="AW21" s="3">
        <v>0</v>
      </c>
      <c r="AX21" s="3">
        <v>8114000</v>
      </c>
      <c r="AY21" s="2">
        <v>46171</v>
      </c>
      <c r="AZ21" s="3">
        <v>103635</v>
      </c>
      <c r="BA21" s="3">
        <v>2117081042662</v>
      </c>
      <c r="BB21" s="3">
        <v>104252.78</v>
      </c>
      <c r="BC21" s="3">
        <v>-0.08</v>
      </c>
      <c r="BD21" s="3">
        <v>20420000</v>
      </c>
      <c r="BE21" s="3">
        <v>5.8232999999999997</v>
      </c>
      <c r="BF21" s="2">
        <v>46171</v>
      </c>
      <c r="BG21" s="3">
        <v>49905</v>
      </c>
      <c r="BH21" s="3">
        <v>34839914317</v>
      </c>
      <c r="BI21" s="3">
        <v>49978.52</v>
      </c>
      <c r="BJ21" s="3">
        <v>0.01</v>
      </c>
      <c r="BK21" s="3">
        <v>698000</v>
      </c>
      <c r="BL21" s="2">
        <v>46171</v>
      </c>
      <c r="BM21" s="3">
        <v>114675</v>
      </c>
      <c r="BN21" s="3">
        <v>583230154297</v>
      </c>
      <c r="BO21" s="3">
        <v>114820.57</v>
      </c>
      <c r="BP21" s="3">
        <v>0</v>
      </c>
      <c r="BQ21" s="3">
        <v>5087000</v>
      </c>
    </row>
    <row r="22" spans="1:69" ht="13.5" customHeight="1" x14ac:dyDescent="0.3">
      <c r="A22" s="2">
        <v>46170</v>
      </c>
      <c r="B22" s="3">
        <v>110965</v>
      </c>
      <c r="C22" s="3">
        <v>4343657155906</v>
      </c>
      <c r="D22" s="3">
        <v>110761.92</v>
      </c>
      <c r="E22" s="3">
        <v>-0.11</v>
      </c>
      <c r="F22" s="3">
        <v>39168000</v>
      </c>
      <c r="G22" s="3">
        <v>5.9686000000000003</v>
      </c>
      <c r="H22" s="2">
        <v>46170</v>
      </c>
      <c r="I22" s="3">
        <v>89245</v>
      </c>
      <c r="J22" s="3">
        <v>292066640697</v>
      </c>
      <c r="K22" s="3">
        <v>88769.59</v>
      </c>
      <c r="L22" s="3">
        <v>-0.04</v>
      </c>
      <c r="M22" s="3">
        <v>3282000</v>
      </c>
      <c r="N22" s="2">
        <v>46170</v>
      </c>
      <c r="O22" s="3">
        <v>94515</v>
      </c>
      <c r="P22" s="3">
        <v>353480932024</v>
      </c>
      <c r="Q22" s="3">
        <v>93816.76</v>
      </c>
      <c r="R22" s="3">
        <v>-0.14000000000000001</v>
      </c>
      <c r="S22" s="3">
        <v>3756000</v>
      </c>
      <c r="T22" s="2">
        <v>46170</v>
      </c>
      <c r="U22" s="3">
        <v>98895</v>
      </c>
      <c r="V22" s="3">
        <v>97660920922</v>
      </c>
      <c r="W22" s="3">
        <v>98472.95</v>
      </c>
      <c r="X22" s="3">
        <v>0.03</v>
      </c>
      <c r="Y22" s="3">
        <v>989000</v>
      </c>
      <c r="Z22" s="2">
        <v>46170</v>
      </c>
      <c r="AA22" s="3">
        <v>99820</v>
      </c>
      <c r="AB22" s="3">
        <v>59335065774</v>
      </c>
      <c r="AC22" s="3">
        <v>99606.68</v>
      </c>
      <c r="AD22" s="3">
        <v>-0.01</v>
      </c>
      <c r="AE22" s="3">
        <v>595000</v>
      </c>
      <c r="AF22" s="2">
        <v>46170</v>
      </c>
      <c r="AG22" s="3">
        <v>107255</v>
      </c>
      <c r="AH22" s="3">
        <v>1296081259431</v>
      </c>
      <c r="AI22" s="3">
        <v>106961.01</v>
      </c>
      <c r="AJ22" s="3">
        <v>0.03</v>
      </c>
      <c r="AK22" s="3">
        <v>12100000</v>
      </c>
      <c r="AL22" s="3">
        <v>5.8564999999999996</v>
      </c>
      <c r="AM22" s="2">
        <v>46170</v>
      </c>
      <c r="AN22" s="3">
        <v>53890</v>
      </c>
      <c r="AO22" s="3">
        <v>1194096410676</v>
      </c>
      <c r="AP22" s="3">
        <v>53893.73</v>
      </c>
      <c r="AQ22" s="3">
        <v>0.01</v>
      </c>
      <c r="AR22" s="3">
        <v>22158000</v>
      </c>
      <c r="AS22" s="2">
        <v>46170</v>
      </c>
      <c r="AT22" s="3">
        <v>51050</v>
      </c>
      <c r="AU22" s="3">
        <v>419516712996</v>
      </c>
      <c r="AV22" s="3">
        <v>51006.27</v>
      </c>
      <c r="AW22" s="3">
        <v>0.06</v>
      </c>
      <c r="AX22" s="3">
        <v>8220000</v>
      </c>
      <c r="AY22" s="2">
        <v>46170</v>
      </c>
      <c r="AZ22" s="3">
        <v>103970</v>
      </c>
      <c r="BA22" s="3">
        <v>2111858473530</v>
      </c>
      <c r="BB22" s="3">
        <v>103676.84</v>
      </c>
      <c r="BC22" s="3">
        <v>-0.04</v>
      </c>
      <c r="BD22" s="3">
        <v>20343000</v>
      </c>
      <c r="BE22" s="3">
        <v>5.7957999999999998</v>
      </c>
      <c r="BF22" s="2">
        <v>46170</v>
      </c>
      <c r="BG22" s="3">
        <v>50000</v>
      </c>
      <c r="BH22" s="3">
        <v>34874982044</v>
      </c>
      <c r="BI22" s="3">
        <v>49913.919999999998</v>
      </c>
      <c r="BJ22" s="3">
        <v>-0.02</v>
      </c>
      <c r="BK22" s="3">
        <v>698000</v>
      </c>
      <c r="BL22" s="2">
        <v>46170</v>
      </c>
      <c r="BM22" s="3">
        <v>114800</v>
      </c>
      <c r="BN22" s="3">
        <v>585656630699</v>
      </c>
      <c r="BO22" s="3">
        <v>114651.1</v>
      </c>
      <c r="BP22" s="3">
        <v>0.02</v>
      </c>
      <c r="BQ22" s="3">
        <v>5102000</v>
      </c>
    </row>
    <row r="23" spans="1:69" ht="13.5" customHeight="1" x14ac:dyDescent="0.3">
      <c r="A23" s="2">
        <v>46169</v>
      </c>
      <c r="B23" s="3">
        <v>111030</v>
      </c>
      <c r="C23" s="3">
        <v>4326996106050</v>
      </c>
      <c r="D23" s="3">
        <v>110898.11</v>
      </c>
      <c r="E23" s="3">
        <v>0.06</v>
      </c>
      <c r="F23" s="3">
        <v>38987000</v>
      </c>
      <c r="G23" s="3">
        <v>5.9497999999999998</v>
      </c>
      <c r="H23" s="2">
        <v>46169</v>
      </c>
      <c r="I23" s="3">
        <v>89160</v>
      </c>
      <c r="J23" s="3">
        <v>291499771922</v>
      </c>
      <c r="K23" s="3">
        <v>88990.45</v>
      </c>
      <c r="L23" s="3">
        <v>0.28999999999999998</v>
      </c>
      <c r="M23" s="3">
        <v>3271000</v>
      </c>
      <c r="N23" s="2">
        <v>46169</v>
      </c>
      <c r="O23" s="3">
        <v>94025</v>
      </c>
      <c r="P23" s="3">
        <v>347347408434</v>
      </c>
      <c r="Q23" s="3">
        <v>94111</v>
      </c>
      <c r="R23" s="3">
        <v>0.43</v>
      </c>
      <c r="S23" s="3">
        <v>3689000</v>
      </c>
      <c r="T23" s="2">
        <v>46169</v>
      </c>
      <c r="U23" s="3">
        <v>99055</v>
      </c>
      <c r="V23" s="3">
        <v>92665206858</v>
      </c>
      <c r="W23" s="3">
        <v>98747.14</v>
      </c>
      <c r="X23" s="3">
        <v>0.15</v>
      </c>
      <c r="Y23" s="3">
        <v>936000</v>
      </c>
      <c r="Z23" s="2">
        <v>46169</v>
      </c>
      <c r="AA23" s="3">
        <v>99875</v>
      </c>
      <c r="AB23" s="3">
        <v>62314337395</v>
      </c>
      <c r="AC23" s="3">
        <v>99722.8</v>
      </c>
      <c r="AD23" s="3">
        <v>0.1</v>
      </c>
      <c r="AE23" s="3">
        <v>624000</v>
      </c>
      <c r="AF23" s="2">
        <v>46169</v>
      </c>
      <c r="AG23" s="3">
        <v>107205</v>
      </c>
      <c r="AH23" s="3">
        <v>1293430697216</v>
      </c>
      <c r="AI23" s="3">
        <v>107114.15</v>
      </c>
      <c r="AJ23" s="3">
        <v>0.13</v>
      </c>
      <c r="AK23" s="3">
        <v>12063000</v>
      </c>
      <c r="AL23" s="3">
        <v>5.8452999999999999</v>
      </c>
      <c r="AM23" s="2">
        <v>46169</v>
      </c>
      <c r="AN23" s="3">
        <v>53890</v>
      </c>
      <c r="AO23" s="3">
        <v>1181295773075</v>
      </c>
      <c r="AP23" s="3">
        <v>53890.080000000002</v>
      </c>
      <c r="AQ23" s="3">
        <v>0</v>
      </c>
      <c r="AR23" s="3">
        <v>21922000</v>
      </c>
      <c r="AS23" s="2">
        <v>46169</v>
      </c>
      <c r="AT23" s="3">
        <v>51060</v>
      </c>
      <c r="AU23" s="3">
        <v>419701437035</v>
      </c>
      <c r="AV23" s="3">
        <v>51036.1</v>
      </c>
      <c r="AW23" s="3">
        <v>0.03</v>
      </c>
      <c r="AX23" s="3">
        <v>8220000</v>
      </c>
      <c r="AY23" s="2">
        <v>46169</v>
      </c>
      <c r="AZ23" s="3">
        <v>103925</v>
      </c>
      <c r="BA23" s="3">
        <v>2115860281184</v>
      </c>
      <c r="BB23" s="3">
        <v>103812.54</v>
      </c>
      <c r="BC23" s="3">
        <v>0.15</v>
      </c>
      <c r="BD23" s="3">
        <v>20362000</v>
      </c>
      <c r="BE23" s="3">
        <v>5.8262999999999998</v>
      </c>
      <c r="BF23" s="2">
        <v>46169</v>
      </c>
      <c r="BG23" s="3">
        <v>50025</v>
      </c>
      <c r="BH23" s="3">
        <v>35113760175</v>
      </c>
      <c r="BI23" s="3">
        <v>49964.160000000003</v>
      </c>
      <c r="BJ23" s="3">
        <v>7.0000000000000007E-2</v>
      </c>
      <c r="BK23" s="3">
        <v>702000</v>
      </c>
      <c r="BL23" s="2">
        <v>46169</v>
      </c>
      <c r="BM23" s="3">
        <v>114945</v>
      </c>
      <c r="BN23" s="3">
        <v>586398963164</v>
      </c>
      <c r="BO23" s="3">
        <v>114789.62</v>
      </c>
      <c r="BP23" s="3">
        <v>0.01</v>
      </c>
      <c r="BQ23" s="3">
        <v>5102000</v>
      </c>
    </row>
    <row r="24" spans="1:69" ht="13.5" customHeight="1" x14ac:dyDescent="0.3">
      <c r="A24" s="2">
        <v>46168</v>
      </c>
      <c r="B24" s="3">
        <v>110765</v>
      </c>
      <c r="C24" s="3">
        <v>4301483209192</v>
      </c>
      <c r="D24" s="3">
        <v>110985.61</v>
      </c>
      <c r="E24" s="3">
        <v>0.04</v>
      </c>
      <c r="F24" s="3">
        <v>38851000</v>
      </c>
      <c r="G24" s="3">
        <v>5.9737999999999998</v>
      </c>
      <c r="H24" s="2">
        <v>46168</v>
      </c>
      <c r="I24" s="3">
        <v>88550</v>
      </c>
      <c r="J24" s="3">
        <v>289931788265</v>
      </c>
      <c r="K24" s="3">
        <v>89116.41</v>
      </c>
      <c r="L24" s="3">
        <v>0.05</v>
      </c>
      <c r="M24" s="3">
        <v>3271000</v>
      </c>
      <c r="N24" s="2">
        <v>46168</v>
      </c>
      <c r="O24" s="3">
        <v>93490</v>
      </c>
      <c r="P24" s="3">
        <v>344334438004</v>
      </c>
      <c r="Q24" s="3">
        <v>94157.61</v>
      </c>
      <c r="R24" s="3">
        <v>-0.14000000000000001</v>
      </c>
      <c r="S24" s="3">
        <v>3689000</v>
      </c>
      <c r="T24" s="2">
        <v>46168</v>
      </c>
      <c r="U24" s="3">
        <v>98510</v>
      </c>
      <c r="V24" s="3">
        <v>91562681939</v>
      </c>
      <c r="W24" s="3">
        <v>99001.29</v>
      </c>
      <c r="X24" s="3">
        <v>0.05</v>
      </c>
      <c r="Y24" s="3">
        <v>929000</v>
      </c>
      <c r="Z24" s="2">
        <v>46168</v>
      </c>
      <c r="AA24" s="3">
        <v>99635</v>
      </c>
      <c r="AB24" s="3">
        <v>63198436913</v>
      </c>
      <c r="AC24" s="3">
        <v>99862.720000000001</v>
      </c>
      <c r="AD24" s="3">
        <v>0.01</v>
      </c>
      <c r="AE24" s="3">
        <v>634000</v>
      </c>
      <c r="AF24" s="2">
        <v>46168</v>
      </c>
      <c r="AG24" s="3">
        <v>106870</v>
      </c>
      <c r="AH24" s="3">
        <v>1288273331779</v>
      </c>
      <c r="AI24" s="3">
        <v>107222.97</v>
      </c>
      <c r="AJ24" s="3">
        <v>-0.02</v>
      </c>
      <c r="AK24" s="3">
        <v>12050000</v>
      </c>
      <c r="AL24" s="3">
        <v>5.8567</v>
      </c>
      <c r="AM24" s="2">
        <v>46168</v>
      </c>
      <c r="AN24" s="3">
        <v>53890</v>
      </c>
      <c r="AO24" s="3">
        <v>1181626412050</v>
      </c>
      <c r="AP24" s="3">
        <v>53886.31</v>
      </c>
      <c r="AQ24" s="3">
        <v>0.01</v>
      </c>
      <c r="AR24" s="3">
        <v>21930000</v>
      </c>
      <c r="AS24" s="2">
        <v>46168</v>
      </c>
      <c r="AT24" s="3">
        <v>51025</v>
      </c>
      <c r="AU24" s="3">
        <v>419408695995</v>
      </c>
      <c r="AV24" s="3">
        <v>51058.57</v>
      </c>
      <c r="AW24" s="3">
        <v>0</v>
      </c>
      <c r="AX24" s="3">
        <v>8220000</v>
      </c>
      <c r="AY24" s="2">
        <v>46168</v>
      </c>
      <c r="AZ24" s="3">
        <v>103620</v>
      </c>
      <c r="BA24" s="3">
        <v>2103775671801</v>
      </c>
      <c r="BB24" s="3">
        <v>103912.2</v>
      </c>
      <c r="BC24" s="3">
        <v>0.01</v>
      </c>
      <c r="BD24" s="3">
        <v>20303000</v>
      </c>
      <c r="BE24" s="3">
        <v>5.7906000000000004</v>
      </c>
      <c r="BF24" s="2">
        <v>46168</v>
      </c>
      <c r="BG24" s="3">
        <v>49935</v>
      </c>
      <c r="BH24" s="3">
        <v>35062518557</v>
      </c>
      <c r="BI24" s="3">
        <v>50019.6</v>
      </c>
      <c r="BJ24" s="3">
        <v>0.01</v>
      </c>
      <c r="BK24" s="3">
        <v>702000</v>
      </c>
      <c r="BL24" s="2">
        <v>46168</v>
      </c>
      <c r="BM24" s="3">
        <v>114690</v>
      </c>
      <c r="BN24" s="3">
        <v>585437303892</v>
      </c>
      <c r="BO24" s="3">
        <v>114935.12</v>
      </c>
      <c r="BP24" s="3">
        <v>0.01</v>
      </c>
      <c r="BQ24" s="3">
        <v>5102000</v>
      </c>
    </row>
    <row r="25" spans="1:69" ht="13.5" customHeight="1" x14ac:dyDescent="0.3">
      <c r="A25" s="2">
        <v>46164</v>
      </c>
      <c r="B25" s="3">
        <v>110685</v>
      </c>
      <c r="C25" s="3">
        <v>4293091834154</v>
      </c>
      <c r="D25" s="3">
        <v>110717.44</v>
      </c>
      <c r="E25" s="3">
        <v>0.04</v>
      </c>
      <c r="F25" s="3">
        <v>38851000</v>
      </c>
      <c r="G25" s="3">
        <v>5.9862000000000002</v>
      </c>
      <c r="H25" s="2">
        <v>46164</v>
      </c>
      <c r="I25" s="3">
        <v>88600</v>
      </c>
      <c r="J25" s="3">
        <v>288634499989</v>
      </c>
      <c r="K25" s="3">
        <v>88637.05</v>
      </c>
      <c r="L25" s="3">
        <v>-0.1</v>
      </c>
      <c r="M25" s="3">
        <v>3271000</v>
      </c>
      <c r="N25" s="2">
        <v>46164</v>
      </c>
      <c r="O25" s="3">
        <v>93385</v>
      </c>
      <c r="P25" s="3">
        <v>341414628243</v>
      </c>
      <c r="Q25" s="3">
        <v>93340.86</v>
      </c>
      <c r="R25" s="3">
        <v>0.16</v>
      </c>
      <c r="S25" s="3">
        <v>3679000</v>
      </c>
      <c r="T25" s="2">
        <v>46164</v>
      </c>
      <c r="U25" s="3">
        <v>98290</v>
      </c>
      <c r="V25" s="3">
        <v>91116272472</v>
      </c>
      <c r="W25" s="3">
        <v>98560.48</v>
      </c>
      <c r="X25" s="3">
        <v>-0.05</v>
      </c>
      <c r="Y25" s="3">
        <v>929000</v>
      </c>
      <c r="Z25" s="2">
        <v>46164</v>
      </c>
      <c r="AA25" s="3">
        <v>99580</v>
      </c>
      <c r="AB25" s="3">
        <v>63108895012</v>
      </c>
      <c r="AC25" s="3">
        <v>99682.08</v>
      </c>
      <c r="AD25" s="3">
        <v>-0.05</v>
      </c>
      <c r="AE25" s="3">
        <v>634000</v>
      </c>
      <c r="AF25" s="2">
        <v>46164</v>
      </c>
      <c r="AG25" s="3">
        <v>106830</v>
      </c>
      <c r="AH25" s="3">
        <v>1287850495218</v>
      </c>
      <c r="AI25" s="3">
        <v>106910.65</v>
      </c>
      <c r="AJ25" s="3">
        <v>-0.04</v>
      </c>
      <c r="AK25" s="3">
        <v>12074000</v>
      </c>
      <c r="AL25" s="3">
        <v>5.8249000000000004</v>
      </c>
      <c r="AM25" s="2">
        <v>46164</v>
      </c>
      <c r="AN25" s="3">
        <v>53880</v>
      </c>
      <c r="AO25" s="3">
        <v>1181238918964</v>
      </c>
      <c r="AP25" s="3">
        <v>53881.73</v>
      </c>
      <c r="AQ25" s="3">
        <v>0.02</v>
      </c>
      <c r="AR25" s="3">
        <v>21930000</v>
      </c>
      <c r="AS25" s="2">
        <v>46164</v>
      </c>
      <c r="AT25" s="3">
        <v>51015</v>
      </c>
      <c r="AU25" s="3">
        <v>419418575045</v>
      </c>
      <c r="AV25" s="3">
        <v>51022.96</v>
      </c>
      <c r="AW25" s="3">
        <v>0</v>
      </c>
      <c r="AX25" s="3">
        <v>8226000</v>
      </c>
      <c r="AY25" s="2">
        <v>46164</v>
      </c>
      <c r="AZ25" s="3">
        <v>103520</v>
      </c>
      <c r="BA25" s="3">
        <v>2099143188911</v>
      </c>
      <c r="BB25" s="3">
        <v>103618.96</v>
      </c>
      <c r="BC25" s="3">
        <v>0</v>
      </c>
      <c r="BD25" s="3">
        <v>20304000</v>
      </c>
      <c r="BE25" s="3">
        <v>5.8541999999999996</v>
      </c>
      <c r="BF25" s="2">
        <v>46164</v>
      </c>
      <c r="BG25" s="3">
        <v>49930</v>
      </c>
      <c r="BH25" s="3">
        <v>35021121671</v>
      </c>
      <c r="BI25" s="3">
        <v>49946.61</v>
      </c>
      <c r="BJ25" s="3">
        <v>-0.02</v>
      </c>
      <c r="BK25" s="3">
        <v>702000</v>
      </c>
      <c r="BL25" s="2">
        <v>46164</v>
      </c>
      <c r="BM25" s="3">
        <v>114680</v>
      </c>
      <c r="BN25" s="3">
        <v>587248877434</v>
      </c>
      <c r="BO25" s="3">
        <v>114746.63</v>
      </c>
      <c r="BP25" s="3">
        <v>-0.05</v>
      </c>
      <c r="BQ25" s="3">
        <v>5124000</v>
      </c>
    </row>
    <row r="26" spans="1:69" ht="13.5" customHeight="1" x14ac:dyDescent="0.3">
      <c r="A26" s="2">
        <v>46163</v>
      </c>
      <c r="B26" s="3">
        <v>110495</v>
      </c>
      <c r="C26" s="3">
        <v>4309858208079</v>
      </c>
      <c r="D26" s="3">
        <v>110501.45</v>
      </c>
      <c r="E26" s="3">
        <v>0.17</v>
      </c>
      <c r="F26" s="3">
        <v>39005000</v>
      </c>
      <c r="G26" s="3">
        <v>6.0162000000000004</v>
      </c>
      <c r="H26" s="2">
        <v>46163</v>
      </c>
      <c r="I26" s="3">
        <v>88120</v>
      </c>
      <c r="J26" s="3">
        <v>288566024023</v>
      </c>
      <c r="K26" s="3">
        <v>88240.45</v>
      </c>
      <c r="L26" s="3">
        <v>0.41</v>
      </c>
      <c r="M26" s="3">
        <v>3271000</v>
      </c>
      <c r="N26" s="2">
        <v>46163</v>
      </c>
      <c r="O26" s="3">
        <v>92810</v>
      </c>
      <c r="P26" s="3">
        <v>341417807397</v>
      </c>
      <c r="Q26" s="3">
        <v>92800.93</v>
      </c>
      <c r="R26" s="3">
        <v>0.63</v>
      </c>
      <c r="S26" s="3">
        <v>3679000</v>
      </c>
      <c r="T26" s="2">
        <v>46163</v>
      </c>
      <c r="U26" s="3">
        <v>97950</v>
      </c>
      <c r="V26" s="3">
        <v>91020658086</v>
      </c>
      <c r="W26" s="3">
        <v>98079.95</v>
      </c>
      <c r="X26" s="3">
        <v>0.21</v>
      </c>
      <c r="Y26" s="3">
        <v>929000</v>
      </c>
      <c r="Z26" s="2">
        <v>46163</v>
      </c>
      <c r="AA26" s="3">
        <v>99530</v>
      </c>
      <c r="AB26" s="3">
        <v>63097869045</v>
      </c>
      <c r="AC26" s="3">
        <v>99540.84</v>
      </c>
      <c r="AD26" s="3">
        <v>0.04</v>
      </c>
      <c r="AE26" s="3">
        <v>634000</v>
      </c>
      <c r="AF26" s="2">
        <v>46163</v>
      </c>
      <c r="AG26" s="3">
        <v>106685</v>
      </c>
      <c r="AH26" s="3">
        <v>1292120778159</v>
      </c>
      <c r="AI26" s="3">
        <v>106663.12</v>
      </c>
      <c r="AJ26" s="3">
        <v>0.16</v>
      </c>
      <c r="AK26" s="3">
        <v>12117000</v>
      </c>
      <c r="AL26" s="3">
        <v>5.8242000000000003</v>
      </c>
      <c r="AM26" s="2">
        <v>46163</v>
      </c>
      <c r="AN26" s="3">
        <v>53870</v>
      </c>
      <c r="AO26" s="3">
        <v>1179761380514</v>
      </c>
      <c r="AP26" s="3">
        <v>53864.06</v>
      </c>
      <c r="AQ26" s="3">
        <v>0.03</v>
      </c>
      <c r="AR26" s="3">
        <v>21904000</v>
      </c>
      <c r="AS26" s="2">
        <v>46163</v>
      </c>
      <c r="AT26" s="3">
        <v>50990</v>
      </c>
      <c r="AU26" s="3">
        <v>404902784903</v>
      </c>
      <c r="AV26" s="3">
        <v>50986.94</v>
      </c>
      <c r="AW26" s="3">
        <v>0.06</v>
      </c>
      <c r="AX26" s="3">
        <v>7942000</v>
      </c>
      <c r="AY26" s="2">
        <v>46163</v>
      </c>
      <c r="AZ26" s="3">
        <v>103385</v>
      </c>
      <c r="BA26" s="3">
        <v>2106437859171</v>
      </c>
      <c r="BB26" s="3">
        <v>103385.7</v>
      </c>
      <c r="BC26" s="3">
        <v>0.13</v>
      </c>
      <c r="BD26" s="3">
        <v>20378000</v>
      </c>
      <c r="BE26" s="3">
        <v>5.8556999999999997</v>
      </c>
      <c r="BF26" s="2">
        <v>46163</v>
      </c>
      <c r="BG26" s="3">
        <v>49895</v>
      </c>
      <c r="BH26" s="3">
        <v>35016791400</v>
      </c>
      <c r="BI26" s="3">
        <v>49887.64</v>
      </c>
      <c r="BJ26" s="3">
        <v>0.08</v>
      </c>
      <c r="BK26" s="3">
        <v>702000</v>
      </c>
      <c r="BL26" s="2">
        <v>46163</v>
      </c>
      <c r="BM26" s="3">
        <v>114635</v>
      </c>
      <c r="BN26" s="3">
        <v>587294382652</v>
      </c>
      <c r="BO26" s="3">
        <v>114607.51</v>
      </c>
      <c r="BP26" s="3">
        <v>0.06</v>
      </c>
      <c r="BQ26" s="3">
        <v>5124000</v>
      </c>
    </row>
    <row r="27" spans="1:69" ht="13.5" customHeight="1" x14ac:dyDescent="0.3">
      <c r="A27" s="2">
        <v>46162</v>
      </c>
      <c r="B27" s="3">
        <v>110310</v>
      </c>
      <c r="C27" s="3">
        <v>4316133135535</v>
      </c>
      <c r="D27" s="3">
        <v>110495.02</v>
      </c>
      <c r="E27" s="3">
        <v>0</v>
      </c>
      <c r="F27" s="3">
        <v>39074000</v>
      </c>
      <c r="G27" s="3">
        <v>6.1468999999999996</v>
      </c>
      <c r="H27" s="2">
        <v>46162</v>
      </c>
      <c r="I27" s="3">
        <v>87810</v>
      </c>
      <c r="J27" s="3">
        <v>288662364824</v>
      </c>
      <c r="K27" s="3">
        <v>88219.51</v>
      </c>
      <c r="L27" s="3">
        <v>-0.11</v>
      </c>
      <c r="M27" s="3">
        <v>3276000</v>
      </c>
      <c r="N27" s="2">
        <v>46162</v>
      </c>
      <c r="O27" s="3">
        <v>92165</v>
      </c>
      <c r="P27" s="3">
        <v>339458358003</v>
      </c>
      <c r="Q27" s="3">
        <v>92801.8</v>
      </c>
      <c r="R27" s="3">
        <v>0.01</v>
      </c>
      <c r="S27" s="3">
        <v>3670000</v>
      </c>
      <c r="T27" s="2">
        <v>46162</v>
      </c>
      <c r="U27" s="3">
        <v>97645</v>
      </c>
      <c r="V27" s="3">
        <v>90836274620</v>
      </c>
      <c r="W27" s="3">
        <v>97977.03</v>
      </c>
      <c r="X27" s="3">
        <v>-0.03</v>
      </c>
      <c r="Y27" s="3">
        <v>928000</v>
      </c>
      <c r="Z27" s="2">
        <v>46162</v>
      </c>
      <c r="AA27" s="3">
        <v>99485</v>
      </c>
      <c r="AB27" s="3">
        <v>60124384055</v>
      </c>
      <c r="AC27" s="3">
        <v>99523.45</v>
      </c>
      <c r="AD27" s="3">
        <v>0.01</v>
      </c>
      <c r="AE27" s="3">
        <v>604000</v>
      </c>
      <c r="AF27" s="2">
        <v>46162</v>
      </c>
      <c r="AG27" s="3">
        <v>106560</v>
      </c>
      <c r="AH27" s="3">
        <v>1291616959938</v>
      </c>
      <c r="AI27" s="3">
        <v>106637.02</v>
      </c>
      <c r="AJ27" s="3">
        <v>0.04</v>
      </c>
      <c r="AK27" s="3">
        <v>12118000</v>
      </c>
      <c r="AL27" s="3">
        <v>5.8456999999999999</v>
      </c>
      <c r="AM27" s="2">
        <v>46162</v>
      </c>
      <c r="AN27" s="3">
        <v>53870</v>
      </c>
      <c r="AO27" s="3">
        <v>1179677581158</v>
      </c>
      <c r="AP27" s="3">
        <v>53860.55</v>
      </c>
      <c r="AQ27" s="3">
        <v>0.02</v>
      </c>
      <c r="AR27" s="3">
        <v>21904000</v>
      </c>
      <c r="AS27" s="2">
        <v>46162</v>
      </c>
      <c r="AT27" s="3">
        <v>50995</v>
      </c>
      <c r="AU27" s="3">
        <v>389922706051</v>
      </c>
      <c r="AV27" s="3">
        <v>50982.47</v>
      </c>
      <c r="AW27" s="3">
        <v>0.01</v>
      </c>
      <c r="AX27" s="3">
        <v>7648000</v>
      </c>
      <c r="AY27" s="2">
        <v>46162</v>
      </c>
      <c r="AZ27" s="3">
        <v>103240</v>
      </c>
      <c r="BA27" s="3">
        <v>2106872779256</v>
      </c>
      <c r="BB27" s="3">
        <v>103368.23</v>
      </c>
      <c r="BC27" s="3">
        <v>0.02</v>
      </c>
      <c r="BD27" s="3">
        <v>20392000</v>
      </c>
      <c r="BE27" s="3">
        <v>5.8384999999999998</v>
      </c>
      <c r="BF27" s="2">
        <v>46162</v>
      </c>
      <c r="BG27" s="3">
        <v>49895</v>
      </c>
      <c r="BH27" s="3">
        <v>35020956076</v>
      </c>
      <c r="BI27" s="3">
        <v>49881.47</v>
      </c>
      <c r="BJ27" s="3">
        <v>0.03</v>
      </c>
      <c r="BK27" s="3">
        <v>702000</v>
      </c>
      <c r="BL27" s="2">
        <v>46162</v>
      </c>
      <c r="BM27" s="3">
        <v>114670</v>
      </c>
      <c r="BN27" s="3">
        <v>589798840362</v>
      </c>
      <c r="BO27" s="3">
        <v>114616.39</v>
      </c>
      <c r="BP27" s="3">
        <v>0.02</v>
      </c>
      <c r="BQ27" s="3">
        <v>5144000</v>
      </c>
    </row>
    <row r="28" spans="1:69" ht="13.5" customHeight="1" x14ac:dyDescent="0.3">
      <c r="A28" s="2">
        <v>46161</v>
      </c>
      <c r="B28" s="3">
        <v>110400</v>
      </c>
      <c r="C28" s="3">
        <v>4263372338538</v>
      </c>
      <c r="D28" s="3">
        <v>110460.49</v>
      </c>
      <c r="E28" s="3">
        <v>-0.14000000000000001</v>
      </c>
      <c r="F28" s="3">
        <v>38614000</v>
      </c>
      <c r="G28" s="3">
        <v>6.2396000000000003</v>
      </c>
      <c r="H28" s="2">
        <v>46161</v>
      </c>
      <c r="I28" s="3">
        <v>87965</v>
      </c>
      <c r="J28" s="3">
        <v>288286951071</v>
      </c>
      <c r="K28" s="3">
        <v>88114.27</v>
      </c>
      <c r="L28" s="3">
        <v>-0.35</v>
      </c>
      <c r="M28" s="3">
        <v>3276000</v>
      </c>
      <c r="N28" s="2">
        <v>46161</v>
      </c>
      <c r="O28" s="3">
        <v>92440</v>
      </c>
      <c r="P28" s="3">
        <v>339657504006</v>
      </c>
      <c r="Q28" s="3">
        <v>92495.47</v>
      </c>
      <c r="R28" s="3">
        <v>-0.36</v>
      </c>
      <c r="S28" s="3">
        <v>3678000</v>
      </c>
      <c r="T28" s="2">
        <v>46161</v>
      </c>
      <c r="U28" s="3">
        <v>97785</v>
      </c>
      <c r="V28" s="3">
        <v>109115943200</v>
      </c>
      <c r="W28" s="3">
        <v>97883.92</v>
      </c>
      <c r="X28" s="3">
        <v>-0.24</v>
      </c>
      <c r="Y28" s="3">
        <v>1118000</v>
      </c>
      <c r="Z28" s="2">
        <v>46161</v>
      </c>
      <c r="AA28" s="3">
        <v>99530</v>
      </c>
      <c r="AB28" s="3">
        <v>58107195607</v>
      </c>
      <c r="AC28" s="3">
        <v>99543.679999999993</v>
      </c>
      <c r="AD28" s="3">
        <v>-0.06</v>
      </c>
      <c r="AE28" s="3">
        <v>584000</v>
      </c>
      <c r="AF28" s="2">
        <v>46161</v>
      </c>
      <c r="AG28" s="3">
        <v>106625</v>
      </c>
      <c r="AH28" s="3">
        <v>1299946807030</v>
      </c>
      <c r="AI28" s="3">
        <v>106586.64</v>
      </c>
      <c r="AJ28" s="3">
        <v>-0.02</v>
      </c>
      <c r="AK28" s="3">
        <v>12204000</v>
      </c>
      <c r="AL28" s="3">
        <v>5.8273999999999999</v>
      </c>
      <c r="AM28" s="2">
        <v>46161</v>
      </c>
      <c r="AN28" s="3">
        <v>53870</v>
      </c>
      <c r="AO28" s="3">
        <v>1179476619215</v>
      </c>
      <c r="AP28" s="3">
        <v>53856.72</v>
      </c>
      <c r="AQ28" s="3">
        <v>0.02</v>
      </c>
      <c r="AR28" s="3">
        <v>21902000</v>
      </c>
      <c r="AS28" s="2">
        <v>46161</v>
      </c>
      <c r="AT28" s="3">
        <v>50970</v>
      </c>
      <c r="AU28" s="3">
        <v>391847511054</v>
      </c>
      <c r="AV28" s="3">
        <v>50983.62</v>
      </c>
      <c r="AW28" s="3">
        <v>0.02</v>
      </c>
      <c r="AX28" s="3">
        <v>7686000</v>
      </c>
      <c r="AY28" s="2">
        <v>46161</v>
      </c>
      <c r="AZ28" s="3">
        <v>103360</v>
      </c>
      <c r="BA28" s="3">
        <v>2118640735892</v>
      </c>
      <c r="BB28" s="3">
        <v>103318.59</v>
      </c>
      <c r="BC28" s="3">
        <v>-0.08</v>
      </c>
      <c r="BD28" s="3">
        <v>20519000</v>
      </c>
      <c r="BE28" s="3">
        <v>5.8132000000000001</v>
      </c>
      <c r="BF28" s="2">
        <v>46161</v>
      </c>
      <c r="BG28" s="3">
        <v>49855</v>
      </c>
      <c r="BH28" s="3">
        <v>34909837183</v>
      </c>
      <c r="BI28" s="3">
        <v>49887.4</v>
      </c>
      <c r="BJ28" s="3">
        <v>0.02</v>
      </c>
      <c r="BK28" s="3">
        <v>700000</v>
      </c>
      <c r="BL28" s="2">
        <v>46161</v>
      </c>
      <c r="BM28" s="3">
        <v>114600</v>
      </c>
      <c r="BN28" s="3">
        <v>590727083847</v>
      </c>
      <c r="BO28" s="3">
        <v>114657.63</v>
      </c>
      <c r="BP28" s="3">
        <v>0.01</v>
      </c>
      <c r="BQ28" s="3">
        <v>5154000</v>
      </c>
    </row>
    <row r="29" spans="1:69" ht="13.5" customHeight="1" x14ac:dyDescent="0.3">
      <c r="A29" s="2">
        <v>46160</v>
      </c>
      <c r="B29" s="3">
        <v>110635</v>
      </c>
      <c r="C29" s="3">
        <v>4257521064228</v>
      </c>
      <c r="D29" s="3">
        <v>110410.02</v>
      </c>
      <c r="E29" s="3">
        <v>-0.01</v>
      </c>
      <c r="F29" s="3">
        <v>38481000</v>
      </c>
      <c r="G29" s="3">
        <v>6.1429</v>
      </c>
      <c r="H29" s="2">
        <v>46160</v>
      </c>
      <c r="I29" s="3">
        <v>88415</v>
      </c>
      <c r="J29" s="3">
        <v>289759952626</v>
      </c>
      <c r="K29" s="3">
        <v>87999.679999999993</v>
      </c>
      <c r="L29" s="3">
        <v>-0.04</v>
      </c>
      <c r="M29" s="3">
        <v>3277000</v>
      </c>
      <c r="N29" s="2">
        <v>46160</v>
      </c>
      <c r="O29" s="3">
        <v>93345</v>
      </c>
      <c r="P29" s="3">
        <v>337868788667</v>
      </c>
      <c r="Q29" s="3">
        <v>92348.42</v>
      </c>
      <c r="R29" s="3">
        <v>0.1</v>
      </c>
      <c r="S29" s="3">
        <v>3617000</v>
      </c>
      <c r="T29" s="2">
        <v>46160</v>
      </c>
      <c r="U29" s="3">
        <v>97745</v>
      </c>
      <c r="V29" s="3">
        <v>112049657234</v>
      </c>
      <c r="W29" s="3">
        <v>97599.23</v>
      </c>
      <c r="X29" s="3">
        <v>0.19</v>
      </c>
      <c r="Y29" s="3">
        <v>1146000</v>
      </c>
      <c r="Z29" s="2">
        <v>46160</v>
      </c>
      <c r="AA29" s="3">
        <v>99400</v>
      </c>
      <c r="AB29" s="3">
        <v>56098319440</v>
      </c>
      <c r="AC29" s="3">
        <v>99498.62</v>
      </c>
      <c r="AD29" s="3">
        <v>0.03</v>
      </c>
      <c r="AE29" s="3">
        <v>564000</v>
      </c>
      <c r="AF29" s="2">
        <v>46160</v>
      </c>
      <c r="AG29" s="3">
        <v>106745</v>
      </c>
      <c r="AH29" s="3">
        <v>1306344317200</v>
      </c>
      <c r="AI29" s="3">
        <v>106518.09</v>
      </c>
      <c r="AJ29" s="3">
        <v>0.1</v>
      </c>
      <c r="AK29" s="3">
        <v>12241000</v>
      </c>
      <c r="AL29" s="3">
        <v>5.8628999999999998</v>
      </c>
      <c r="AM29" s="2">
        <v>46160</v>
      </c>
      <c r="AN29" s="3">
        <v>53855</v>
      </c>
      <c r="AO29" s="3">
        <v>1179583767066</v>
      </c>
      <c r="AP29" s="3">
        <v>53852.46</v>
      </c>
      <c r="AQ29" s="3">
        <v>0.03</v>
      </c>
      <c r="AR29" s="3">
        <v>21906000</v>
      </c>
      <c r="AS29" s="2">
        <v>46160</v>
      </c>
      <c r="AT29" s="3">
        <v>50985</v>
      </c>
      <c r="AU29" s="3">
        <v>393386066078</v>
      </c>
      <c r="AV29" s="3">
        <v>50981.98</v>
      </c>
      <c r="AW29" s="3">
        <v>-0.02</v>
      </c>
      <c r="AX29" s="3">
        <v>7718000</v>
      </c>
      <c r="AY29" s="2">
        <v>46160</v>
      </c>
      <c r="AZ29" s="3">
        <v>103390</v>
      </c>
      <c r="BA29" s="3">
        <v>2123478952058</v>
      </c>
      <c r="BB29" s="3">
        <v>103252.63</v>
      </c>
      <c r="BC29" s="3">
        <v>0.1</v>
      </c>
      <c r="BD29" s="3">
        <v>20526000</v>
      </c>
      <c r="BE29" s="3">
        <v>5.7794999999999996</v>
      </c>
      <c r="BF29" s="2">
        <v>46160</v>
      </c>
      <c r="BG29" s="3">
        <v>49875</v>
      </c>
      <c r="BH29" s="3">
        <v>34998144193</v>
      </c>
      <c r="BI29" s="3">
        <v>49871.199999999997</v>
      </c>
      <c r="BJ29" s="3">
        <v>-0.03</v>
      </c>
      <c r="BK29" s="3">
        <v>702000</v>
      </c>
      <c r="BL29" s="2">
        <v>46160</v>
      </c>
      <c r="BM29" s="3">
        <v>114465</v>
      </c>
      <c r="BN29" s="3">
        <v>593872518240</v>
      </c>
      <c r="BO29" s="3">
        <v>114615.27</v>
      </c>
      <c r="BP29" s="3">
        <v>-0.01</v>
      </c>
      <c r="BQ29" s="3">
        <v>5184000</v>
      </c>
    </row>
    <row r="30" spans="1:69" ht="13.5" customHeight="1" x14ac:dyDescent="0.3">
      <c r="A30" s="2">
        <v>46157</v>
      </c>
      <c r="B30" s="3">
        <v>111445</v>
      </c>
      <c r="C30" s="3">
        <v>4234625817033</v>
      </c>
      <c r="D30" s="3">
        <v>110639.56</v>
      </c>
      <c r="E30" s="3">
        <v>0</v>
      </c>
      <c r="F30" s="3">
        <v>38039000</v>
      </c>
      <c r="G30" s="3">
        <v>6.1905000000000001</v>
      </c>
      <c r="H30" s="2">
        <v>46157</v>
      </c>
      <c r="I30" s="3">
        <v>89730</v>
      </c>
      <c r="J30" s="3">
        <v>293861433517</v>
      </c>
      <c r="K30" s="3">
        <v>88422.32</v>
      </c>
      <c r="L30" s="3">
        <v>-0.01</v>
      </c>
      <c r="M30" s="3">
        <v>3277000</v>
      </c>
      <c r="N30" s="2">
        <v>46157</v>
      </c>
      <c r="O30" s="3">
        <v>95805</v>
      </c>
      <c r="P30" s="3">
        <v>348097229405</v>
      </c>
      <c r="Q30" s="3">
        <v>93411.33</v>
      </c>
      <c r="R30" s="3">
        <v>-7.0000000000000007E-2</v>
      </c>
      <c r="S30" s="3">
        <v>3637000</v>
      </c>
      <c r="T30" s="2">
        <v>46157</v>
      </c>
      <c r="U30" s="3">
        <v>98880</v>
      </c>
      <c r="V30" s="3">
        <v>113061817822</v>
      </c>
      <c r="W30" s="3">
        <v>97774.57</v>
      </c>
      <c r="X30" s="3">
        <v>-0.03</v>
      </c>
      <c r="Y30" s="3">
        <v>1145000</v>
      </c>
      <c r="Z30" s="2">
        <v>46157</v>
      </c>
      <c r="AA30" s="3">
        <v>99725</v>
      </c>
      <c r="AB30" s="3">
        <v>55260097937</v>
      </c>
      <c r="AC30" s="3">
        <v>99465.11</v>
      </c>
      <c r="AD30" s="3">
        <v>-7.0000000000000007E-2</v>
      </c>
      <c r="AE30" s="3">
        <v>554000</v>
      </c>
      <c r="AF30" s="2">
        <v>46157</v>
      </c>
      <c r="AG30" s="3">
        <v>107555</v>
      </c>
      <c r="AH30" s="3">
        <v>1291192061654</v>
      </c>
      <c r="AI30" s="3">
        <v>106718.76</v>
      </c>
      <c r="AJ30" s="3">
        <v>0.02</v>
      </c>
      <c r="AK30" s="3">
        <v>12020000</v>
      </c>
      <c r="AL30" s="3">
        <v>5.9537000000000004</v>
      </c>
      <c r="AM30" s="2">
        <v>46157</v>
      </c>
      <c r="AN30" s="3">
        <v>53845</v>
      </c>
      <c r="AO30" s="3">
        <v>1192250882062</v>
      </c>
      <c r="AP30" s="3">
        <v>53847.519999999997</v>
      </c>
      <c r="AQ30" s="3">
        <v>0.01</v>
      </c>
      <c r="AR30" s="3">
        <v>22146000</v>
      </c>
      <c r="AS30" s="2">
        <v>46157</v>
      </c>
      <c r="AT30" s="3">
        <v>51035</v>
      </c>
      <c r="AU30" s="3">
        <v>393483778198</v>
      </c>
      <c r="AV30" s="3">
        <v>50969.95</v>
      </c>
      <c r="AW30" s="3">
        <v>0.03</v>
      </c>
      <c r="AX30" s="3">
        <v>7714000</v>
      </c>
      <c r="AY30" s="2">
        <v>46157</v>
      </c>
      <c r="AZ30" s="3">
        <v>104210</v>
      </c>
      <c r="BA30" s="3">
        <v>2135104272676</v>
      </c>
      <c r="BB30" s="3">
        <v>103453.13</v>
      </c>
      <c r="BC30" s="3">
        <v>-0.06</v>
      </c>
      <c r="BD30" s="3">
        <v>20501000</v>
      </c>
      <c r="BE30" s="3">
        <v>5.8723999999999998</v>
      </c>
      <c r="BF30" s="2">
        <v>46157</v>
      </c>
      <c r="BG30" s="3">
        <v>49995</v>
      </c>
      <c r="BH30" s="3">
        <v>35074806010</v>
      </c>
      <c r="BI30" s="3">
        <v>49854.91</v>
      </c>
      <c r="BJ30" s="3">
        <v>0.04</v>
      </c>
      <c r="BK30" s="3">
        <v>702000</v>
      </c>
      <c r="BL30" s="2">
        <v>46157</v>
      </c>
      <c r="BM30" s="3">
        <v>114870</v>
      </c>
      <c r="BN30" s="3">
        <v>599266144333</v>
      </c>
      <c r="BO30" s="3">
        <v>114558.74</v>
      </c>
      <c r="BP30" s="3">
        <v>-0.08</v>
      </c>
      <c r="BQ30" s="3">
        <v>5217000</v>
      </c>
    </row>
    <row r="31" spans="1:69" ht="13.5" customHeight="1" x14ac:dyDescent="0.3">
      <c r="A31" s="2">
        <v>46156</v>
      </c>
      <c r="B31" s="3">
        <v>111615</v>
      </c>
      <c r="C31" s="3">
        <v>4234888989123</v>
      </c>
      <c r="D31" s="3">
        <v>111323.27</v>
      </c>
      <c r="E31" s="3">
        <v>0.11</v>
      </c>
      <c r="F31" s="3">
        <v>37990000</v>
      </c>
      <c r="G31" s="3">
        <v>6.1920000000000002</v>
      </c>
      <c r="H31" s="2">
        <v>46156</v>
      </c>
      <c r="I31" s="3">
        <v>89995</v>
      </c>
      <c r="J31" s="3">
        <v>303812109032</v>
      </c>
      <c r="K31" s="3">
        <v>89673.919999999998</v>
      </c>
      <c r="L31" s="3">
        <v>0.06</v>
      </c>
      <c r="M31" s="3">
        <v>3377000</v>
      </c>
      <c r="N31" s="2">
        <v>46156</v>
      </c>
      <c r="O31" s="3">
        <v>96320</v>
      </c>
      <c r="P31" s="3">
        <v>350290807012</v>
      </c>
      <c r="Q31" s="3">
        <v>95709.99</v>
      </c>
      <c r="R31" s="3">
        <v>0.1</v>
      </c>
      <c r="S31" s="3">
        <v>3637000</v>
      </c>
      <c r="T31" s="2">
        <v>46156</v>
      </c>
      <c r="U31" s="3">
        <v>99050</v>
      </c>
      <c r="V31" s="3">
        <v>113333731102</v>
      </c>
      <c r="W31" s="3">
        <v>98743.95</v>
      </c>
      <c r="X31" s="3">
        <v>0.14000000000000001</v>
      </c>
      <c r="Y31" s="3">
        <v>1145000</v>
      </c>
      <c r="Z31" s="2">
        <v>46156</v>
      </c>
      <c r="AA31" s="3">
        <v>99800</v>
      </c>
      <c r="AB31" s="3">
        <v>55285461297</v>
      </c>
      <c r="AC31" s="3">
        <v>99747.47</v>
      </c>
      <c r="AD31" s="3">
        <v>-0.02</v>
      </c>
      <c r="AE31" s="3">
        <v>554000</v>
      </c>
      <c r="AF31" s="2">
        <v>46156</v>
      </c>
      <c r="AG31" s="3">
        <v>107570</v>
      </c>
      <c r="AH31" s="3">
        <v>1276244938526</v>
      </c>
      <c r="AI31" s="3">
        <v>107420.3</v>
      </c>
      <c r="AJ31" s="3">
        <v>0.13</v>
      </c>
      <c r="AK31" s="3">
        <v>11864000</v>
      </c>
      <c r="AL31" s="3">
        <v>5.9665999999999997</v>
      </c>
      <c r="AM31" s="2">
        <v>46156</v>
      </c>
      <c r="AN31" s="3">
        <v>53840</v>
      </c>
      <c r="AO31" s="3">
        <v>1193331753698</v>
      </c>
      <c r="AP31" s="3">
        <v>53835.95</v>
      </c>
      <c r="AQ31" s="3">
        <v>0.02</v>
      </c>
      <c r="AR31" s="3">
        <v>22168000</v>
      </c>
      <c r="AS31" s="2">
        <v>46156</v>
      </c>
      <c r="AT31" s="3">
        <v>51010</v>
      </c>
      <c r="AU31" s="3">
        <v>392876388378</v>
      </c>
      <c r="AV31" s="3">
        <v>51009.05</v>
      </c>
      <c r="AW31" s="3">
        <v>0.05</v>
      </c>
      <c r="AX31" s="3">
        <v>7702000</v>
      </c>
      <c r="AY31" s="2">
        <v>46156</v>
      </c>
      <c r="AZ31" s="3">
        <v>104405</v>
      </c>
      <c r="BA31" s="3">
        <v>2136317844227</v>
      </c>
      <c r="BB31" s="3">
        <v>104146.35</v>
      </c>
      <c r="BC31" s="3">
        <v>0.06</v>
      </c>
      <c r="BD31" s="3">
        <v>20482000</v>
      </c>
      <c r="BE31" s="3">
        <v>5.9141000000000004</v>
      </c>
      <c r="BF31" s="2">
        <v>46156</v>
      </c>
      <c r="BG31" s="3">
        <v>49960</v>
      </c>
      <c r="BH31" s="3">
        <v>34585426145</v>
      </c>
      <c r="BI31" s="3">
        <v>49964.11</v>
      </c>
      <c r="BJ31" s="3">
        <v>0.06</v>
      </c>
      <c r="BK31" s="3">
        <v>692000</v>
      </c>
      <c r="BL31" s="2">
        <v>46156</v>
      </c>
      <c r="BM31" s="3">
        <v>114905</v>
      </c>
      <c r="BN31" s="3">
        <v>600643698815</v>
      </c>
      <c r="BO31" s="3">
        <v>114867.96</v>
      </c>
      <c r="BP31" s="3">
        <v>0</v>
      </c>
      <c r="BQ31" s="3">
        <v>5227000</v>
      </c>
    </row>
    <row r="32" spans="1:69" ht="13.5" customHeight="1" x14ac:dyDescent="0.3">
      <c r="A32" s="2">
        <v>46155</v>
      </c>
      <c r="B32" s="3">
        <v>111435</v>
      </c>
      <c r="C32" s="3">
        <v>4206256594804</v>
      </c>
      <c r="D32" s="3">
        <v>111473.78</v>
      </c>
      <c r="E32" s="3">
        <v>0.13</v>
      </c>
      <c r="F32" s="3">
        <v>37758000</v>
      </c>
      <c r="G32" s="3">
        <v>6.1421000000000001</v>
      </c>
      <c r="H32" s="2">
        <v>46155</v>
      </c>
      <c r="I32" s="3">
        <v>89975</v>
      </c>
      <c r="J32" s="3">
        <v>303101116905</v>
      </c>
      <c r="K32" s="3">
        <v>89965.09</v>
      </c>
      <c r="L32" s="3">
        <v>0.03</v>
      </c>
      <c r="M32" s="3">
        <v>3373000</v>
      </c>
      <c r="N32" s="2">
        <v>46155</v>
      </c>
      <c r="O32" s="3">
        <v>96470</v>
      </c>
      <c r="P32" s="3">
        <v>349568448154</v>
      </c>
      <c r="Q32" s="3">
        <v>96313.12</v>
      </c>
      <c r="R32" s="3">
        <v>0.01</v>
      </c>
      <c r="S32" s="3">
        <v>3634000</v>
      </c>
      <c r="T32" s="2">
        <v>46155</v>
      </c>
      <c r="U32" s="3">
        <v>98985</v>
      </c>
      <c r="V32" s="3">
        <v>115408244436</v>
      </c>
      <c r="W32" s="3">
        <v>98981.42</v>
      </c>
      <c r="X32" s="3">
        <v>7.0000000000000007E-2</v>
      </c>
      <c r="Y32" s="3">
        <v>1167000</v>
      </c>
      <c r="Z32" s="2">
        <v>46155</v>
      </c>
      <c r="AA32" s="3">
        <v>99770</v>
      </c>
      <c r="AB32" s="3">
        <v>54335898322</v>
      </c>
      <c r="AC32" s="3">
        <v>99793.25</v>
      </c>
      <c r="AD32" s="3">
        <v>0.01</v>
      </c>
      <c r="AE32" s="3">
        <v>545000</v>
      </c>
      <c r="AF32" s="2">
        <v>46155</v>
      </c>
      <c r="AG32" s="3">
        <v>107550</v>
      </c>
      <c r="AH32" s="3">
        <v>1269344779740</v>
      </c>
      <c r="AI32" s="3">
        <v>107572.9</v>
      </c>
      <c r="AJ32" s="3">
        <v>0</v>
      </c>
      <c r="AK32" s="3">
        <v>11809000</v>
      </c>
      <c r="AL32" s="3">
        <v>5.9175000000000004</v>
      </c>
      <c r="AM32" s="2">
        <v>46155</v>
      </c>
      <c r="AN32" s="3">
        <v>53830</v>
      </c>
      <c r="AO32" s="3">
        <v>1190423594698</v>
      </c>
      <c r="AP32" s="3">
        <v>53831.28</v>
      </c>
      <c r="AQ32" s="3">
        <v>0.02</v>
      </c>
      <c r="AR32" s="3">
        <v>22116000</v>
      </c>
      <c r="AS32" s="2">
        <v>46155</v>
      </c>
      <c r="AT32" s="3">
        <v>51000</v>
      </c>
      <c r="AU32" s="3">
        <v>389183198846</v>
      </c>
      <c r="AV32" s="3">
        <v>51009.66</v>
      </c>
      <c r="AW32" s="3">
        <v>0</v>
      </c>
      <c r="AX32" s="3">
        <v>7634000</v>
      </c>
      <c r="AY32" s="2">
        <v>46155</v>
      </c>
      <c r="AZ32" s="3">
        <v>104260</v>
      </c>
      <c r="BA32" s="3">
        <v>2130320886472</v>
      </c>
      <c r="BB32" s="3">
        <v>104302.21</v>
      </c>
      <c r="BC32" s="3">
        <v>0.1</v>
      </c>
      <c r="BD32" s="3">
        <v>20442000</v>
      </c>
      <c r="BE32" s="3">
        <v>5.8898999999999999</v>
      </c>
      <c r="BF32" s="2">
        <v>46155</v>
      </c>
      <c r="BG32" s="3">
        <v>49975</v>
      </c>
      <c r="BH32" s="3">
        <v>34356454578</v>
      </c>
      <c r="BI32" s="3">
        <v>49978.94</v>
      </c>
      <c r="BJ32" s="3">
        <v>-0.04</v>
      </c>
      <c r="BK32" s="3">
        <v>688000</v>
      </c>
      <c r="BL32" s="2">
        <v>46155</v>
      </c>
      <c r="BM32" s="3">
        <v>114820</v>
      </c>
      <c r="BN32" s="3">
        <v>603530575424</v>
      </c>
      <c r="BO32" s="3">
        <v>114911.75</v>
      </c>
      <c r="BP32" s="3">
        <v>-0.01</v>
      </c>
      <c r="BQ32" s="3">
        <v>5257000</v>
      </c>
    </row>
    <row r="33" spans="1:69" ht="13.5" customHeight="1" x14ac:dyDescent="0.3">
      <c r="A33" s="2">
        <v>46154</v>
      </c>
      <c r="B33" s="3">
        <v>112025</v>
      </c>
      <c r="C33" s="3">
        <v>4242414620472</v>
      </c>
      <c r="D33" s="3">
        <v>111400.41</v>
      </c>
      <c r="E33" s="3">
        <v>0.03</v>
      </c>
      <c r="F33" s="3">
        <v>37851000</v>
      </c>
      <c r="G33" s="3">
        <v>6.2007000000000003</v>
      </c>
      <c r="H33" s="2">
        <v>46154</v>
      </c>
      <c r="I33" s="3">
        <v>91060</v>
      </c>
      <c r="J33" s="3">
        <v>309833370369</v>
      </c>
      <c r="K33" s="3">
        <v>89860.99</v>
      </c>
      <c r="L33" s="3">
        <v>0.13</v>
      </c>
      <c r="M33" s="3">
        <v>3402000</v>
      </c>
      <c r="N33" s="2">
        <v>46154</v>
      </c>
      <c r="O33" s="3">
        <v>98770</v>
      </c>
      <c r="P33" s="3">
        <v>353373933291</v>
      </c>
      <c r="Q33" s="3">
        <v>96193.85</v>
      </c>
      <c r="R33" s="3">
        <v>0.28999999999999998</v>
      </c>
      <c r="S33" s="3">
        <v>3584000</v>
      </c>
      <c r="T33" s="2">
        <v>46154</v>
      </c>
      <c r="U33" s="3">
        <v>99725</v>
      </c>
      <c r="V33" s="3">
        <v>118626252579</v>
      </c>
      <c r="W33" s="3">
        <v>98893.1</v>
      </c>
      <c r="X33" s="3">
        <v>0.09</v>
      </c>
      <c r="Y33" s="3">
        <v>1189000</v>
      </c>
      <c r="Z33" s="2">
        <v>46154</v>
      </c>
      <c r="AA33" s="3">
        <v>99890</v>
      </c>
      <c r="AB33" s="3">
        <v>54471440648</v>
      </c>
      <c r="AC33" s="3">
        <v>99698.9</v>
      </c>
      <c r="AD33" s="3">
        <v>7.0000000000000007E-2</v>
      </c>
      <c r="AE33" s="3">
        <v>545000</v>
      </c>
      <c r="AF33" s="2">
        <v>46154</v>
      </c>
      <c r="AG33" s="3">
        <v>108155</v>
      </c>
      <c r="AH33" s="3">
        <v>1280244609572</v>
      </c>
      <c r="AI33" s="3">
        <v>107489.61</v>
      </c>
      <c r="AJ33" s="3">
        <v>0.06</v>
      </c>
      <c r="AK33" s="3">
        <v>11837000</v>
      </c>
      <c r="AL33" s="3">
        <v>5.9889999999999999</v>
      </c>
      <c r="AM33" s="2">
        <v>46154</v>
      </c>
      <c r="AN33" s="3">
        <v>53820</v>
      </c>
      <c r="AO33" s="3">
        <v>1181081006688</v>
      </c>
      <c r="AP33" s="3">
        <v>53826.35</v>
      </c>
      <c r="AQ33" s="3">
        <v>0.01</v>
      </c>
      <c r="AR33" s="3">
        <v>21944000</v>
      </c>
      <c r="AS33" s="2">
        <v>46154</v>
      </c>
      <c r="AT33" s="3">
        <v>51015</v>
      </c>
      <c r="AU33" s="3">
        <v>388613323666</v>
      </c>
      <c r="AV33" s="3">
        <v>50980.25</v>
      </c>
      <c r="AW33" s="3">
        <v>0.04</v>
      </c>
      <c r="AX33" s="3">
        <v>7618000</v>
      </c>
      <c r="AY33" s="2">
        <v>46154</v>
      </c>
      <c r="AZ33" s="3">
        <v>104890</v>
      </c>
      <c r="BA33" s="3">
        <v>2149844582606</v>
      </c>
      <c r="BB33" s="3">
        <v>104212.94</v>
      </c>
      <c r="BC33" s="3">
        <v>0.05</v>
      </c>
      <c r="BD33" s="3">
        <v>20497000</v>
      </c>
      <c r="BE33" s="3">
        <v>5.9678000000000004</v>
      </c>
      <c r="BF33" s="2">
        <v>46154</v>
      </c>
      <c r="BG33" s="3">
        <v>50025</v>
      </c>
      <c r="BH33" s="3">
        <v>34417633800</v>
      </c>
      <c r="BI33" s="3">
        <v>49936.71</v>
      </c>
      <c r="BJ33" s="3">
        <v>0.08</v>
      </c>
      <c r="BK33" s="3">
        <v>688000</v>
      </c>
      <c r="BL33" s="2">
        <v>46154</v>
      </c>
      <c r="BM33" s="3">
        <v>114970</v>
      </c>
      <c r="BN33" s="3">
        <v>607406035217</v>
      </c>
      <c r="BO33" s="3">
        <v>114805.13</v>
      </c>
      <c r="BP33" s="3">
        <v>0.01</v>
      </c>
      <c r="BQ33" s="3">
        <v>5279000</v>
      </c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94E63-7865-49E0-9585-1A56A2FB424C}">
  <dimension ref="A1"/>
  <sheetViews>
    <sheetView workbookViewId="0">
      <selection activeCell="Q16" sqref="Q16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PDF정보</vt:lpstr>
      <vt:lpstr>ETF정보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2026-06-24T02:16:59Z</dcterms:modified>
</cp:coreProperties>
</file>